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gr_fd68e454.base_table_assignm" sheetId="1" r:id="rId5"/>
    <sheet state="visible" name="tgr_fd68e454.base_table_assig_1" sheetId="2" r:id="rId6"/>
    <sheet state="visible" name="tgr_fd68e454.base_table_assig_2" sheetId="3" r:id="rId7"/>
    <sheet state="visible" name="tgr_fd68e454.base_table_paradat" sheetId="4" r:id="rId8"/>
    <sheet state="visible" name="tgr_fd68e454.base_table_user_al" sheetId="5" r:id="rId9"/>
    <sheet state="visible" name="tgr_fd68e454.base_table_user__1" sheetId="6" r:id="rId10"/>
    <sheet state="visible" name="tgr_fd68e454.kp_nested" sheetId="7" r:id="rId11"/>
    <sheet state="visible" name="tgr_fd68e454.nested_dtsen" sheetId="8" r:id="rId12"/>
    <sheet state="visible" name="tgr_fd68e454.nested_dtsen_var" sheetId="9" r:id="rId13"/>
    <sheet state="visible" name="tgr_fd68e454.nested_meteran" sheetId="10" r:id="rId14"/>
    <sheet state="visible" name="tgr_fd68e454.pair_label_value_0" sheetId="11" r:id="rId15"/>
    <sheet state="visible" name="tgr_fd68e454.pair_label_value_1" sheetId="12" r:id="rId16"/>
    <sheet state="visible" name="tgr_fd68e454.root_table" sheetId="13" r:id="rId17"/>
    <sheet state="visible" name="tgr_fd68e454.se2026_nested" sheetId="14" r:id="rId18"/>
    <sheet state="visible" name="tcz_37526b20.base_table_assignm" sheetId="15" r:id="rId19"/>
    <sheet state="visible" name="tcz_37526b20.base_table_assig_1" sheetId="16" r:id="rId20"/>
    <sheet state="visible" name="tcz_37526b20.base_table_assig_2" sheetId="17" r:id="rId21"/>
    <sheet state="visible" name="tcz_37526b20.base_table_paradat" sheetId="18" r:id="rId22"/>
    <sheet state="visible" name="tcz_37526b20.base_table_user_al" sheetId="19" r:id="rId23"/>
    <sheet state="visible" name="tcz_37526b20.base_table_user__1" sheetId="20" r:id="rId24"/>
    <sheet state="visible" name="tcz_37526b20.pair_label_value_0" sheetId="21" r:id="rId25"/>
    <sheet state="visible" name="tcz_37526b20.pusat_nested" sheetId="22" r:id="rId26"/>
    <sheet state="visible" name="tcz_37526b20.root_table" sheetId="23" r:id="rId27"/>
    <sheet state="visible" name="_METADATA_TEMPLATE" sheetId="24" r:id="rId28"/>
    <sheet state="visible" name="_METADATA_DEFAULT" sheetId="25" r:id="rId29"/>
  </sheets>
  <definedNames/>
  <calcPr/>
</workbook>
</file>

<file path=xl/sharedStrings.xml><?xml version="1.0" encoding="utf-8"?>
<sst xmlns="http://schemas.openxmlformats.org/spreadsheetml/2006/main" count="9545" uniqueCount="1912">
  <si>
    <t>Tabel</t>
  </si>
  <si>
    <t>Kolom</t>
  </si>
  <si>
    <t>DataKey</t>
  </si>
  <si>
    <t>Urutan</t>
  </si>
  <si>
    <t>Blok</t>
  </si>
  <si>
    <t>Nomor Rincian</t>
  </si>
  <si>
    <t>Label</t>
  </si>
  <si>
    <t>Tipe</t>
  </si>
  <si>
    <t>Keterangan</t>
  </si>
  <si>
    <t>tgr_fd68e454.base_table_assignment</t>
  </si>
  <si>
    <t>email</t>
  </si>
  <si>
    <t>tgr_fd68e454.base_table_paradata_action_log</t>
  </si>
  <si>
    <t>assignment_id</t>
  </si>
  <si>
    <t>tgr_fd68e454.base_table_assignment_responsibility</t>
  </si>
  <si>
    <t>tgr_fd68e454.base_table_assignment_history</t>
  </si>
  <si>
    <t>mode</t>
  </si>
  <si>
    <t>timestamp</t>
  </si>
  <si>
    <t>id</t>
  </si>
  <si>
    <t>level_1_full_code</t>
  </si>
  <si>
    <t>date_created</t>
  </si>
  <si>
    <t>level_2_full_code</t>
  </si>
  <si>
    <t>assignment_id_timestamp</t>
  </si>
  <si>
    <t>action</t>
  </si>
  <si>
    <t>action_log_index</t>
  </si>
  <si>
    <t>assignment_id_date_created</t>
  </si>
  <si>
    <t>survey_user_before_id</t>
  </si>
  <si>
    <t>is_active</t>
  </si>
  <si>
    <t>battery_info_battery_level</t>
  </si>
  <si>
    <t>survey_user_current_id</t>
  </si>
  <si>
    <t>approved_by_creator</t>
  </si>
  <si>
    <t>battery_info_battery_temperature</t>
  </si>
  <si>
    <t>remark</t>
  </si>
  <si>
    <t>assignment_responsibility_status_id</t>
  </si>
  <si>
    <t>is_mock</t>
  </si>
  <si>
    <t>assignment_error_status_type</t>
  </si>
  <si>
    <t>user_id</t>
  </si>
  <si>
    <t>latitude</t>
  </si>
  <si>
    <t>status_id</t>
  </si>
  <si>
    <t>assignment_responsibility_admin</t>
  </si>
  <si>
    <t>longitude</t>
  </si>
  <si>
    <t>status_alias</t>
  </si>
  <si>
    <t>before_user_id</t>
  </si>
  <si>
    <t>assignment_status_alias</t>
  </si>
  <si>
    <t>assignment_date_modified</t>
  </si>
  <si>
    <t>before_survey_role_id</t>
  </si>
  <si>
    <t>user_name</t>
  </si>
  <si>
    <t>before_survey_role_name</t>
  </si>
  <si>
    <t>assignment_status_id</t>
  </si>
  <si>
    <t>before_survey_role_role_id</t>
  </si>
  <si>
    <t>code_identity</t>
  </si>
  <si>
    <t>before_survey_role_can_pull_sample</t>
  </si>
  <si>
    <t>current_user_fullname</t>
  </si>
  <si>
    <t>before_survey_role_is_pencacah</t>
  </si>
  <si>
    <t>current_user_id</t>
  </si>
  <si>
    <t>before_survey_role_sequence</t>
  </si>
  <si>
    <t>current_user_survey_role_can_pull_sample</t>
  </si>
  <si>
    <t>tgr_fd68e454.base_table_user_allocation</t>
  </si>
  <si>
    <t>current_user_survey_role_id</t>
  </si>
  <si>
    <t>tgr_fd68e454.base_table_user_allocation_new</t>
  </si>
  <si>
    <t>current_survey_role_id</t>
  </si>
  <si>
    <t>current_user_survey_role_is_pencacah</t>
  </si>
  <si>
    <t>allocation_id</t>
  </si>
  <si>
    <t>current_survey_rolename</t>
  </si>
  <si>
    <t>current_user_survey_role_name</t>
  </si>
  <si>
    <t>current_survey_rolerole_id</t>
  </si>
  <si>
    <t>current_user_username</t>
  </si>
  <si>
    <t>region_id</t>
  </si>
  <si>
    <t>blocks</t>
  </si>
  <si>
    <t>current_survey_role_can_pull_sample</t>
  </si>
  <si>
    <t>data1</t>
  </si>
  <si>
    <t>fullname</t>
  </si>
  <si>
    <t>current_survey_role_is_pencacah</t>
  </si>
  <si>
    <t>data10</t>
  </si>
  <si>
    <t>current_survey_role_sequence</t>
  </si>
  <si>
    <t>data2</t>
  </si>
  <si>
    <t>survey_period_id</t>
  </si>
  <si>
    <t>role_sequence</t>
  </si>
  <si>
    <t>data3</t>
  </si>
  <si>
    <t>tgr_fd68e454.kp_nested</t>
  </si>
  <si>
    <t>kp_unit</t>
  </si>
  <si>
    <t>role_description</t>
  </si>
  <si>
    <t>data4</t>
  </si>
  <si>
    <t>kp_jenis_label</t>
  </si>
  <si>
    <t>kp_jenis</t>
  </si>
  <si>
    <t>survey_role_id</t>
  </si>
  <si>
    <t>data5</t>
  </si>
  <si>
    <t>kp_jenis_value</t>
  </si>
  <si>
    <t>data6</t>
  </si>
  <si>
    <t>kp_prov_label</t>
  </si>
  <si>
    <t>kp_prov</t>
  </si>
  <si>
    <t>survey_role_group_id</t>
  </si>
  <si>
    <t>data7</t>
  </si>
  <si>
    <t>kp_prov_value</t>
  </si>
  <si>
    <t>smallest_area_order</t>
  </si>
  <si>
    <t>kp_kab_label</t>
  </si>
  <si>
    <t>kp_kab</t>
  </si>
  <si>
    <t>tgr_fd68e454.nested_dtsen</t>
  </si>
  <si>
    <t>nama_dtsen</t>
  </si>
  <si>
    <t>data8</t>
  </si>
  <si>
    <t>kp_kab_value</t>
  </si>
  <si>
    <t>data9</t>
  </si>
  <si>
    <t>nik_dtsen</t>
  </si>
  <si>
    <t>user_region_id</t>
  </si>
  <si>
    <t>kp_produksi_lingkungan_label</t>
  </si>
  <si>
    <t>kp_produksi_lingkungan</t>
  </si>
  <si>
    <t>hubungan_label</t>
  </si>
  <si>
    <t>hubungan</t>
  </si>
  <si>
    <t>kp_produksi_lingkungan_value</t>
  </si>
  <si>
    <t>username</t>
  </si>
  <si>
    <t>date_modified</t>
  </si>
  <si>
    <t>kp_perlindungan_lingkungan_label</t>
  </si>
  <si>
    <t>kp_perlindungan_lingkungan</t>
  </si>
  <si>
    <t>hubungan_value</t>
  </si>
  <si>
    <t>kp_perlindungan_lingkungan_value</t>
  </si>
  <si>
    <t>done</t>
  </si>
  <si>
    <t>keberadaan_dtsen_label</t>
  </si>
  <si>
    <t>keberadaan_dtsen</t>
  </si>
  <si>
    <t>created_at</t>
  </si>
  <si>
    <t>kp_tk</t>
  </si>
  <si>
    <t>external_done</t>
  </si>
  <si>
    <t>keberadaan_dtsen_value</t>
  </si>
  <si>
    <t>updated_at</t>
  </si>
  <si>
    <t>kp_total_pengeluaran</t>
  </si>
  <si>
    <t>is_target</t>
  </si>
  <si>
    <t>alamat_dn_label</t>
  </si>
  <si>
    <t>alamat_dn</t>
  </si>
  <si>
    <t>kp_total_pendapatan</t>
  </si>
  <si>
    <t>alamat_dn_value</t>
  </si>
  <si>
    <t>kp_total_aset</t>
  </si>
  <si>
    <t>is_tarik_sample</t>
  </si>
  <si>
    <t>prov_dn_label</t>
  </si>
  <si>
    <t>prov_dn</t>
  </si>
  <si>
    <t>index1</t>
  </si>
  <si>
    <t>prov_dn_value</t>
  </si>
  <si>
    <t>tgr_fd68e454.nested_dtsen_var</t>
  </si>
  <si>
    <t>no_urut_kk_var</t>
  </si>
  <si>
    <t>index2</t>
  </si>
  <si>
    <t>level_1_code</t>
  </si>
  <si>
    <t>kab_dn_label</t>
  </si>
  <si>
    <t>kab_dn</t>
  </si>
  <si>
    <t>nama_dtsen_var</t>
  </si>
  <si>
    <t>level_1_name</t>
  </si>
  <si>
    <t>kab_dn_value</t>
  </si>
  <si>
    <t>sekolah_label</t>
  </si>
  <si>
    <t>sekolah</t>
  </si>
  <si>
    <t>level_10_code</t>
  </si>
  <si>
    <t>domisili_ln_label</t>
  </si>
  <si>
    <t>domisili_ln</t>
  </si>
  <si>
    <t>sekolah_value</t>
  </si>
  <si>
    <t>level_10_full_code</t>
  </si>
  <si>
    <t>domisili_ln_value</t>
  </si>
  <si>
    <t>ijazah_label</t>
  </si>
  <si>
    <t>ijazah</t>
  </si>
  <si>
    <t>assignment_listing</t>
  </si>
  <si>
    <t>status_kawin_label</t>
  </si>
  <si>
    <t>status_kawin</t>
  </si>
  <si>
    <t>ijazah_value</t>
  </si>
  <si>
    <t>level_10_name</t>
  </si>
  <si>
    <t>status_kawin_value</t>
  </si>
  <si>
    <t>profesi_label</t>
  </si>
  <si>
    <t>profesi</t>
  </si>
  <si>
    <t>level_2_code</t>
  </si>
  <si>
    <t>profesi_value</t>
  </si>
  <si>
    <t>jk_dtsen_label</t>
  </si>
  <si>
    <t>jk_dtsen</t>
  </si>
  <si>
    <t>level_2_name</t>
  </si>
  <si>
    <t>profesi_lainnya</t>
  </si>
  <si>
    <t>jk_dtsen_value</t>
  </si>
  <si>
    <t>level_3_code</t>
  </si>
  <si>
    <t>status_kerja_label</t>
  </si>
  <si>
    <t>status_kerja</t>
  </si>
  <si>
    <t>tgl_lahir</t>
  </si>
  <si>
    <t>level_3_full_code</t>
  </si>
  <si>
    <t>status_kerja_value</t>
  </si>
  <si>
    <t>bln_lahir_label</t>
  </si>
  <si>
    <t>bln_lahir</t>
  </si>
  <si>
    <t>level_3_name</t>
  </si>
  <si>
    <t>pendapatan_pekerjaan_label</t>
  </si>
  <si>
    <t>pendapatan_pekerjaan</t>
  </si>
  <si>
    <t>bln_lahir_value</t>
  </si>
  <si>
    <t>pendapatan_pekerjaan_value</t>
  </si>
  <si>
    <t>level_4_code</t>
  </si>
  <si>
    <t>thn_lahir</t>
  </si>
  <si>
    <t>pend_gaji</t>
  </si>
  <si>
    <t>level_4_full_code</t>
  </si>
  <si>
    <t>umur_ak</t>
  </si>
  <si>
    <t>pend_tunjangan</t>
  </si>
  <si>
    <t>art_ada_usaha_label</t>
  </si>
  <si>
    <t>level_4_name</t>
  </si>
  <si>
    <t>art_ada_usaha</t>
  </si>
  <si>
    <t>pend_uangmkn</t>
  </si>
  <si>
    <t>level_5_code</t>
  </si>
  <si>
    <t>art_ada_usaha_value</t>
  </si>
  <si>
    <t>pend_honor</t>
  </si>
  <si>
    <t>level_5_full_code</t>
  </si>
  <si>
    <t>isprelistart</t>
  </si>
  <si>
    <t>pend_lembur</t>
  </si>
  <si>
    <t>level_5_name</t>
  </si>
  <si>
    <t>pend_lainnya</t>
  </si>
  <si>
    <t>no_urut_kk</t>
  </si>
  <si>
    <t>nik_dtsen_prelist</t>
  </si>
  <si>
    <t>nilai_pend_pekerjaan</t>
  </si>
  <si>
    <t>level_6_code</t>
  </si>
  <si>
    <t>hasilPemadananNIK</t>
  </si>
  <si>
    <t>pendapatan_usaha_label</t>
  </si>
  <si>
    <t>pendapatan_usaha</t>
  </si>
  <si>
    <t>level_6_full_code</t>
  </si>
  <si>
    <t>jk_prelist</t>
  </si>
  <si>
    <t>pendapatan_usaha_value</t>
  </si>
  <si>
    <t>level_6_name</t>
  </si>
  <si>
    <t>pend_usaha</t>
  </si>
  <si>
    <t>level_7_code</t>
  </si>
  <si>
    <t>pend_usaha_lain_label</t>
  </si>
  <si>
    <t>pend_usaha_lain</t>
  </si>
  <si>
    <t>level_7_full_code</t>
  </si>
  <si>
    <t>pend_usaha_lain_value</t>
  </si>
  <si>
    <t>level_7_name</t>
  </si>
  <si>
    <t>nilai_pend_lain</t>
  </si>
  <si>
    <t>level_8_code</t>
  </si>
  <si>
    <t>rekening_label</t>
  </si>
  <si>
    <t>rekening</t>
  </si>
  <si>
    <t>level_8_full_code</t>
  </si>
  <si>
    <t>rekening_value</t>
  </si>
  <si>
    <t>dis_fisik_label</t>
  </si>
  <si>
    <t>dis_fisik</t>
  </si>
  <si>
    <t>level_8_name</t>
  </si>
  <si>
    <t>dis_fisik_value</t>
  </si>
  <si>
    <t>level_9_code</t>
  </si>
  <si>
    <t>dis_mental_label</t>
  </si>
  <si>
    <t>dis_mental</t>
  </si>
  <si>
    <t>level_9_full_code</t>
  </si>
  <si>
    <t>dis_mental_value</t>
  </si>
  <si>
    <t>dis_intelek_label</t>
  </si>
  <si>
    <t>dis_intelek</t>
  </si>
  <si>
    <t>level_9_name</t>
  </si>
  <si>
    <t>listing</t>
  </si>
  <si>
    <t>dis_intelek_value</t>
  </si>
  <si>
    <t>dis_netra_label</t>
  </si>
  <si>
    <t>dis_netra</t>
  </si>
  <si>
    <t>referenced_id</t>
  </si>
  <si>
    <t>survey_period_name</t>
  </si>
  <si>
    <t>dis_netra_value</t>
  </si>
  <si>
    <t>sample_type</t>
  </si>
  <si>
    <t>dis_rungu_label</t>
  </si>
  <si>
    <t>dis_rungu</t>
  </si>
  <si>
    <t>secondary</t>
  </si>
  <si>
    <t>source_from</t>
  </si>
  <si>
    <t>dis_rungu_value</t>
  </si>
  <si>
    <t>strata</t>
  </si>
  <si>
    <t>dis_wicara_label</t>
  </si>
  <si>
    <t>dis_wicara</t>
  </si>
  <si>
    <t>tgr_fd68e454.nested_meteran</t>
  </si>
  <si>
    <t>urutan_meteran_lain</t>
  </si>
  <si>
    <t>substituted_by</t>
  </si>
  <si>
    <t>dis_wicara_value</t>
  </si>
  <si>
    <t>substituted_for</t>
  </si>
  <si>
    <t>daya_terpasang_label</t>
  </si>
  <si>
    <t>daya_terpasang</t>
  </si>
  <si>
    <t>sakit_hipertensi_label</t>
  </si>
  <si>
    <t>sakit_hipertensi</t>
  </si>
  <si>
    <t>daya_terpasang_value</t>
  </si>
  <si>
    <t>substituted_with</t>
  </si>
  <si>
    <t>sakit_hipertensi_value</t>
  </si>
  <si>
    <t>id_pln_pilih_label</t>
  </si>
  <si>
    <t>id_pln_pilih</t>
  </si>
  <si>
    <t>sum_clean</t>
  </si>
  <si>
    <t>sakit_rematik_label</t>
  </si>
  <si>
    <t>sakit_rematik</t>
  </si>
  <si>
    <t>id_pln_pilih_value</t>
  </si>
  <si>
    <t>sum_error</t>
  </si>
  <si>
    <t>sakit_rematik_value</t>
  </si>
  <si>
    <t>id_pelanggan</t>
  </si>
  <si>
    <t>sum_remark</t>
  </si>
  <si>
    <t>no_meteran</t>
  </si>
  <si>
    <t>sakit_asma_label</t>
  </si>
  <si>
    <t>sakit_asma</t>
  </si>
  <si>
    <t>hasilCekIdPel</t>
  </si>
  <si>
    <t>sakit_asma_value</t>
  </si>
  <si>
    <t>hasilCekMeteran</t>
  </si>
  <si>
    <t>sakit_jantung_label</t>
  </si>
  <si>
    <t>sakit_jantung</t>
  </si>
  <si>
    <t>sakit_jantung_value</t>
  </si>
  <si>
    <t>sakit_diabetes_label</t>
  </si>
  <si>
    <t>sakit_diabetes</t>
  </si>
  <si>
    <t>user_id_responsibility</t>
  </si>
  <si>
    <t>sakit_diabetes_value</t>
  </si>
  <si>
    <t>sakit_tbc_label</t>
  </si>
  <si>
    <t>sakit_tbc</t>
  </si>
  <si>
    <t>sakit_tbc_value</t>
  </si>
  <si>
    <t>sakit_stroke_label</t>
  </si>
  <si>
    <t>sakit_stroke</t>
  </si>
  <si>
    <t>sakit_stroke_value</t>
  </si>
  <si>
    <t>sakit_kanker_label</t>
  </si>
  <si>
    <t>sakit_kanker</t>
  </si>
  <si>
    <t>sakit_kanker_value</t>
  </si>
  <si>
    <t>cek_idpel</t>
  </si>
  <si>
    <t>tgr_fd68e454.pair_label_value_0</t>
  </si>
  <si>
    <t>sakit_hemofilia_label</t>
  </si>
  <si>
    <t>sakit_hemofilia</t>
  </si>
  <si>
    <t>sakit_hemofilia_value</t>
  </si>
  <si>
    <t>sakit_ginjal_label</t>
  </si>
  <si>
    <t>sakit_ginjal</t>
  </si>
  <si>
    <t>sakit_ginjal_value</t>
  </si>
  <si>
    <t>sakit_hiv_label</t>
  </si>
  <si>
    <t>sakit_hiv</t>
  </si>
  <si>
    <t>sakit_hiv_value</t>
  </si>
  <si>
    <t>sakit_kolestrol_label</t>
  </si>
  <si>
    <t>sakit_kolestrol</t>
  </si>
  <si>
    <t>sakit_kolestrol_value</t>
  </si>
  <si>
    <t>sakit_sirosis_label</t>
  </si>
  <si>
    <t>sakit_sirosis</t>
  </si>
  <si>
    <t>sakit_sirosis_value</t>
  </si>
  <si>
    <t>sakit_talasemia_label</t>
  </si>
  <si>
    <t>sakit_talasemia</t>
  </si>
  <si>
    <t>sakit_talasemia_value</t>
  </si>
  <si>
    <t>sakit_leukemia_label</t>
  </si>
  <si>
    <t>sakit_leukemia</t>
  </si>
  <si>
    <t>data_key</t>
  </si>
  <si>
    <t>sakit_leukemia_value</t>
  </si>
  <si>
    <t>sakit_alzheimer_label</t>
  </si>
  <si>
    <t>sakit_alzheimer</t>
  </si>
  <si>
    <t>sakit_alzheimer_value</t>
  </si>
  <si>
    <t>sakit_lainnya_label</t>
  </si>
  <si>
    <t>sakit_lainnya</t>
  </si>
  <si>
    <t>tgr_fd68e454.pair_label_value_1</t>
  </si>
  <si>
    <t>sakit_lainnya_value</t>
  </si>
  <si>
    <t>ec_art_dtsen</t>
  </si>
  <si>
    <t>ec_art_pendapatan</t>
  </si>
  <si>
    <t>set_sekolah_prelist</t>
  </si>
  <si>
    <t>sekolah_prelist</t>
  </si>
  <si>
    <t>set_ijazah_prelist</t>
  </si>
  <si>
    <t>ijazah_prelist</t>
  </si>
  <si>
    <t>tgr_fd68e454.root_table</t>
  </si>
  <si>
    <t>mulai</t>
  </si>
  <si>
    <t>kunjungan_1</t>
  </si>
  <si>
    <t>catatan_1</t>
  </si>
  <si>
    <t>kunjungan_2</t>
  </si>
  <si>
    <t>catatan_2</t>
  </si>
  <si>
    <t>kunjungan_3</t>
  </si>
  <si>
    <t>alasan_nr_label</t>
  </si>
  <si>
    <t>alasan_nr</t>
  </si>
  <si>
    <t>alasan_nr_value</t>
  </si>
  <si>
    <t>catatan_3</t>
  </si>
  <si>
    <t>kunjungan_pml</t>
  </si>
  <si>
    <t>geotag_pml_accuracy</t>
  </si>
  <si>
    <t>geotag_pml</t>
  </si>
  <si>
    <t>geotag_pml_latitude</t>
  </si>
  <si>
    <t>geotag_pml_longitude</t>
  </si>
  <si>
    <t>catatan_pml</t>
  </si>
  <si>
    <t>prov</t>
  </si>
  <si>
    <t>kab</t>
  </si>
  <si>
    <t>kec</t>
  </si>
  <si>
    <t>desa</t>
  </si>
  <si>
    <t>ubah_wilayah_label</t>
  </si>
  <si>
    <t>ubah_wilayah</t>
  </si>
  <si>
    <t>pair_label</t>
  </si>
  <si>
    <t>pair</t>
  </si>
  <si>
    <t>ubah_wilayah_value</t>
  </si>
  <si>
    <t>pair_value</t>
  </si>
  <si>
    <t>kab_baru_label</t>
  </si>
  <si>
    <t>kab_baru</t>
  </si>
  <si>
    <t>kab_baru_value</t>
  </si>
  <si>
    <t>kec_baru_label</t>
  </si>
  <si>
    <t>kec_baru</t>
  </si>
  <si>
    <t>kec_baru_value</t>
  </si>
  <si>
    <t>desa_baru_label</t>
  </si>
  <si>
    <t>desa_baru</t>
  </si>
  <si>
    <t>desa_baru_value</t>
  </si>
  <si>
    <t>klas_desa</t>
  </si>
  <si>
    <t>kode_sls</t>
  </si>
  <si>
    <t>nama_sls</t>
  </si>
  <si>
    <t>ubah_sls_label</t>
  </si>
  <si>
    <t>ubah_sls</t>
  </si>
  <si>
    <t>tgr_fd68e454.se2026_nested</t>
  </si>
  <si>
    <t>pilih_umkm_sls_label</t>
  </si>
  <si>
    <t>pilih_umkm_sls</t>
  </si>
  <si>
    <t>ubah_sls_value</t>
  </si>
  <si>
    <t>nama_sls_lap</t>
  </si>
  <si>
    <t>pilih_umkm_sls_value</t>
  </si>
  <si>
    <t>kodepos</t>
  </si>
  <si>
    <t>jalan_domisili_cawi</t>
  </si>
  <si>
    <t>prov_l</t>
  </si>
  <si>
    <t>nomor_domisili_cawi</t>
  </si>
  <si>
    <t>kab_l</t>
  </si>
  <si>
    <t>domisili_cawi_label</t>
  </si>
  <si>
    <t>domisili_cawi</t>
  </si>
  <si>
    <t>kec_l</t>
  </si>
  <si>
    <t>domisili_cawi_value</t>
  </si>
  <si>
    <t>desa_l</t>
  </si>
  <si>
    <t>jenis_prelist</t>
  </si>
  <si>
    <t>is_new_label</t>
  </si>
  <si>
    <t>is_new</t>
  </si>
  <si>
    <t>kodesls_l</t>
  </si>
  <si>
    <t>tcz_37526b20.base_table_assignment</t>
  </si>
  <si>
    <t>is_new_value</t>
  </si>
  <si>
    <t>sls_l</t>
  </si>
  <si>
    <t>pilih_umkm_label</t>
  </si>
  <si>
    <t>pilih_umkm</t>
  </si>
  <si>
    <t>tcz_37526b20.base_table_assignment_history</t>
  </si>
  <si>
    <t>pilih_umkm_value</t>
  </si>
  <si>
    <t>no_bang_l</t>
  </si>
  <si>
    <t>nama_lookup_umkm</t>
  </si>
  <si>
    <t>no_usaha</t>
  </si>
  <si>
    <t>nama_usaha_bang</t>
  </si>
  <si>
    <t>no_kk</t>
  </si>
  <si>
    <t>nama_usaha</t>
  </si>
  <si>
    <t>nik</t>
  </si>
  <si>
    <t>keberadaan_usaha_label</t>
  </si>
  <si>
    <t>keberadaan_usaha</t>
  </si>
  <si>
    <t>nama_kk</t>
  </si>
  <si>
    <t>htmlHasilPemadananNIK_p</t>
  </si>
  <si>
    <t>keberadaan_usaha_value</t>
  </si>
  <si>
    <t>nama_ak_lain</t>
  </si>
  <si>
    <t>alamat_lookup_umkm</t>
  </si>
  <si>
    <t>nama_usaha_edit</t>
  </si>
  <si>
    <t>jumlah_usaha_prelist</t>
  </si>
  <si>
    <t>ada_keluarga_label</t>
  </si>
  <si>
    <t>nama_komersial</t>
  </si>
  <si>
    <t>ada_keluarga</t>
  </si>
  <si>
    <t>ada_keluarga_value</t>
  </si>
  <si>
    <t>alamat_usaha_view</t>
  </si>
  <si>
    <t>ada_bang_usaha_label</t>
  </si>
  <si>
    <t>ada_bang_usaha</t>
  </si>
  <si>
    <t>ada_bang_usaha_value</t>
  </si>
  <si>
    <t>rt</t>
  </si>
  <si>
    <t>alamat_prelist</t>
  </si>
  <si>
    <t>rw</t>
  </si>
  <si>
    <t>jalan_domisili</t>
  </si>
  <si>
    <t>kode_pos</t>
  </si>
  <si>
    <t>nomor_domisili</t>
  </si>
  <si>
    <t>domisili_label</t>
  </si>
  <si>
    <t>domisili</t>
  </si>
  <si>
    <t>kode_area</t>
  </si>
  <si>
    <t>domisili_value</t>
  </si>
  <si>
    <t>no_bangunan_terbesar</t>
  </si>
  <si>
    <t>no_telp</t>
  </si>
  <si>
    <t>no_bang</t>
  </si>
  <si>
    <t>eks</t>
  </si>
  <si>
    <t>kode_bang_label</t>
  </si>
  <si>
    <t>kode_bang</t>
  </si>
  <si>
    <t>tcz_37526b20.base_table_assignment_responsibility</t>
  </si>
  <si>
    <t>kode_bang_value</t>
  </si>
  <si>
    <t>geotag_accuracy</t>
  </si>
  <si>
    <t>geotag</t>
  </si>
  <si>
    <t>geotag_latitude</t>
  </si>
  <si>
    <t>hp</t>
  </si>
  <si>
    <t>geotag_longitude</t>
  </si>
  <si>
    <t>website</t>
  </si>
  <si>
    <t>foto_depan_p_filename</t>
  </si>
  <si>
    <t>foto_depan_p</t>
  </si>
  <si>
    <t>foto_depan_p_uri</t>
  </si>
  <si>
    <t>jenis_kawasan_label</t>
  </si>
  <si>
    <t>jenis_kawasan</t>
  </si>
  <si>
    <t>foto_depan_p_url</t>
  </si>
  <si>
    <t>jenis_kawasan_value</t>
  </si>
  <si>
    <t>jumlah_ak_kk</t>
  </si>
  <si>
    <t>nama_kek_ki_label</t>
  </si>
  <si>
    <t>nama_kek_ki</t>
  </si>
  <si>
    <t>jumlah_ak</t>
  </si>
  <si>
    <t>usaha_kos_label</t>
  </si>
  <si>
    <t>usaha_kos</t>
  </si>
  <si>
    <t>nama_kek_ki_value</t>
  </si>
  <si>
    <t>usaha_kos_value</t>
  </si>
  <si>
    <t>nama_kawasan</t>
  </si>
  <si>
    <t>usaha_keliling_label</t>
  </si>
  <si>
    <t>usaha_keliling</t>
  </si>
  <si>
    <t>usaha_keliling_value</t>
  </si>
  <si>
    <t>jenis_usaha_label</t>
  </si>
  <si>
    <t>jenis_usaha</t>
  </si>
  <si>
    <t>usaha_online_label</t>
  </si>
  <si>
    <t>usaha_online</t>
  </si>
  <si>
    <t>jenis_usaha_value</t>
  </si>
  <si>
    <t>usaha_online_value</t>
  </si>
  <si>
    <t>alamat_usaha_utama</t>
  </si>
  <si>
    <t>usaha_bongkar_label</t>
  </si>
  <si>
    <t>usaha_bongkar</t>
  </si>
  <si>
    <t>usaha_bongkar_value</t>
  </si>
  <si>
    <t>prov_usaha_utama_label</t>
  </si>
  <si>
    <t>prov_usaha_utama</t>
  </si>
  <si>
    <t>usaha_konstruksi_label</t>
  </si>
  <si>
    <t>usaha_konstruksi</t>
  </si>
  <si>
    <t>prov_usaha_utama_value</t>
  </si>
  <si>
    <t>usaha_konstruksi_value</t>
  </si>
  <si>
    <t>kab_usaha_utama_label</t>
  </si>
  <si>
    <t>kab_usaha_utama</t>
  </si>
  <si>
    <t>usaha_lain_label</t>
  </si>
  <si>
    <t>usaha_lain</t>
  </si>
  <si>
    <t>usaha_lain_value</t>
  </si>
  <si>
    <t>kab_usaha_utama_value</t>
  </si>
  <si>
    <t>tanaman_pangan_label</t>
  </si>
  <si>
    <t>tanaman_pangan</t>
  </si>
  <si>
    <t>punya_nib_label</t>
  </si>
  <si>
    <t>punya_nib</t>
  </si>
  <si>
    <t>tanaman_pangan_value</t>
  </si>
  <si>
    <t>punya_nib_value</t>
  </si>
  <si>
    <t>hortikultura_label</t>
  </si>
  <si>
    <t>hortikultura</t>
  </si>
  <si>
    <t>nib</t>
  </si>
  <si>
    <t>hortikultura_value</t>
  </si>
  <si>
    <t>tidak_nib_label</t>
  </si>
  <si>
    <t>tidak_nib</t>
  </si>
  <si>
    <t>perkebunan_label</t>
  </si>
  <si>
    <t>perkebunan</t>
  </si>
  <si>
    <t>tidak_nib_value</t>
  </si>
  <si>
    <t>perkebunan_value</t>
  </si>
  <si>
    <t>nib_lainnya</t>
  </si>
  <si>
    <t>peternakan_label</t>
  </si>
  <si>
    <t>peternakan</t>
  </si>
  <si>
    <t>badan_usaha_label</t>
  </si>
  <si>
    <t>badan_usaha</t>
  </si>
  <si>
    <t>peternakan_value</t>
  </si>
  <si>
    <t>badan_usaha_value</t>
  </si>
  <si>
    <t>kehutanan_label</t>
  </si>
  <si>
    <t>kehutanan</t>
  </si>
  <si>
    <t>koperasi_kdkmp_label</t>
  </si>
  <si>
    <t>koperasi_kdkmp</t>
  </si>
  <si>
    <t>kehutanan_value</t>
  </si>
  <si>
    <t>koperasi_kdkmp_value</t>
  </si>
  <si>
    <t>perikanan_label</t>
  </si>
  <si>
    <t>perikanan</t>
  </si>
  <si>
    <t>jenis_koperasi_label</t>
  </si>
  <si>
    <t>jenis_koperasi</t>
  </si>
  <si>
    <t>perikanan_value</t>
  </si>
  <si>
    <t>jenis_koperasi_value</t>
  </si>
  <si>
    <t>jasa_pertanian_label</t>
  </si>
  <si>
    <t>jasa_pertanian</t>
  </si>
  <si>
    <t>lap_keuangan_label</t>
  </si>
  <si>
    <t>lap_keuangan</t>
  </si>
  <si>
    <t>tcz_37526b20.base_table_paradata_action_log</t>
  </si>
  <si>
    <t>jasa_pertanian_value</t>
  </si>
  <si>
    <t>lap_keuangan_value</t>
  </si>
  <si>
    <t>jumlah_usaha_ditemukan</t>
  </si>
  <si>
    <t>pengusaha_var_label</t>
  </si>
  <si>
    <t>pengusaha_var</t>
  </si>
  <si>
    <t>dtsen_nama_kk</t>
  </si>
  <si>
    <t>pengusaha_var_value</t>
  </si>
  <si>
    <t>dtsen_no_kk</t>
  </si>
  <si>
    <t>pengusaha</t>
  </si>
  <si>
    <t>jml_kk</t>
  </si>
  <si>
    <t>jk_var</t>
  </si>
  <si>
    <t>jml_kk_update</t>
  </si>
  <si>
    <t>jk_label</t>
  </si>
  <si>
    <t>jk</t>
  </si>
  <si>
    <t>jns_bangunan_label</t>
  </si>
  <si>
    <t>jns_bangunan</t>
  </si>
  <si>
    <t>jk_value</t>
  </si>
  <si>
    <t>jns_bangunan_value</t>
  </si>
  <si>
    <t>umur_pj_var</t>
  </si>
  <si>
    <t>jns_bangunan_lain</t>
  </si>
  <si>
    <t>umur</t>
  </si>
  <si>
    <t>nm_apt</t>
  </si>
  <si>
    <t>nik_pengusaha_var</t>
  </si>
  <si>
    <t>jml_ak_tinggal</t>
  </si>
  <si>
    <t>nik_pengusaha</t>
  </si>
  <si>
    <t>status_kepemilikan_label</t>
  </si>
  <si>
    <t>status_kepemilikan</t>
  </si>
  <si>
    <t>keg_utama</t>
  </si>
  <si>
    <t>status_kepemilikan_value</t>
  </si>
  <si>
    <t>produk_sendiri_label</t>
  </si>
  <si>
    <t>produk_sendiri</t>
  </si>
  <si>
    <t>status_kepemilikan_lain</t>
  </si>
  <si>
    <t>produk_sendiri_value</t>
  </si>
  <si>
    <t>bukti_kepemilikan_label</t>
  </si>
  <si>
    <t>bukti_kepemilikan</t>
  </si>
  <si>
    <t>layanan_mamin_label</t>
  </si>
  <si>
    <t>layanan_mamin</t>
  </si>
  <si>
    <t>bukti_kepemilikan_value</t>
  </si>
  <si>
    <t>layanan_mamin_value</t>
  </si>
  <si>
    <t>sewa_sendiri</t>
  </si>
  <si>
    <t>keg_penjualan_label</t>
  </si>
  <si>
    <t>keg_penjualan</t>
  </si>
  <si>
    <t>sewa_kontrak</t>
  </si>
  <si>
    <t>keg_penjualan_value</t>
  </si>
  <si>
    <t>sewa_dinas</t>
  </si>
  <si>
    <t>keg_jasa_label</t>
  </si>
  <si>
    <t>keg_jasa</t>
  </si>
  <si>
    <t>luas_lantai</t>
  </si>
  <si>
    <t>keg_jasa_value</t>
  </si>
  <si>
    <t>tcz_37526b20.base_table_user_allocation</t>
  </si>
  <si>
    <t>lokasi_usaha_label</t>
  </si>
  <si>
    <t>jns_lantai_label</t>
  </si>
  <si>
    <t>lokasi_usaha</t>
  </si>
  <si>
    <t>jns_lantai</t>
  </si>
  <si>
    <t>lokasi_usaha_value</t>
  </si>
  <si>
    <t>jns_lantai_value</t>
  </si>
  <si>
    <t>kondisi_lantai_label</t>
  </si>
  <si>
    <t>kondisi_lantai</t>
  </si>
  <si>
    <t>input</t>
  </si>
  <si>
    <t>kondisi_lantai_value</t>
  </si>
  <si>
    <t>proses</t>
  </si>
  <si>
    <t>jns_dinding_label</t>
  </si>
  <si>
    <t>jns_dinding</t>
  </si>
  <si>
    <t>produk</t>
  </si>
  <si>
    <t>jns_dinding_value</t>
  </si>
  <si>
    <t>kbli_genai_label</t>
  </si>
  <si>
    <t>kbli_genai</t>
  </si>
  <si>
    <t>kondisi_dinding_label</t>
  </si>
  <si>
    <t>kondisi_dinding</t>
  </si>
  <si>
    <t>kbli_genai_value</t>
  </si>
  <si>
    <t>kondisi_dinding_value</t>
  </si>
  <si>
    <t>kbli_label</t>
  </si>
  <si>
    <t>jns_atap_label</t>
  </si>
  <si>
    <t>kbli</t>
  </si>
  <si>
    <t>jns_atap</t>
  </si>
  <si>
    <t>jns_atap_value</t>
  </si>
  <si>
    <t>kbli_value</t>
  </si>
  <si>
    <t>kategori</t>
  </si>
  <si>
    <t>kondisi_atap_label</t>
  </si>
  <si>
    <t>kondisi_atap</t>
  </si>
  <si>
    <t>kondisi_atap_value</t>
  </si>
  <si>
    <t>cek_kbli_pml_label</t>
  </si>
  <si>
    <t>cek_kbli_pml</t>
  </si>
  <si>
    <t>tempat_bab_label</t>
  </si>
  <si>
    <t>tempat_bab</t>
  </si>
  <si>
    <t>cek_kbli_pml_value</t>
  </si>
  <si>
    <t>tempat_bab_value</t>
  </si>
  <si>
    <t>klasifikasi_label</t>
  </si>
  <si>
    <t>klasifikasi</t>
  </si>
  <si>
    <t>jns_closet_label</t>
  </si>
  <si>
    <t>jns_closet</t>
  </si>
  <si>
    <t>klasifikasi_value</t>
  </si>
  <si>
    <t>jns_closet_value</t>
  </si>
  <si>
    <t>jaringan_label</t>
  </si>
  <si>
    <t>jaringan</t>
  </si>
  <si>
    <t>buang_tinja_label</t>
  </si>
  <si>
    <t>buang_tinja</t>
  </si>
  <si>
    <t>jaringan_value</t>
  </si>
  <si>
    <t>buang_tinja_value</t>
  </si>
  <si>
    <t>jumlah_kc</t>
  </si>
  <si>
    <t>air_minum_label</t>
  </si>
  <si>
    <t>air_minum</t>
  </si>
  <si>
    <t>air_minum_value</t>
  </si>
  <si>
    <t>nama_kp</t>
  </si>
  <si>
    <t>sumber_penerangan_label</t>
  </si>
  <si>
    <t>alamat_kp</t>
  </si>
  <si>
    <t>sumber_penerangan</t>
  </si>
  <si>
    <t>sumber_penerangan_value</t>
  </si>
  <si>
    <t>email_kp</t>
  </si>
  <si>
    <t>jml_meteran</t>
  </si>
  <si>
    <t>negara_kp_label</t>
  </si>
  <si>
    <t>negara_kp</t>
  </si>
  <si>
    <t>listrik_sebulan</t>
  </si>
  <si>
    <t>negara_kp_value</t>
  </si>
  <si>
    <t>pulsa_sebulan</t>
  </si>
  <si>
    <t>tcz_37526b20.base_table_user_allocation_new</t>
  </si>
  <si>
    <t>tcz_37526b20.pair_label_value_0</t>
  </si>
  <si>
    <t>pengeluaran_makanan_mingguan</t>
  </si>
  <si>
    <t>prov_kp_label</t>
  </si>
  <si>
    <t>prov_kp</t>
  </si>
  <si>
    <t>pengeluaran_non_makan_bulanan</t>
  </si>
  <si>
    <t>prov_kp_value</t>
  </si>
  <si>
    <t>pengeluaran_non_makan_tahunan</t>
  </si>
  <si>
    <t>kab_kp_label</t>
  </si>
  <si>
    <t>kab_kp</t>
  </si>
  <si>
    <t>jumlah_tabung3kg_new</t>
  </si>
  <si>
    <t>kab_kp_value</t>
  </si>
  <si>
    <t>jumlah_tabung5kg_new</t>
  </si>
  <si>
    <t>internet_label</t>
  </si>
  <si>
    <t>internet</t>
  </si>
  <si>
    <t>jumlah_kulkas_new</t>
  </si>
  <si>
    <t>internet_value</t>
  </si>
  <si>
    <t>jumlah_ac_new</t>
  </si>
  <si>
    <t>internet_produksi_label</t>
  </si>
  <si>
    <t>internet_produksi</t>
  </si>
  <si>
    <t>jumlah_emas_new</t>
  </si>
  <si>
    <t>internet_produksi_value</t>
  </si>
  <si>
    <t>jumlah_laptop_new</t>
  </si>
  <si>
    <t>internet_pesanan_label</t>
  </si>
  <si>
    <t>internet_pesanan</t>
  </si>
  <si>
    <t>tcz_37526b20.pusat_nested</t>
  </si>
  <si>
    <t>internet_pesanan_value</t>
  </si>
  <si>
    <t>jumlah_motor_new</t>
  </si>
  <si>
    <t>internet_distribusi_label</t>
  </si>
  <si>
    <t>internet_distribusi</t>
  </si>
  <si>
    <t>nilai_motor</t>
  </si>
  <si>
    <t>internet_distribusi_value</t>
  </si>
  <si>
    <t>jumlah_mobil_new</t>
  </si>
  <si>
    <t>internet_beli_label</t>
  </si>
  <si>
    <t>internet_beli</t>
  </si>
  <si>
    <t>nilai_mobil</t>
  </si>
  <si>
    <t>internet_beli_value</t>
  </si>
  <si>
    <t>jumlah_lahan_new</t>
  </si>
  <si>
    <t>internet_promosi_label</t>
  </si>
  <si>
    <t>internet_promosi</t>
  </si>
  <si>
    <t>nilai_lahan</t>
  </si>
  <si>
    <t>internet_promosi_value</t>
  </si>
  <si>
    <t>jumlah_rumah_new</t>
  </si>
  <si>
    <t>kp_kbli_label</t>
  </si>
  <si>
    <t>kp_kbli</t>
  </si>
  <si>
    <t>internet_lainnya_label</t>
  </si>
  <si>
    <t>nilai_rumah</t>
  </si>
  <si>
    <t>internet_lainnya</t>
  </si>
  <si>
    <t>kp_kbli_value</t>
  </si>
  <si>
    <t>foto_depan_filename</t>
  </si>
  <si>
    <t>foto_depan</t>
  </si>
  <si>
    <t>internet_lainnya_value</t>
  </si>
  <si>
    <t>kp_cabang</t>
  </si>
  <si>
    <t>digital_label</t>
  </si>
  <si>
    <t>digital</t>
  </si>
  <si>
    <t>foto_depan_uri</t>
  </si>
  <si>
    <t>kp_cat</t>
  </si>
  <si>
    <t>digital_value</t>
  </si>
  <si>
    <t>foto_depan_url</t>
  </si>
  <si>
    <t>kp_pengeluaran</t>
  </si>
  <si>
    <t>foto_ruang_tamu_filename</t>
  </si>
  <si>
    <t>foto_ruang_tamu</t>
  </si>
  <si>
    <t>produksi_lingkungan_label</t>
  </si>
  <si>
    <t>produksi_lingkungan</t>
  </si>
  <si>
    <t>kp_pendapatan</t>
  </si>
  <si>
    <t>foto_ruang_tamu_uri</t>
  </si>
  <si>
    <t>produksi_lingkungan_value</t>
  </si>
  <si>
    <t>foto_ruang_tamu_url</t>
  </si>
  <si>
    <t>kp_var</t>
  </si>
  <si>
    <t>perlindungan_lingkungan_label</t>
  </si>
  <si>
    <t>perlindungan_lingkungan</t>
  </si>
  <si>
    <t>kode_jenis</t>
  </si>
  <si>
    <t>nama_info_list_value</t>
  </si>
  <si>
    <t>nama_info_list</t>
  </si>
  <si>
    <t>perlindungan_lingkungan_value</t>
  </si>
  <si>
    <t>nama_lain</t>
  </si>
  <si>
    <t>produk_seni_label</t>
  </si>
  <si>
    <t>produk_seni</t>
  </si>
  <si>
    <t>telp_info</t>
  </si>
  <si>
    <t>produk_seni_value</t>
  </si>
  <si>
    <t>email_info</t>
  </si>
  <si>
    <t>halal_label</t>
  </si>
  <si>
    <t>halal</t>
  </si>
  <si>
    <t>catatan</t>
  </si>
  <si>
    <t>halal_value</t>
  </si>
  <si>
    <t>waktu_selesai</t>
  </si>
  <si>
    <t>sudah_halal</t>
  </si>
  <si>
    <t>cek_anomali_button</t>
  </si>
  <si>
    <t>belum_halal</t>
  </si>
  <si>
    <t>anomali_admin</t>
  </si>
  <si>
    <t>izin_edar_label</t>
  </si>
  <si>
    <t>izin_edar</t>
  </si>
  <si>
    <t>catatan_anomali_admin</t>
  </si>
  <si>
    <t>izin_edar_value</t>
  </si>
  <si>
    <t>anomali_1_penjelasan</t>
  </si>
  <si>
    <t>sudah_bpom</t>
  </si>
  <si>
    <t>anomali_2_penjelasan</t>
  </si>
  <si>
    <t>belum_bpom</t>
  </si>
  <si>
    <t>anomali_3_penjelasan</t>
  </si>
  <si>
    <t>mitra_kdkmp_label</t>
  </si>
  <si>
    <t>mitra_kdkmp</t>
  </si>
  <si>
    <t>anomali_4_penjelasan</t>
  </si>
  <si>
    <t>mitra_kdkmp_value</t>
  </si>
  <si>
    <t>anomali_5_penjelasan</t>
  </si>
  <si>
    <t>peran_mbg_label</t>
  </si>
  <si>
    <t>peran_mbg</t>
  </si>
  <si>
    <t>anomali_6_penjelasan</t>
  </si>
  <si>
    <t>anomali_7_penjelasan</t>
  </si>
  <si>
    <t>peran_mbg_value</t>
  </si>
  <si>
    <t>anomali_8_penjelasan</t>
  </si>
  <si>
    <t>barang_non_pddk_label</t>
  </si>
  <si>
    <t>barang_non_pddk</t>
  </si>
  <si>
    <t>anomali_1_dtsen_penjelasan</t>
  </si>
  <si>
    <t>barang_non_pddk_value</t>
  </si>
  <si>
    <t>anomali_2_dtsen_penjelasan</t>
  </si>
  <si>
    <t>jasa_non_pddk_label</t>
  </si>
  <si>
    <t>jasa_non_pddk</t>
  </si>
  <si>
    <t>anomali_3_dtsen_penjelasan</t>
  </si>
  <si>
    <t>jasa_non_pddk_value</t>
  </si>
  <si>
    <t>anomali_4_dtsen_penjelasan</t>
  </si>
  <si>
    <t>beli_jasa_non_pddk_label</t>
  </si>
  <si>
    <t>beli_jasa_non_pddk</t>
  </si>
  <si>
    <t>anomali_5_dtsen_penjelasan</t>
  </si>
  <si>
    <t>beli_jasa_non_pddk_value</t>
  </si>
  <si>
    <t>anomali_6_dtsen_penjelasan</t>
  </si>
  <si>
    <t>tk_laki</t>
  </si>
  <si>
    <t>anomali_7_dtsen_penjelasan</t>
  </si>
  <si>
    <t>tk_pr</t>
  </si>
  <si>
    <t>tanggal_mulai_anomali</t>
  </si>
  <si>
    <t>total_tk_jk</t>
  </si>
  <si>
    <t>tcz_37526b20.root_table</t>
  </si>
  <si>
    <t>nama_info</t>
  </si>
  <si>
    <t>cek_tk_jk_pml_label</t>
  </si>
  <si>
    <t>cek_tk_jk_pml</t>
  </si>
  <si>
    <t>nik_kk</t>
  </si>
  <si>
    <t>cek_tk_jk_pml_value</t>
  </si>
  <si>
    <t>label_usaha</t>
  </si>
  <si>
    <t>tk_dibayar</t>
  </si>
  <si>
    <t>cek_anomali</t>
  </si>
  <si>
    <t>tk_tdk_dibayar</t>
  </si>
  <si>
    <t>prelist_dtsen</t>
  </si>
  <si>
    <t>total_tk_bayar</t>
  </si>
  <si>
    <t>idsbr_keluarga</t>
  </si>
  <si>
    <t>cek_tk_bayar_pml_label</t>
  </si>
  <si>
    <t>cek_tk_bayar_pml</t>
  </si>
  <si>
    <t>idsbr_match</t>
  </si>
  <si>
    <t>cek_tk_bayar_pml_value</t>
  </si>
  <si>
    <t>cawi_identifier</t>
  </si>
  <si>
    <t>tahun_operasi</t>
  </si>
  <si>
    <t>is_cawi</t>
  </si>
  <si>
    <t>keberadaan_label</t>
  </si>
  <si>
    <t>keberadaan</t>
  </si>
  <si>
    <t>gaji</t>
  </si>
  <si>
    <t>tanggal_anomali</t>
  </si>
  <si>
    <t>keberadaan_value</t>
  </si>
  <si>
    <t>is_from_cawi</t>
  </si>
  <si>
    <t>biaya_produksi</t>
  </si>
  <si>
    <t>biaya_pembelian</t>
  </si>
  <si>
    <t>anomali_8_resolved_at</t>
  </si>
  <si>
    <t>operasional</t>
  </si>
  <si>
    <t>is_cawi_keluarga</t>
  </si>
  <si>
    <t>non_operasional</t>
  </si>
  <si>
    <t>tanda_info</t>
  </si>
  <si>
    <t>total_pengeluaran</t>
  </si>
  <si>
    <t>anomali_7_resolved_at</t>
  </si>
  <si>
    <t>cek_output26f_pml_label</t>
  </si>
  <si>
    <t>cek_output26f_pml</t>
  </si>
  <si>
    <t>ket_editable</t>
  </si>
  <si>
    <t>cek_output26f_pml_value</t>
  </si>
  <si>
    <t>anomali_6_resolved_at</t>
  </si>
  <si>
    <t>nilai_pendapatan</t>
  </si>
  <si>
    <t>template</t>
  </si>
  <si>
    <t>position</t>
  </si>
  <si>
    <t>row_num</t>
  </si>
  <si>
    <t>section</t>
  </si>
  <si>
    <t>number</t>
  </si>
  <si>
    <t>label</t>
  </si>
  <si>
    <t>type</t>
  </si>
  <si>
    <t>UMKM</t>
  </si>
  <si>
    <t>PENGANTAR</t>
  </si>
  <si>
    <t>Waktu Mulai</t>
  </si>
  <si>
    <t>NowInput</t>
  </si>
  <si>
    <t>ub_prelist</t>
  </si>
  <si>
    <t>Waktu Kunjungan I</t>
  </si>
  <si>
    <t>pendapatan_lain</t>
  </si>
  <si>
    <t>Catatan Kunjungan I</t>
  </si>
  <si>
    <t>Text Area</t>
  </si>
  <si>
    <t>Waktu Kunjungan II Waktu Kunjungan II Hanya Dapat Diisi Empat Jam setelah Kunjungan I</t>
  </si>
  <si>
    <t>Catatan Kunjungan II</t>
  </si>
  <si>
    <t>Waktu Kunjungan III Waktu Kunjungan III Hanya Dapat Diisi Empat Jam setelah Kunjungan II</t>
  </si>
  <si>
    <t>kode_prov</t>
  </si>
  <si>
    <t>total_pendapatan</t>
  </si>
  <si>
    <t>Alasan Nonrespon</t>
  </si>
  <si>
    <t>Radio Group</t>
  </si>
  <si>
    <t>Catatan Kunjungan III</t>
  </si>
  <si>
    <t>Waktu Kunjungan PML</t>
  </si>
  <si>
    <t>Geotaging oleh PML</t>
  </si>
  <si>
    <t>GpsInput</t>
  </si>
  <si>
    <t>prelist_dtsen_var</t>
  </si>
  <si>
    <t>Catatan Kunjungan PML</t>
  </si>
  <si>
    <t>IDENTITAS WILAYAH</t>
  </si>
  <si>
    <t>1</t>
  </si>
  <si>
    <t>Provinsi</t>
  </si>
  <si>
    <t>Text Input</t>
  </si>
  <si>
    <t>2</t>
  </si>
  <si>
    <t>Kabupaten/Kota</t>
  </si>
  <si>
    <t>cek_input27c_pml_label</t>
  </si>
  <si>
    <t>cek_input27c_pml</t>
  </si>
  <si>
    <t>3</t>
  </si>
  <si>
    <t>Kecamatan</t>
  </si>
  <si>
    <t>4</t>
  </si>
  <si>
    <t>Desa/Kelurahan</t>
  </si>
  <si>
    <t>alasan_nib_label</t>
  </si>
  <si>
    <t>alasan_nib</t>
  </si>
  <si>
    <t>anomali_5_resolved_at</t>
  </si>
  <si>
    <t>Apakah Terdapat Perubahan Wilayah?</t>
  </si>
  <si>
    <t>Select</t>
  </si>
  <si>
    <t>cek_input27c_pml_value</t>
  </si>
  <si>
    <t>alasan_nib_value</t>
  </si>
  <si>
    <t>5</t>
  </si>
  <si>
    <t>Klasifikasi Desa/Kelurahan</t>
  </si>
  <si>
    <t>6</t>
  </si>
  <si>
    <t>Kode SLS/Non-SLS/Sub-SLS</t>
  </si>
  <si>
    <t>7</t>
  </si>
  <si>
    <t>Nama SLS/Non-SLS</t>
  </si>
  <si>
    <t>prov_kab</t>
  </si>
  <si>
    <t>8</t>
  </si>
  <si>
    <t>Apakah mengalami perubahan SLS (pemekaran/penggabungan/perubahan nama/perubahan batas?)</t>
  </si>
  <si>
    <t>9</t>
  </si>
  <si>
    <t>Nama SLS/Non-SLS Lapangan</t>
  </si>
  <si>
    <t>pendapatan_online</t>
  </si>
  <si>
    <t>tulis_alasan_nib</t>
  </si>
  <si>
    <t>10</t>
  </si>
  <si>
    <t>Kodepos</t>
  </si>
  <si>
    <t>Nama Jalan/Gang/Komplek/Gedung/dll (Tuliskan dengan rinci)</t>
  </si>
  <si>
    <t>Blok/Nomor Rumah (Jika tidak ada nomor rumah, tulis strip (-))</t>
  </si>
  <si>
    <t>anomali_4_resolved_at</t>
  </si>
  <si>
    <t>Apakah alamat di atas sesuai dengan alamat pada Kartu Keluarga?</t>
  </si>
  <si>
    <t>SE2026 - P</t>
  </si>
  <si>
    <t>Jenis Prelist</t>
  </si>
  <si>
    <t>aset_usaha_thn</t>
  </si>
  <si>
    <t>Variable</t>
  </si>
  <si>
    <t>Tambah : Pilih jenis assignment yang akan ditambahkan</t>
  </si>
  <si>
    <t>Daftar Usaha Non Prelist Pilih "Tidak Ditemukan" jika nama usaha tidak ada di daftar usaha</t>
  </si>
  <si>
    <t>Nama dari Lookup</t>
  </si>
  <si>
    <t>jk_krt</t>
  </si>
  <si>
    <t>Nama Bangunan/ Usaha/ Perusahaan $ket</t>
  </si>
  <si>
    <t>aset_lain_thn</t>
  </si>
  <si>
    <t>nama_pj</t>
  </si>
  <si>
    <t>Nomor KK $ket</t>
  </si>
  <si>
    <t>NIK $ket</t>
  </si>
  <si>
    <t>Nama Kepala Keluarga (KK) $ket</t>
  </si>
  <si>
    <t>ub</t>
  </si>
  <si>
    <t>‎ Hasil Pengecekan NIK</t>
  </si>
  <si>
    <t>total_aset_thn</t>
  </si>
  <si>
    <t>jk_pj_label</t>
  </si>
  <si>
    <t>Nama Anggota Keluarga Lainnya $ket</t>
  </si>
  <si>
    <t>jk_pj</t>
  </si>
  <si>
    <t>Alamat dari lookup</t>
  </si>
  <si>
    <t>Jumlah Usaha yang Dimiliki Seluruh Anggota Keluarga (Sumber: UMKM dan ST2023)</t>
  </si>
  <si>
    <t>rentang_aset_thn_label</t>
  </si>
  <si>
    <t>Keberadaan Keluarga</t>
  </si>
  <si>
    <t>anomali_3_resolved_at</t>
  </si>
  <si>
    <t>rentang_aset_thn</t>
  </si>
  <si>
    <t>Keberadaan Bangunan Lainnya/ Usaha</t>
  </si>
  <si>
    <t>jk_pj_value</t>
  </si>
  <si>
    <t>Alamat (Prelist)</t>
  </si>
  <si>
    <t>rentang_aset_thn_value</t>
  </si>
  <si>
    <t>umur_krt</t>
  </si>
  <si>
    <t>Apakah alamat tersebut sesuai dengan alamat pada Kartu Keluarga?</t>
  </si>
  <si>
    <t>daftar_kp</t>
  </si>
  <si>
    <t>Daftar kantor Pusat</t>
  </si>
  <si>
    <t>umur_pj</t>
  </si>
  <si>
    <t>NOMOR URUT BANGUNAN TERBESAR:</t>
  </si>
  <si>
    <t>Nomor Urut Bangunan</t>
  </si>
  <si>
    <t>Number</t>
  </si>
  <si>
    <t>luas_tanah_thn</t>
  </si>
  <si>
    <t>Kode Penggunaan Bangunan</t>
  </si>
  <si>
    <t>Geotagging</t>
  </si>
  <si>
    <t>flag_pbi</t>
  </si>
  <si>
    <t>Foto tampak depan (harus mencakup atap dan dinding)</t>
  </si>
  <si>
    <t>PhotoInput</t>
  </si>
  <si>
    <t>nik_pj</t>
  </si>
  <si>
    <t>Jumlah Anggota Keluarga Berdasarkan Kartu Keluarga</t>
  </si>
  <si>
    <t>Jumlah Anggota Keluarga Yang menetap di dalam bangunan tempat tinggal minimal 1 tahun, atau kurang dari 1 tahun dan berniat menetap</t>
  </si>
  <si>
    <t>cek_asetThn_pml_label</t>
  </si>
  <si>
    <t>cek_asetThn_pml</t>
  </si>
  <si>
    <t>Apakah $namaKK atau anggota keluarga dari $namaKK memiliki usaha penyewaan lahan atau kontrakan atau kos kosan?</t>
  </si>
  <si>
    <t>anomali_2_resolved_at</t>
  </si>
  <si>
    <t>Apakah $namaKK atau anggota keluarga dari $namaKK memiliki usaha keliling (pedagang sayur keliling, ojek keliling, tukang becak keliling, supir</t>
  </si>
  <si>
    <t>jml_kc</t>
  </si>
  <si>
    <t>Apakah $namaKK atau anggota keluarga dari $namaKK memiliki usaha online contoh: menjual barang melalui tokopedia/ shopee/website/ instagram tanpa memiliki toko?</t>
  </si>
  <si>
    <t>Apakah $namaKK atau anggota keluarga dari $namaKK memiliki usaha di luar tempat tinggal, yang lokasi usahanya tetap tetapi peralatan/ perlengkapan usahanya dipindah/ dibawa pulang/ dibongkar pasang (misal: usaha kaki lima/ tenda seafood yang jika sudah tutup semua peralatan akan dibawa pulang, usaha dagang martabak gerobakan yang mangkal di pinggir jalan namun jika sudah selesai gerobak akan dibawa pulang, dan usaha lain yang sejenis)</t>
  </si>
  <si>
    <t>Apakah $namaKK atau anggota keluarga dari $namaKK memiliki usaha sebagai pemborong konstruksi/perusahaan konstruksi yang berlokasi di tempat tinggal ini atau penggalian perorangan?</t>
  </si>
  <si>
    <t>cek_asetThn_pml_value</t>
  </si>
  <si>
    <t>Apakah $namaKK atau anggota keluarga dari $namaKK memiliki usaha lain? Seperti mengajar privat dari rumah ke rumah, Freelance, YouTuber, Konten Kreator, Afiliator, dan semua usaha lainnya yang dilakukan dalam bangunan ini?</t>
  </si>
  <si>
    <t>anomali_1_resolved_at</t>
  </si>
  <si>
    <t>Apakah $namaKK atau anggota keluarga dari $namaKK selama setahun yang lalu mengelola usaha pertanian Tanaman Pangan dengan tujuan sebagian atau seluruh hasilnya untuk dijual/ditukar? termasuk yang seluruhnya dikonsumsi sendiri (padi, jagung, kedelai, kacang tanah, kacang hijau, ubi kayu, ubi jalar, talas, ganyong, dan palawija lainnya)</t>
  </si>
  <si>
    <t>sertifikat_halal_label</t>
  </si>
  <si>
    <t>sertifikat_halal</t>
  </si>
  <si>
    <t>Apakah $namaKK atau anggota keluarga dari $namaKK selama setahun yang lalu mengelola usaha pertanian Hortikultura dengan tujuan sebagian atau seluruh hasilnya untuk dijual/ditukar?</t>
  </si>
  <si>
    <t>Apakah $namaKK atau anggota keluarga dari $namaKK selama setahun yang lalu mengelola usaha pertanian Perkebunan dengan tujuan sebagian atau seluruh hasilnya untuk dijual/ditukar?</t>
  </si>
  <si>
    <t>pribadi</t>
  </si>
  <si>
    <t>Apakah $namaKK atau anggota keluarga dari $namaKK selama setahun yang lalu mengelola usaha pertanian Peternakan dengan tujuan sebagian atau seluruh hasilnya untuk dijual/ditukar?</t>
  </si>
  <si>
    <t>no_kk_prelist</t>
  </si>
  <si>
    <t>Apakah $namaKK atau anggota keluarga dari $namaKK selama setahun yang lalu mengelola usaha pertanian Kehutanan dengan tujuan sebagian atau seluruh hasilnya untuk dijual/ditukar?</t>
  </si>
  <si>
    <t>sertifikat_halal_value</t>
  </si>
  <si>
    <t>Apakah $namaKK atau anggota keluarga dari $namaKK selama setahun yang lalu mengelola usaha pertanian Perikanan dengan tujuan sebagian atau seluruh hasilnya untuk dijual/ditukar?</t>
  </si>
  <si>
    <t>Apakah $namaKK atau anggota keluarga dari $namaKK selama setahun yang lalu mengelola usaha pertanian Jasa Pertanian dengan tujuan sebagian atau seluruh hasilnya untuk dijual/ditukar?</t>
  </si>
  <si>
    <t>Jumlah usaha yang ditemukan Jumlah usaha akan terisi dengan meng-update keberadaan usaha</t>
  </si>
  <si>
    <t>tambah_dtsen</t>
  </si>
  <si>
    <t>SE2026 - L BLOK I</t>
  </si>
  <si>
    <t>Nama Anggota Keluarga Baru</t>
  </si>
  <si>
    <t>List Text Repeat</t>
  </si>
  <si>
    <t>nik_prelist</t>
  </si>
  <si>
    <t>Nama anggota keluarga</t>
  </si>
  <si>
    <t>nama_dtsen_edit</t>
  </si>
  <si>
    <t>non_pddk_barang_label</t>
  </si>
  <si>
    <t>non_pddk_barang</t>
  </si>
  <si>
    <t>non_profit</t>
  </si>
  <si>
    <t>Nama Anggota Keluarga (Perbaiki apabila nama anggota keluarga yang ditampilkan belum sesuai)</t>
  </si>
  <si>
    <t>Nomor Induk Kependudukan (NIK) $NAME$ (Tulis sesuai yang tercantum di KK atau KTP paling mutakhir)</t>
  </si>
  <si>
    <t>htmlHasilPemadananNIK</t>
  </si>
  <si>
    <t>Hasil Pengecekan NIK</t>
  </si>
  <si>
    <t>Hubungan $NAME$ dengan Kepala Keluarga</t>
  </si>
  <si>
    <t>a. Keberadaan (status) anggota keluarga saat ini</t>
  </si>
  <si>
    <t>non_pddk_barang_value</t>
  </si>
  <si>
    <t>publik</t>
  </si>
  <si>
    <t>b. Alamat domisili:</t>
  </si>
  <si>
    <t>a</t>
  </si>
  <si>
    <t>b</t>
  </si>
  <si>
    <t>nama_principal</t>
  </si>
  <si>
    <t>non_pddk_jasa_label</t>
  </si>
  <si>
    <t>10LN</t>
  </si>
  <si>
    <t>non_pddk_jasa</t>
  </si>
  <si>
    <t>Negara domisili Individu (luar negeri)</t>
  </si>
  <si>
    <t>non_publik</t>
  </si>
  <si>
    <t>11</t>
  </si>
  <si>
    <t>Apakah status perkawinan $NAME$</t>
  </si>
  <si>
    <t>12</t>
  </si>
  <si>
    <t>Jenis Kelamin $NAME$</t>
  </si>
  <si>
    <t>var_desa</t>
  </si>
  <si>
    <t>• Tanggal Lahir</t>
  </si>
  <si>
    <t>non_pddk_jasa_value</t>
  </si>
  <si>
    <t>• Bulan Lahir</t>
  </si>
  <si>
    <t>• Tahun Lahir</t>
  </si>
  <si>
    <t>Masking</t>
  </si>
  <si>
    <t>13</t>
  </si>
  <si>
    <t>b. Umur $NAME$</t>
  </si>
  <si>
    <t>pemerintah</t>
  </si>
  <si>
    <t>anomali_1_dtsen_resolved_at</t>
  </si>
  <si>
    <t>Apakah $NAME$ memiliki usaha$label_berikut? $daftar_usaha</t>
  </si>
  <si>
    <t>usaha_tinggal_ak</t>
  </si>
  <si>
    <t>c1. Usaha di dalam bangunan tempat tinggal ini (contoh: usaha online, catering, les privat, dsb, yang dilakukan di tempat tinggal).</t>
  </si>
  <si>
    <t>tk_perempuan</t>
  </si>
  <si>
    <t>usaha_keliling_ak</t>
  </si>
  <si>
    <t>c2. Usaha keliling (contoh: pedagang sayur keliling, ojek keliling, tukang becak keliling, supir)</t>
  </si>
  <si>
    <t>usaha_bongkar_ak</t>
  </si>
  <si>
    <t>c3. Usaha di luar bangunan tempat tinggal dengan lokasi tetap dan perlengkapan usaha dipindah/dibongkar pasang (contoh: usaha kaki lima/tenda/gerobakan)</t>
  </si>
  <si>
    <t>has_kodepos</t>
  </si>
  <si>
    <t>usaha_konstruksi_ak</t>
  </si>
  <si>
    <t>asing</t>
  </si>
  <si>
    <t>c4. Usaha konstruksi perorangan, pertambangan dan penggalian perorangan</t>
  </si>
  <si>
    <t>usaha_sewa_ak</t>
  </si>
  <si>
    <t>c5. Usaha persewaan rumah/kamar/kantor</t>
  </si>
  <si>
    <t>tk_total</t>
  </si>
  <si>
    <t>usaha_tanaman_ak</t>
  </si>
  <si>
    <t>c6. Usaha pertanian perorangan (bukan perusahaan)</t>
  </si>
  <si>
    <t>usaha_hortikultura_ak</t>
  </si>
  <si>
    <t>c7. Usaha pertanian perorangan (bukan perusahaan)</t>
  </si>
  <si>
    <t>usaha_perkebunan_ak</t>
  </si>
  <si>
    <t>anomali_2_dtsen_resolved_at</t>
  </si>
  <si>
    <t>c8. Usaha pertanian perorangan (bukan perusahaan)</t>
  </si>
  <si>
    <t>usaha_peternakan_ak</t>
  </si>
  <si>
    <t>info_total</t>
  </si>
  <si>
    <t>c9. Usaha pertanian perorangan (bukan perusahaan)</t>
  </si>
  <si>
    <t>cek_tk_pml</t>
  </si>
  <si>
    <t>usaha_kehutanan_ak</t>
  </si>
  <si>
    <t>c10. Usaha pertanian perorangan (bukan perusahaan)</t>
  </si>
  <si>
    <t>usaha_perikanan_ak</t>
  </si>
  <si>
    <t>c11. Usaha pertanian perorangan (bukan perusahaan)</t>
  </si>
  <si>
    <t>usaha_jasa_pertanian_ak</t>
  </si>
  <si>
    <t>hasilPemadananNIK_p</t>
  </si>
  <si>
    <t>c12. Usaha pertanian perorangan (bukan perusahaan)</t>
  </si>
  <si>
    <t>nama_usaha_tambahan</t>
  </si>
  <si>
    <t>SE2026 - L BLOK II</t>
  </si>
  <si>
    <t>Nama Usaha Tambahan</t>
  </si>
  <si>
    <t>cek_output_pml</t>
  </si>
  <si>
    <t>gaji_bln</t>
  </si>
  <si>
    <t>Nama Kantor/ Unit</t>
  </si>
  <si>
    <t>Jenis Unit</t>
  </si>
  <si>
    <t>htmlHasilPemadananNIK2_p</t>
  </si>
  <si>
    <t>Pilih UMKM dalam satu SLS yang sama</t>
  </si>
  <si>
    <t>persen_online</t>
  </si>
  <si>
    <t>Kabupaten</t>
  </si>
  <si>
    <t>biaya_produksi_bln</t>
  </si>
  <si>
    <t>anomali_3_dtsen_resolved_at</t>
  </si>
  <si>
    <t>Apakah perusahaan ini memproduksi barang/jasa yang ramah lingkungan?</t>
  </si>
  <si>
    <t>cek_input_pml</t>
  </si>
  <si>
    <t>Apakah perusahaan ini mengeluarkan biaya perlindungan lingkungan dan/atau pembelian barang dan jasa yang ramah lingkungan</t>
  </si>
  <si>
    <t>anomali_4_dtsen_resolved_at</t>
  </si>
  <si>
    <t>Jumlah Pekerja (per 31 Desember 2025) (orang)</t>
  </si>
  <si>
    <t>biaya_pembelian_bln</t>
  </si>
  <si>
    <t>KBLI</t>
  </si>
  <si>
    <t>aset_tanah</t>
  </si>
  <si>
    <t>Kelurahan/Desa/Nagari</t>
  </si>
  <si>
    <t>anomali_5_dtsen_resolved_at</t>
  </si>
  <si>
    <t>Pengeluaran Tahun 2025 (Rupiah)</t>
  </si>
  <si>
    <t>Currency</t>
  </si>
  <si>
    <t>Kode SLS/Sub-SLS</t>
  </si>
  <si>
    <t>Pendapatan Tahun 2025 (Rupiah)</t>
  </si>
  <si>
    <t>operasional_bln</t>
  </si>
  <si>
    <t>anomali_6_dtsen_resolved_at</t>
  </si>
  <si>
    <t>Nama SLS/Sub-SLS</t>
  </si>
  <si>
    <t>aset_non_tanah</t>
  </si>
  <si>
    <t>Nomor Bangunan</t>
  </si>
  <si>
    <t>CATATAN</t>
  </si>
  <si>
    <t>Nomor Urut Usaha/Perusahaan</t>
  </si>
  <si>
    <t>a. Nama usaha/perusahaan</t>
  </si>
  <si>
    <t>aset_total</t>
  </si>
  <si>
    <t>jml_meteran_var</t>
  </si>
  <si>
    <t>non_operasional_bln</t>
  </si>
  <si>
    <t>Keberadaan Usaha</t>
  </si>
  <si>
    <t>$label_edit $hint_edit</t>
  </si>
  <si>
    <t>b. Nama komersial usaha/perusahaan Jika tidak memiliki nama komersial, maka tuliskan nama usaha/perusahaan.</t>
  </si>
  <si>
    <t>8c</t>
  </si>
  <si>
    <t>Alamat usaha/perusahaan</t>
  </si>
  <si>
    <t>anomali_7_dtsen_resolved_at</t>
  </si>
  <si>
    <t>rentang_aset_label</t>
  </si>
  <si>
    <t>• RT</t>
  </si>
  <si>
    <t>rentang_aset</t>
  </si>
  <si>
    <t>• RW</t>
  </si>
  <si>
    <t>cek_output30f_pml_label</t>
  </si>
  <si>
    <t>cek_output30f_pml</t>
  </si>
  <si>
    <t>• Kode Pos</t>
  </si>
  <si>
    <t>- Kode Area</t>
  </si>
  <si>
    <t>alamat_klrg</t>
  </si>
  <si>
    <t>- Nomor Telepon</t>
  </si>
  <si>
    <t>- Ekstensi</t>
  </si>
  <si>
    <t>rentang_aset_value</t>
  </si>
  <si>
    <t>• Email</t>
  </si>
  <si>
    <t>• Nomor HP/whatsapp:</t>
  </si>
  <si>
    <t>total_pendapatan_keluarga_sebulan</t>
  </si>
  <si>
    <t>cek_output30f_pml_value</t>
  </si>
  <si>
    <t>• Homepage/website Alamat website diawali dengan www. Contoh : www.bps.go.id</t>
  </si>
  <si>
    <t>d. Jenis kawasan beroperasi</t>
  </si>
  <si>
    <t>e. Nama KEK/KI</t>
  </si>
  <si>
    <t>luas_tanah</t>
  </si>
  <si>
    <t>e. Nama kawasan Contoh: KEK Mandalika, Kawasan Industri Jababeka, Stasiun Gambir, Bandara Soekarno-Hatta, Pelabuhan Tanjung Priok, Terminal Pulo Gebang, Rest Area KM 57 Tol Jakarta–Cikampek, Sentra Batik Laweyan, Kompleks Pertokoan ITC Mangga Dua</t>
  </si>
  <si>
    <t>kode_keberedaan_keluarga</t>
  </si>
  <si>
    <t>a. Apa jenis usaha/perusahaan ini?</t>
  </si>
  <si>
    <t>b1. Alamat/lokasi usaha utama</t>
  </si>
  <si>
    <t>total_pengeluaran_bln</t>
  </si>
  <si>
    <t>b2. Provinsi</t>
  </si>
  <si>
    <t>total_pengeluaran_keluarga_sebulan</t>
  </si>
  <si>
    <t>b3. Kabupaten/Kota</t>
  </si>
  <si>
    <t>cek_aset_pml</t>
  </si>
  <si>
    <t>a. Apakah memiliki Nomor Induk Berusaha (NIB)?</t>
  </si>
  <si>
    <t>b. Tuliskan NIB:</t>
  </si>
  <si>
    <t>htmlHasilCekNIB</t>
  </si>
  <si>
    <t>kode_keluarga_new</t>
  </si>
  <si>
    <t>Hasil Pengecekan NIB</t>
  </si>
  <si>
    <t>nilai_pendapatan_bln</t>
  </si>
  <si>
    <t>c. Apa alasan utama tidak memiliki NIB?</t>
  </si>
  <si>
    <t>milik_sendiri</t>
  </si>
  <si>
    <t>kode_bangunan_new</t>
  </si>
  <si>
    <t>c. Lainnya, tuliskan....</t>
  </si>
  <si>
    <t>a. Apa status badan usaha dari usaha/perusahaan ini?</t>
  </si>
  <si>
    <t>b. Apakah koperasi ini merupakan Koperasi Desa/Kelurahan Merah Putih (KDKMP)?</t>
  </si>
  <si>
    <t>prov_l_label</t>
  </si>
  <si>
    <t>c. Apa jenis koperasi ini berdasarkan layanannya?</t>
  </si>
  <si>
    <t>jumlah_tabung3kg</t>
  </si>
  <si>
    <t>d. Apakah mempunyai laporan/catatan keuangan?</t>
  </si>
  <si>
    <t>pendapatan_lain_bln</t>
  </si>
  <si>
    <t>a. Nama Pengusaha / Penanggung Jawab</t>
  </si>
  <si>
    <t>b. Jenis Kelamin</t>
  </si>
  <si>
    <t>prov_l_value</t>
  </si>
  <si>
    <t>jumlah_tabung5kg</t>
  </si>
  <si>
    <t>c. Umur</t>
  </si>
  <si>
    <t>total_pendapatan_bln</t>
  </si>
  <si>
    <t>d. Nomor Induk Kependudukan (NIK )</t>
  </si>
  <si>
    <t>d. Nomor Induk Kependudukan (NIK)</t>
  </si>
  <si>
    <t>kab_l_label</t>
  </si>
  <si>
    <t>htmlHasilPemadananNIK_l</t>
  </si>
  <si>
    <t>no_keluarga_terbesar</t>
  </si>
  <si>
    <t>a. Apa kegiatan utama usaha/perusahaan ini? Tuliskan selengkapnya</t>
  </si>
  <si>
    <t>b1. Apakah memproduksi barang di lokasi ini?</t>
  </si>
  <si>
    <t>b2. Apakah menyediakan layanan makan minum? Ciri: terdapat kegiatan peracikkan, pemanasan ulang, atau pembuatan produk berdasarkan pesanan/permintaan pelanggan</t>
  </si>
  <si>
    <t>cek_input31c_pml_label</t>
  </si>
  <si>
    <t>b3. Apakah melakukan penjualan barang?</t>
  </si>
  <si>
    <t>cek_input31c_pml</t>
  </si>
  <si>
    <t>kab_l_value</t>
  </si>
  <si>
    <t>b4. Pilih salah satu aktivitas yang dilakukan:</t>
  </si>
  <si>
    <t>no_keluarga</t>
  </si>
  <si>
    <t>c. Di mana usaha tersebut biasa dilakukan?</t>
  </si>
  <si>
    <t>d. Apa input yang digunakan? Contoh: daging ikan, tepung; daging kebab, kulit kebab, sayuran; bambu; jagung pipil; kaca; kain; kulit sapi; kayu bulat; rotan; kunci polos</t>
  </si>
  <si>
    <t>e. Bagaimana proses mengubah input tersebut menjadi produk output (beserta alatnya)? Contoh: menggiling daging ikan menjadi sosis; membuat kebab di rumah dan sudah dikemasi kemudian dititipkan di warung; penggaraman; pengasapan; pemindangan; pembekuan.</t>
  </si>
  <si>
    <t>total_modal</t>
  </si>
  <si>
    <t>f. Apa produk utama yang dihasilkan?</t>
  </si>
  <si>
    <t>jumlah_kulkas</t>
  </si>
  <si>
    <t>g. Kode KBLI</t>
  </si>
  <si>
    <t>cek_input31c_pml_value</t>
  </si>
  <si>
    <t>Pilih dari Master KBLI</t>
  </si>
  <si>
    <t>h. Kategori Lapangan Usaha:</t>
  </si>
  <si>
    <t>kec_l_label</t>
  </si>
  <si>
    <t>Cek Kategori &amp; KBLI (Diisi oleh PML)</t>
  </si>
  <si>
    <t>jumlah_ac</t>
  </si>
  <si>
    <t>i. Jika usaha/perusahaan merupakan akomodasi jangka pendek, apa klasifikasi usaha/perusahaan ini?</t>
  </si>
  <si>
    <t>pendapatan_online_bln</t>
  </si>
  <si>
    <t>14</t>
  </si>
  <si>
    <t>a. Apa jaringan usaha dari usaha/perusahaan ini?</t>
  </si>
  <si>
    <t>b. Berapa jumlah seluruh kantor cabang dan unit usaha yang berada di bawah kantor pusat?</t>
  </si>
  <si>
    <t>kec_l_value</t>
  </si>
  <si>
    <t>jumlah_emas</t>
  </si>
  <si>
    <t>15</t>
  </si>
  <si>
    <t>a. Nama Kantor Pusat</t>
  </si>
  <si>
    <t>b. Alamat Kantor Pusat</t>
  </si>
  <si>
    <t>aset_tanah_bln</t>
  </si>
  <si>
    <t>c. Email</t>
  </si>
  <si>
    <t>desa_l_label</t>
  </si>
  <si>
    <t>d. Negara</t>
  </si>
  <si>
    <t>pilihan_kode_bang</t>
  </si>
  <si>
    <t>e. Provinsi</t>
  </si>
  <si>
    <t>f. Kabupaten/Kota</t>
  </si>
  <si>
    <t>16</t>
  </si>
  <si>
    <t>a. Apakah usaha/perusahaan ini menggunakan internet dalam menjalankan usaha?</t>
  </si>
  <si>
    <t>aset_lain_bln</t>
  </si>
  <si>
    <t>b2. Produksi barang/jasa</t>
  </si>
  <si>
    <t>desa_l_value</t>
  </si>
  <si>
    <t>jumlah_laptop</t>
  </si>
  <si>
    <t>b1. Menerima pesanan barang/jasa</t>
  </si>
  <si>
    <t>b3. Distribusi barang/jasa</t>
  </si>
  <si>
    <t>b4. Membeli bahan baku online</t>
  </si>
  <si>
    <t>b5. Promosi</t>
  </si>
  <si>
    <t>jumlah_motor</t>
  </si>
  <si>
    <t>b6. Lainnya</t>
  </si>
  <si>
    <t>total_aset_bln</t>
  </si>
  <si>
    <t>c. Apakah usaha/perusahaan ini memanfaatkan teknologi digital Aritifical Intelligence (AI), Internet of Things (IoT), big data, printer 3D, blockchain, atau cloud computing ?</t>
  </si>
  <si>
    <t>17</t>
  </si>
  <si>
    <t>a. Apakah usaha/perusahaan ini memproduksi barang/jasa yang ramah lingkungan ? Contoh: Produk efisiensi energi (lampu atau mesin hemat listrik); Energi terbarukan (panel surya, turbin angin, biogas); Kendaraan ramah lingkungan (kendaraan listrik/ hybrid); Produk berbahan daur ulang (kertas/plastik daur ulang, kemasan ramah lingkungan); Jasa pengelolaan dan pembersihan limbah dan sampah (pengolahan sampah/ air limbah, daur ulang)</t>
  </si>
  <si>
    <t>b. Apakah usaha/perusahaan ini menggunakan input untuk tujuan perlindungan lingkungan dan/atau pembelian barang dan jasa yang ramah lingkungan? Contoh: Pengeluaran untuk pengelolaan dan pembersihan limbah dan sampah, pengendalian polusi udara, perbaikan tanah/ air tanah, pengurangan kebisingan, pelestarian alam/keanekaragaman hayati, audit/ penilaian lingkungan</t>
  </si>
  <si>
    <t>jumlah_mobil</t>
  </si>
  <si>
    <t>18</t>
  </si>
  <si>
    <t>Apakah usaha/perusahaan ini menggunakan produk karya seni, sastra, desain, teknologi atau warisan budaya , baik diproduksi sendiri maupun oleh pihak lain? Contoh produk karya seni: lukisan, patung, kerajinan, musik, tari, foto, film, ilustrasi, animasi, board game, dll. Contoh produk sastra: puisi, cerpen, novel, naskah drama, dll. Contoh produk desain: arsitektur, desain produk, desain interior, desain komunikasi visual, desain fesyen, dll. Contoh produk teknologi: perangkat lunak (software), aplikasi digital, aplikasi gim, perangkat elektronik, dll. Contoh produk warisan budaya: makanan tradisional, peralatan tradisional, obat tradisional, dll.</t>
  </si>
  <si>
    <t>rentang_aset_bln_label</t>
  </si>
  <si>
    <t>rentang_aset_bln</t>
  </si>
  <si>
    <t>19</t>
  </si>
  <si>
    <t>a. Apakah usaha/perusahaan ini menghasilkan produk bersertifikat halal? Rincian 19 hanya ditanyakan kepada kategori usaha/perusahaan khusus berdasarkan BPJPH.</t>
  </si>
  <si>
    <t>b. Berapa jumlah varian produk yang sudah bersertifikat halal BPJPH?</t>
  </si>
  <si>
    <t>jumlah_lahan</t>
  </si>
  <si>
    <t>c. Berapa jumlah varian produk yang belum bersertifikat halal BPJPH?</t>
  </si>
  <si>
    <t>nama_res</t>
  </si>
  <si>
    <t>20</t>
  </si>
  <si>
    <t>a. Apakah usaha/perusahaan ini memiliki izin edar? Rincian 20 hanya ditanyakan kepada kategori usaha/perusahaan khusus berdasarkan BPOM.</t>
  </si>
  <si>
    <t>rentang_aset_bln_value</t>
  </si>
  <si>
    <t>b. Berapa jumlah varian produk yang sudah memiliki izin edar BPOM?</t>
  </si>
  <si>
    <t>jumlah_rumah</t>
  </si>
  <si>
    <t>c. Berapa jumlah varian produk yang belum memiliki izin edar BPOM?</t>
  </si>
  <si>
    <t>21</t>
  </si>
  <si>
    <t>Apakah usaha/perusahaan ini bermitra dengan Koperasi Desa/Kelurahan Merah Putih (KDKMP)?</t>
  </si>
  <si>
    <t>hp_res</t>
  </si>
  <si>
    <t>22</t>
  </si>
  <si>
    <t>Apakah usaha/perusahaan ini terlibat dalam program Makan Bergizi Gratis (MBG)?</t>
  </si>
  <si>
    <t>23</t>
  </si>
  <si>
    <t>a. Penjualan dan/atau pembelian barang</t>
  </si>
  <si>
    <t>usaha_gabung</t>
  </si>
  <si>
    <t>luas_tanah_bln</t>
  </si>
  <si>
    <t>b. Penjualan jasa</t>
  </si>
  <si>
    <t>c. Pembelian jasa</t>
  </si>
  <si>
    <t>24</t>
  </si>
  <si>
    <t>a1. Pekerja laki-laki</t>
  </si>
  <si>
    <t>nama_usaha_prelist</t>
  </si>
  <si>
    <t>b1. Pekerja perempuan</t>
  </si>
  <si>
    <t>c1. Total pekerja (a1+b1)</t>
  </si>
  <si>
    <t>Cek Pekerja (c1) (Diisi oleh PML)</t>
  </si>
  <si>
    <t>email_res</t>
  </si>
  <si>
    <t>idsbr_all</t>
  </si>
  <si>
    <t>a2. Pekerja dibayar</t>
  </si>
  <si>
    <t>cek_asetBln_pml_label</t>
  </si>
  <si>
    <t>cek_asetBln_pml</t>
  </si>
  <si>
    <t>b2. Pekerja tidak dibayar</t>
  </si>
  <si>
    <t>c2. Total pekerja (a2+b2)</t>
  </si>
  <si>
    <t>Cek Pekerja (24. c2) (Diisi oleh PML)</t>
  </si>
  <si>
    <t>25</t>
  </si>
  <si>
    <t>Tahun berapa usaha/perusahaan ini mulai beroperasi secara komersial ? Tahun beroperasi komersial terdiri dari 4 angka. Contoh: 1990; 2025;dsb.</t>
  </si>
  <si>
    <t>email_all</t>
  </si>
  <si>
    <t>26</t>
  </si>
  <si>
    <t>a. Total upah dan gaji, serta jaminan sosial pegawai</t>
  </si>
  <si>
    <t>cek_asetBln_pml_value</t>
  </si>
  <si>
    <t>b. Biaya produksi</t>
  </si>
  <si>
    <t>c. Biaya pembelian barang yang terjual</t>
  </si>
  <si>
    <t>skala_usaha_all</t>
  </si>
  <si>
    <t>d. Biaya operasional (air, listrik, gas, internet, pulsa, pemeliharaan, biaya angkutan, dll.)</t>
  </si>
  <si>
    <t>e. Biaya non-operasional</t>
  </si>
  <si>
    <t>f. Total pengeluaran (a+b+c+d+e)</t>
  </si>
  <si>
    <t>pribadi_didirikan</t>
  </si>
  <si>
    <t>Cek Rincian Pengeluaran 2025 (Diisi oleh PML)</t>
  </si>
  <si>
    <t>idunik_MSSD</t>
  </si>
  <si>
    <t>27</t>
  </si>
  <si>
    <t>a. Nilai $narasi barang dan jasa</t>
  </si>
  <si>
    <t>tgl_res</t>
  </si>
  <si>
    <t>b. Pendapatan lainnya yang dihasilkan perusahaan</t>
  </si>
  <si>
    <t>c. Total nilai $narasi (a+b)</t>
  </si>
  <si>
    <t>jumlah_usaha</t>
  </si>
  <si>
    <t>nonprofit_didirikan</t>
  </si>
  <si>
    <t>Cek Rincian Pendapatan 2025 (Diisi oleh PML)</t>
  </si>
  <si>
    <t>d. Berapa persentase pendapatan yang dilakukan secara online ?</t>
  </si>
  <si>
    <t>28</t>
  </si>
  <si>
    <t>a. Nilai aset tanah dan bangunan pada 31 Desember 2025</t>
  </si>
  <si>
    <t>ya_pertanian</t>
  </si>
  <si>
    <t>b. Nilai aset selain tanah dan bangunan pada 31 Desember 2025</t>
  </si>
  <si>
    <t>publik_didirikan</t>
  </si>
  <si>
    <t>c. Nilai total aset pada 31 Desember 2025</t>
  </si>
  <si>
    <t>ttd_res</t>
  </si>
  <si>
    <t>c1. Jika tidak dapat mengisikan nilai nominal, pilih nilai total aset dalam rentang berikut</t>
  </si>
  <si>
    <t>ya_nonpertanian</t>
  </si>
  <si>
    <t>d. Berapa luas tanah yang dikuasai dan digunakan untuk kegiatan usaha pada 31 Desember 2025 ? (m 2 )</t>
  </si>
  <si>
    <t>Cek Rincian Aset 31 Des 2025 (Diisi oleh PML)</t>
  </si>
  <si>
    <t>nonpublik_didirikan</t>
  </si>
  <si>
    <t>29</t>
  </si>
  <si>
    <t>a. Pribadi/Perorangan</t>
  </si>
  <si>
    <t>DecimalInput</t>
  </si>
  <si>
    <t>b. Lembaga Nonprofit yang Melayani Rumah Tangga</t>
  </si>
  <si>
    <t>ya_gabung</t>
  </si>
  <si>
    <t>c. Korporasi Publik</t>
  </si>
  <si>
    <t>d. Korporasi Non Publik</t>
  </si>
  <si>
    <t>pemerintah_didirikan</t>
  </si>
  <si>
    <t>e. Pemerintah</t>
  </si>
  <si>
    <t>skala_usaha_prelist</t>
  </si>
  <si>
    <t>f. Asing</t>
  </si>
  <si>
    <t>g. Total (a+b+c+d+e+f) = 100 %</t>
  </si>
  <si>
    <t>30</t>
  </si>
  <si>
    <t>asing_didirikan</t>
  </si>
  <si>
    <t>d. Biaya operasional (air, listrik, gas, internet, pulsa, pemeliharaan, biaya angkutan)</t>
  </si>
  <si>
    <t>info_total_didirikan</t>
  </si>
  <si>
    <t>Cek Rincian Pengeluaran di satu bulan terakhir (Diisi oleh PML)</t>
  </si>
  <si>
    <t>31</t>
  </si>
  <si>
    <t>b. Pendapatan lainnya yang dihasilkan</t>
  </si>
  <si>
    <t>pilih_umkm_options</t>
  </si>
  <si>
    <t>Cek Rincian Pendapatan di satu bulan terakhir (Diisi oleh PML)</t>
  </si>
  <si>
    <t>bln_operasi</t>
  </si>
  <si>
    <t>e. Bulan beroperasi selama tahun 2026</t>
  </si>
  <si>
    <t>Checkbox</t>
  </si>
  <si>
    <t>32</t>
  </si>
  <si>
    <t>a. Nilai aset tanah dan bangunan pada akhir bulan yang lalu</t>
  </si>
  <si>
    <t>kode_keberadaan_usaha</t>
  </si>
  <si>
    <t>b. Nilai aset selain tanah dan bangunan pada akhir bulan yang lalu</t>
  </si>
  <si>
    <t>c. Nilai total aset pada akhir bulan yang lalu*</t>
  </si>
  <si>
    <t>c1. Jika tidak dapat mengisikan nilai nominal, pilih nilai total aset dalam rentang berikut:</t>
  </si>
  <si>
    <t>d. Berapa luas tanah yang dikuasai dan digunakan untuk kegiatan usaha pada akhir bulan yang lalu (m 2 ) ?</t>
  </si>
  <si>
    <t>skala_usaha</t>
  </si>
  <si>
    <t>Cek Rincian aset pada akhir bulan yang lalu (Diisi oleh PML)</t>
  </si>
  <si>
    <t>33</t>
  </si>
  <si>
    <t>c. Korporasi publik (%)</t>
  </si>
  <si>
    <t>is_prelist2</t>
  </si>
  <si>
    <t>id_pmss</t>
  </si>
  <si>
    <t>metod_isi</t>
  </si>
  <si>
    <t>Metode pengisian kantor cabang</t>
  </si>
  <si>
    <t>file_input</t>
  </si>
  <si>
    <t>Import CSV Daftar Kantor Cabang</t>
  </si>
  <si>
    <t>CsvInput</t>
  </si>
  <si>
    <t>SE2026 - L BLOK III</t>
  </si>
  <si>
    <t>a. Nama Kepala Keluarga</t>
  </si>
  <si>
    <t>c. Nomor kartu keluarga</t>
  </si>
  <si>
    <t>idsbr</t>
  </si>
  <si>
    <t>a. Jumlah anggota keluarga sesuai KK</t>
  </si>
  <si>
    <t>jml_kk_asgbaru</t>
  </si>
  <si>
    <t>a. Jumlah anggota keluarga sesuai KK Jumlah anggota keluarga yang ada di keterangan jumlah anggota keluarga</t>
  </si>
  <si>
    <t>b. Jumlah anggota keluarga sesuai hasil pendataan Jumlah anggota keluarga dnegan status keberadaan kode 1/3/4/5</t>
  </si>
  <si>
    <t>Nomor urut anggota keluarga</t>
  </si>
  <si>
    <t>alamat_usaha_var</t>
  </si>
  <si>
    <t>desa_prelist</t>
  </si>
  <si>
    <t>Partisipasi sekolah $NAME$</t>
  </si>
  <si>
    <t>Ijazah/STTB tertinggi yang dimiliki $NAME$ (usia 5 tahun ke atas) Ijazah/STTB tertinggi di prelist: $ijazah</t>
  </si>
  <si>
    <t>Profesi Pekerjaan Utama $NAME$ (usia 10 tahun ke atas)</t>
  </si>
  <si>
    <t>alamat_usaha</t>
  </si>
  <si>
    <t>Profesi Pekerjaan Utama lainnya:</t>
  </si>
  <si>
    <t>desa_prelist_loaded</t>
  </si>
  <si>
    <t>Status Kedudukan Dalam Pekerjaan Utama $NAME$</t>
  </si>
  <si>
    <t>a. Pendapatan dari pekerjaan baik berupa uang maupun barang/jasa (gaji, tunjangan, uang makan, honor, lembur, dll)</t>
  </si>
  <si>
    <t>Upah/Gaji</t>
  </si>
  <si>
    <t>hasilCekNIB</t>
  </si>
  <si>
    <t>Tunjangan</t>
  </si>
  <si>
    <t>c</t>
  </si>
  <si>
    <t>Uang Makan</t>
  </si>
  <si>
    <t>d</t>
  </si>
  <si>
    <t>Honor</t>
  </si>
  <si>
    <t>e</t>
  </si>
  <si>
    <t>Lembur</t>
  </si>
  <si>
    <t>f</t>
  </si>
  <si>
    <t>pengusaha_var_prelist</t>
  </si>
  <si>
    <t>Lainnya</t>
  </si>
  <si>
    <t>a1. Total Pendapatan (a+b+c+d+e+f)</t>
  </si>
  <si>
    <t>nilai_pend_pekerjaan_cawi</t>
  </si>
  <si>
    <t>kec_prelist</t>
  </si>
  <si>
    <t>a. Berapa pendapatan sebulan terakhir $NAME$ dari pekerjaan baik berupa uang maupun barang/jasa (upah atau gaji, tunjangan, uang makan, honor, lembur, dll): (isikan 0 jika tidak ada pendapatan dari pekerjaan)</t>
  </si>
  <si>
    <t>b. Pendapatan dari usaha, baik offline (warung, kos-kosan, dll) maupun online (affiliate, online shop, endorse, youtuber, dll ) :</t>
  </si>
  <si>
    <t>b1. Total Pendapatan</t>
  </si>
  <si>
    <t>hasilPemadananNIK_l</t>
  </si>
  <si>
    <t>kec_prelist_loaded</t>
  </si>
  <si>
    <t>c. Penerimaan pendapatan lain (transfer/pemberian/passive income seperti pensiunan, kupon SBN, Obligasi, dll ):</t>
  </si>
  <si>
    <t>c1. Total Pendapatan</t>
  </si>
  <si>
    <t>Apakah $NAME$ memiliki rekening aktif atau dompet digital?</t>
  </si>
  <si>
    <t>disabilitas_kel</t>
  </si>
  <si>
    <t>Apakah $NAME$ memiliki setidaknya satu jenis disabilitas di bawah ini sehingga kesulitan dalam melakukan aktivitas sehari-hari? - Disabilitas fisik - Disabilitas mental - Disabilitas intelektual - Disabilitas sensorik netra - Disabilitas sensorik rungu - Disabilitas wicara</t>
  </si>
  <si>
    <t>jenis_kegiatan</t>
  </si>
  <si>
    <t>Disabilitas Fisik</t>
  </si>
  <si>
    <t>Disabilitas Mental</t>
  </si>
  <si>
    <t>Disabilitas Intelektual</t>
  </si>
  <si>
    <t>Disabilitas Sensorik Netra</t>
  </si>
  <si>
    <t>kbli_prelist</t>
  </si>
  <si>
    <t>Disabilitas Sensorik Rungu</t>
  </si>
  <si>
    <t>Disabilitas Sensorik Wicara</t>
  </si>
  <si>
    <t>kesehatan_kel</t>
  </si>
  <si>
    <t>Apakah $NAME$ memiliki keluhan kesehatan kronis/menahun seperti Hipertensi (tekanan darah tinggi), Rematik, Asma, Masalah jantung, Diabetes (kencing manis), Tuberkulosis (TBC), Stroke, Kanker atau tumor ganas, Gagal ginjal, Hemofilia, Leukemia, Alzheimer, atau keluhan lainnya?</t>
  </si>
  <si>
    <t>Hipertensi (tekanan darah tinggi)</t>
  </si>
  <si>
    <t>kbli_genai_cawi</t>
  </si>
  <si>
    <t>Rematik</t>
  </si>
  <si>
    <t>Asma</t>
  </si>
  <si>
    <t>Masalah jantung</t>
  </si>
  <si>
    <t>Diabetes (kencing manis)</t>
  </si>
  <si>
    <t>kbli_cawi</t>
  </si>
  <si>
    <t>Tuberkulosis (TBC)</t>
  </si>
  <si>
    <t>g</t>
  </si>
  <si>
    <t>Stroke</t>
  </si>
  <si>
    <t>h</t>
  </si>
  <si>
    <t>Kanker atau tumor ganas</t>
  </si>
  <si>
    <t>j</t>
  </si>
  <si>
    <t>kbli_akhir</t>
  </si>
  <si>
    <t>Hemofilia</t>
  </si>
  <si>
    <t>i</t>
  </si>
  <si>
    <t>Gagal ginjal</t>
  </si>
  <si>
    <t>k</t>
  </si>
  <si>
    <t>HIV/AIDS</t>
  </si>
  <si>
    <t>l</t>
  </si>
  <si>
    <t>Kolestrol</t>
  </si>
  <si>
    <t>m</t>
  </si>
  <si>
    <t>Sirosis hati</t>
  </si>
  <si>
    <t>kategori_2025</t>
  </si>
  <si>
    <t>n</t>
  </si>
  <si>
    <t>Talasemia</t>
  </si>
  <si>
    <t>o</t>
  </si>
  <si>
    <t>Leukemia</t>
  </si>
  <si>
    <t>p</t>
  </si>
  <si>
    <t>Alzheimer</t>
  </si>
  <si>
    <t>q</t>
  </si>
  <si>
    <t>penyakit_lainnya</t>
  </si>
  <si>
    <t>msg_error_kategori</t>
  </si>
  <si>
    <t>Penyakit lainnya</t>
  </si>
  <si>
    <t>SE2026 - L BLOK IV</t>
  </si>
  <si>
    <t>a. Apa jenis bangunan tempat tinggal yang ditempati?</t>
  </si>
  <si>
    <t>a. Jenis bangunan tempat tinggal kode 5.Lainnya: .................</t>
  </si>
  <si>
    <t>b. Jika apartemen/rumah susun , sebutkan Nama/Nomor Lantai: .</t>
  </si>
  <si>
    <t>a. Berapa jumlah keluarga yang tinggal dalam 1 rumah/tempat tinggal?</t>
  </si>
  <si>
    <t>list_ak_tinggal</t>
  </si>
  <si>
    <t>total_tk_jk_var</t>
  </si>
  <si>
    <t>b. Sebutkan Nomor KK dari keluarga yang tinggal dalam 1 rumah/tempat tinggal! Selain yang disebutkan pada Blok I rincian 1.c.</t>
  </si>
  <si>
    <t>a. Apa status kepemilikan bangunan tempat tinggal yang ditempati?</t>
  </si>
  <si>
    <t>a. Deskripsi status kepemilikan bangunan tempat tinggal yang ditempati lainnya</t>
  </si>
  <si>
    <t>b. Jika tempat tinggal milik sendiri , apa jenis bukti kepemilikan tanah bangunan tempat tinggal ini?</t>
  </si>
  <si>
    <t>total_tk_bayar_var</t>
  </si>
  <si>
    <t>Jika milik sendiri/bebas sewa , perkiraan harga sewa sebulan:</t>
  </si>
  <si>
    <t>Jika kontrak/sewa , nilai kontrak sebulan:</t>
  </si>
  <si>
    <t>Jika dinas atau lainnya , perkiraan nilai sewa sebulan:</t>
  </si>
  <si>
    <t>Berapa luas lantai bangunan tempat tinggal? (m²)</t>
  </si>
  <si>
    <t>a. Apakah bahan bangunan utama lantai rumah terluas?</t>
  </si>
  <si>
    <t>b. Kondisi Lantai</t>
  </si>
  <si>
    <t>total_pengeluaran_var</t>
  </si>
  <si>
    <t>a. Apakah bahan bangunan utama dinding rumah terluas?</t>
  </si>
  <si>
    <t>b. Kondisi Dinding</t>
  </si>
  <si>
    <t>a. Apakah bahan bangunan utama atap rumah terluas?</t>
  </si>
  <si>
    <t>b. Kondisi Atap</t>
  </si>
  <si>
    <t>Apakah memiliki fasilitas tempat buang air besar dan siapa saja yang menggunakan?</t>
  </si>
  <si>
    <t>total_pendapatan_var</t>
  </si>
  <si>
    <t>Apakah jenis kloset yang digunakan?</t>
  </si>
  <si>
    <t>Di manakah tempat pembuangan akhir tinja?</t>
  </si>
  <si>
    <t>Apakah sumber air utama yang digunakan keluarga untuk minum?</t>
  </si>
  <si>
    <t>Apakah sumber utama penerangan rumah tangga ini?</t>
  </si>
  <si>
    <t>a. Jika listrik PLN dengan meteran , berapa banyak unit meteran listrik yang terpasang di rumah ini?</t>
  </si>
  <si>
    <t>a. Berapa nilai pengeluaran listrik sebulan? (Dapat menggunakan pertanyaan seperti: biasanya, rata-rata, atau sebulan terakhir)</t>
  </si>
  <si>
    <t>total_aset_thn_var</t>
  </si>
  <si>
    <t>b. Berapa pengeluaran pulsa dan internet seluruh anggota keluarga sebulan? (Dapat menggunakan pertanyaan seperti: biasanya, rata-rata, atau sebulan terakhir)</t>
  </si>
  <si>
    <t>a. Berapa rata-rata pengeluaran makanan keluarga seminggu?</t>
  </si>
  <si>
    <t>b. Berapa rata-rata pengeluaran bukan makanan rutin keluarga bulanan?</t>
  </si>
  <si>
    <t>c. Berapa rata-rata pengeluaran bukan makanan rutin keluarga tahunan?</t>
  </si>
  <si>
    <t>total_pendapatan_keluarga_sebulan_tampil</t>
  </si>
  <si>
    <t>info_total_var</t>
  </si>
  <si>
    <t>Total Pendapatan Keluarga Sebulan (Rp)</t>
  </si>
  <si>
    <t>total_pengeluaran_keluarga_sebulan_tampil</t>
  </si>
  <si>
    <t>Total Pengeluaran Keluarga Sebulan (Rp)</t>
  </si>
  <si>
    <t>selisih_pendapatan_pengeluaran_tampil</t>
  </si>
  <si>
    <t>Selisih Pendapatan dan Pengeluaran (Rp)</t>
  </si>
  <si>
    <t>Tabung gas 3 kg (unit)</t>
  </si>
  <si>
    <t>Tabung gas 5,5 kg atau lebih (unit)</t>
  </si>
  <si>
    <t>total_pengeluaran_bln_var</t>
  </si>
  <si>
    <t>Lemari es/kulkas (unit)</t>
  </si>
  <si>
    <t>Air Conditioner (AC) (unit)</t>
  </si>
  <si>
    <t>kab_prelist</t>
  </si>
  <si>
    <t>Emas/perhiasan (gram)</t>
  </si>
  <si>
    <t>total_pendapatan_bln_var</t>
  </si>
  <si>
    <t>Komputer/laptop/tablet: (unit)</t>
  </si>
  <si>
    <t>i. Sepeda motor (termasuk sepeda motor listrik):</t>
  </si>
  <si>
    <t>ii. Total nilai aset sepeda motor (rupiah)</t>
  </si>
  <si>
    <t>cek5</t>
  </si>
  <si>
    <t>i. Mobil (termasuk mobil listrik):</t>
  </si>
  <si>
    <t>ii. Total nilai aset mobil (rupiah)</t>
  </si>
  <si>
    <t>i. Jumlah tanah/lahan di tempat lain (selain yang ditempati):</t>
  </si>
  <si>
    <t>ii. Total nilai harga jual tanah/lahan di tempat lain (selain yang ditempati):</t>
  </si>
  <si>
    <t>info_total_didirikan_var</t>
  </si>
  <si>
    <t>i. Jumlah rumah/bangunan di tempat lain (selain yang ditempati):</t>
  </si>
  <si>
    <t>ii. Total nilai harga jual rumah/bangunan di tempat lain (selain yang ditempati):</t>
  </si>
  <si>
    <t>kab_l_loaded</t>
  </si>
  <si>
    <t>Foto ruang tamu (harus mencakup dinding dan lantai)</t>
  </si>
  <si>
    <t>apakah_usaha</t>
  </si>
  <si>
    <t>Apakah jumlah usaha sudah sesuai?</t>
  </si>
  <si>
    <t>apakah_ak</t>
  </si>
  <si>
    <t>Apakah jumlah anggota keluarga sudah sesuai?</t>
  </si>
  <si>
    <t>Meteran ke-</t>
  </si>
  <si>
    <t>b. Berapa daya yang terpasang di rumah ini?</t>
  </si>
  <si>
    <t>c. Sebutkan ID Pelanggan PLN atau Nomor Meteran</t>
  </si>
  <si>
    <t>ID Pelanggan PLN</t>
  </si>
  <si>
    <t>htmlHasilCekIdPel</t>
  </si>
  <si>
    <t>​</t>
  </si>
  <si>
    <t>Nomor Meteran</t>
  </si>
  <si>
    <t>htmlHasilCekMeteran</t>
  </si>
  <si>
    <t>KETERANGAN PEMBERI JAWABAN</t>
  </si>
  <si>
    <t>Nama Pemberi Informasi</t>
  </si>
  <si>
    <t>Nama Lain</t>
  </si>
  <si>
    <t>Nomor HP/Telepon</t>
  </si>
  <si>
    <t>E-mail</t>
  </si>
  <si>
    <t>persetujuan_responden</t>
  </si>
  <si>
    <t>Saya menyatakan bahwa data yang saya berikan sesuai dengan kondisi yang sebenarnya.</t>
  </si>
  <si>
    <t>Single Check</t>
  </si>
  <si>
    <t>Catatan</t>
  </si>
  <si>
    <t>set_kab_l</t>
  </si>
  <si>
    <t>Waktu Selesai</t>
  </si>
  <si>
    <t>art_pengusaha_filter</t>
  </si>
  <si>
    <t>Tampilkan Anomali Usaha dan Keluarga</t>
  </si>
  <si>
    <t>Toggle</t>
  </si>
  <si>
    <t>Anomali diselesaikan oleh admin</t>
  </si>
  <si>
    <t>Penjelasan Penyelesaian Anomali oleh Admin</t>
  </si>
  <si>
    <t>anomali_1_check</t>
  </si>
  <si>
    <t>ANOMALI USAHA</t>
  </si>
  <si>
    <t>Apakah data di atas sesuai kondisi lapangan?</t>
  </si>
  <si>
    <t>Penjelasan Anomali 1</t>
  </si>
  <si>
    <t>anomali_2_check</t>
  </si>
  <si>
    <t>Penjelasan Anomali 2</t>
  </si>
  <si>
    <t>anomali_3_check</t>
  </si>
  <si>
    <t>Penjelasan Anomali 3</t>
  </si>
  <si>
    <t>anomali_4_check</t>
  </si>
  <si>
    <t>Penjelasan Anomali 4</t>
  </si>
  <si>
    <t>anomali_5_check</t>
  </si>
  <si>
    <t>Penjelasan Anomali 5</t>
  </si>
  <si>
    <t>anomali_6_check</t>
  </si>
  <si>
    <t>Penjelasan Anomali 6</t>
  </si>
  <si>
    <t>grup_daftar_anomali</t>
  </si>
  <si>
    <t>anomali_7_check</t>
  </si>
  <si>
    <t>Penjelasan Anomali 7</t>
  </si>
  <si>
    <t>anomali_8_check</t>
  </si>
  <si>
    <t>tanggal_selesai_anomali</t>
  </si>
  <si>
    <t>Penjelasan Anomali 8</t>
  </si>
  <si>
    <t>anomali_1_dtsen_check</t>
  </si>
  <si>
    <t>ANOMALI KELUARGA</t>
  </si>
  <si>
    <t>kode_kab</t>
  </si>
  <si>
    <t>anomali_2_dtsen_check</t>
  </si>
  <si>
    <t>anomali_3_dtsen_check</t>
  </si>
  <si>
    <t>anomali_4_dtsen_check</t>
  </si>
  <si>
    <t>anomali_5_dtsen_check</t>
  </si>
  <si>
    <t>kode_kab_full</t>
  </si>
  <si>
    <t>anomali_6_dtsen_check</t>
  </si>
  <si>
    <t>column</t>
  </si>
  <si>
    <t>anomali_7_dtsen_check</t>
  </si>
  <si>
    <t>cek_nib</t>
  </si>
  <si>
    <t>description</t>
  </si>
  <si>
    <t>schema_name</t>
  </si>
  <si>
    <t>Nama Schema</t>
  </si>
  <si>
    <t>Tanggal Assignment Terakhir Diubah</t>
  </si>
  <si>
    <t>ID Assignment</t>
  </si>
  <si>
    <t>ID Assignment + Timestamp</t>
  </si>
  <si>
    <t>1 = Assignment Tambahan, 0 = Assignment Prelist</t>
  </si>
  <si>
    <t>Status Assignment</t>
  </si>
  <si>
    <t>ID Status Assignment</t>
  </si>
  <si>
    <t>art_pengusaha</t>
  </si>
  <si>
    <t>ID Roster/Nested Level 1</t>
  </si>
  <si>
    <t>1 = Aktif, 0 = Dihapus</t>
  </si>
  <si>
    <t>Moda Survei</t>
  </si>
  <si>
    <t>set_nik_kk</t>
  </si>
  <si>
    <t>Kode Identitas</t>
  </si>
  <si>
    <t>-</t>
  </si>
  <si>
    <t>Set NIK KK</t>
  </si>
  <si>
    <t>email_cawi</t>
  </si>
  <si>
    <t>Email CAWI</t>
  </si>
  <si>
    <t>Data Principal Kolom 1</t>
  </si>
  <si>
    <t>nama_info_cawi</t>
  </si>
  <si>
    <t>Data Principal Kolom 2</t>
  </si>
  <si>
    <t>Data Principal Kolom 3</t>
  </si>
  <si>
    <t>Data Principal Kolom 4</t>
  </si>
  <si>
    <t>Data Principal Kolom 5</t>
  </si>
  <si>
    <t>b. NIK Kepala Keluarga</t>
  </si>
  <si>
    <t>Data Principal Kolom 6</t>
  </si>
  <si>
    <t>is_keluarga</t>
  </si>
  <si>
    <t>Data Principal Kolom 7</t>
  </si>
  <si>
    <t>Data Principal Kolom 8</t>
  </si>
  <si>
    <t>Flag keluarga yang berasal dari prelist Terisi 1 Jika merupakan prelist keluarga</t>
  </si>
  <si>
    <t>Data Principal Kolom 9</t>
  </si>
  <si>
    <t>Data Principal Kolom 10</t>
  </si>
  <si>
    <t>Kode Provinsi</t>
  </si>
  <si>
    <t>Kode Lengkap Provinsi</t>
  </si>
  <si>
    <t>Label Usaha</t>
  </si>
  <si>
    <t>cek_anomali_dtsen</t>
  </si>
  <si>
    <t>Kode Kabupaten/Kota</t>
  </si>
  <si>
    <t>Kode Lengkap Kabupaten/Kota</t>
  </si>
  <si>
    <t>CEK ANOMALI DTSEN</t>
  </si>
  <si>
    <t>Kode Kecamatan</t>
  </si>
  <si>
    <t>Kode Lengkap Kecamatan</t>
  </si>
  <si>
    <t>CEK ANOMALI</t>
  </si>
  <si>
    <t>Kode Kelurahan/Desa</t>
  </si>
  <si>
    <t>Kode Lengkap Kelurahan/Desa</t>
  </si>
  <si>
    <t>Kelurahan/Desa</t>
  </si>
  <si>
    <t>Kode SLS</t>
  </si>
  <si>
    <t>nik_anggta_lain_prelist</t>
  </si>
  <si>
    <t>Kode Lengkap SLS</t>
  </si>
  <si>
    <t>SLS</t>
  </si>
  <si>
    <t>Kode Sub-SLS</t>
  </si>
  <si>
    <t>Kode Lengkap Sub-SLS</t>
  </si>
  <si>
    <t>Sub-SLS</t>
  </si>
  <si>
    <t>ID Periode Survei</t>
  </si>
  <si>
    <t>flag_usaha</t>
  </si>
  <si>
    <t>ID SBR keluarga</t>
  </si>
  <si>
    <t>UB/UM/UMK/Usaha Keluarga</t>
  </si>
  <si>
    <t>flag_keberadaan</t>
  </si>
  <si>
    <t>Kode Keberadaan Usaha</t>
  </si>
  <si>
    <t>ak_info</t>
  </si>
  <si>
    <t>flag_baru</t>
  </si>
  <si>
    <t>1 = Baru, 0 = Prelist</t>
  </si>
  <si>
    <t>flag_submitted</t>
  </si>
  <si>
    <t>Pernah di-submit oleh PPL/Responden</t>
  </si>
  <si>
    <t>flag_approved_pml</t>
  </si>
  <si>
    <t>Pernah di-approve oleh PML</t>
  </si>
  <si>
    <t>email_pencacah</t>
  </si>
  <si>
    <t>kec_l_loaded</t>
  </si>
  <si>
    <t>Email Pencacah</t>
  </si>
  <si>
    <t>fullname_pencacah</t>
  </si>
  <si>
    <t>Nama Pencacah</t>
  </si>
  <si>
    <t>email_pengawas</t>
  </si>
  <si>
    <t>Email Pengawas</t>
  </si>
  <si>
    <t>fullname_pengawas</t>
  </si>
  <si>
    <t>Nama Pengawas</t>
  </si>
  <si>
    <t>ID SBR Match</t>
  </si>
  <si>
    <t>ID Roster/Nested Level 2</t>
  </si>
  <si>
    <t>custom_script_table</t>
  </si>
  <si>
    <t>is_usaha</t>
  </si>
  <si>
    <t>Flag usaha yang berasal dari prelist Terisi 1 Jika merupakan prelist usaha/ umkm</t>
  </si>
  <si>
    <t>is_prelist</t>
  </si>
  <si>
    <t>Flag prelist yang diisikan pada proses pembuatan prelist Terisi 1 jika merupakan prelist</t>
  </si>
  <si>
    <t>id_l1_umkm</t>
  </si>
  <si>
    <t>New Question</t>
  </si>
  <si>
    <t>gabung_dtsen</t>
  </si>
  <si>
    <t>id_l2_umkm</t>
  </si>
  <si>
    <t>set_is_prelist</t>
  </si>
  <si>
    <t>set_kec_l</t>
  </si>
  <si>
    <t>ec_non_keluarga</t>
  </si>
  <si>
    <t>Enabling Untuk Rincian Bangunan/Usaha Lainnya mencakup : Usaha prelist, Bangunan Lainnya ditemukan dan Usaha/ Bangunan Baru</t>
  </si>
  <si>
    <t>id_keluarga</t>
  </si>
  <si>
    <t>art_keberadaan15</t>
  </si>
  <si>
    <t>art yg keberadaan kode 1 dan 5</t>
  </si>
  <si>
    <t>kode_kec_full</t>
  </si>
  <si>
    <t>Tanda Tangan</t>
  </si>
  <si>
    <t>set_persetujuan_responden</t>
  </si>
  <si>
    <t>Keterangan/Catatan Kaki untuk predefined editable</t>
  </si>
  <si>
    <t>desakel</t>
  </si>
  <si>
    <t>cek1</t>
  </si>
  <si>
    <t>cek jum art 15</t>
  </si>
  <si>
    <t>Status UB Prelist</t>
  </si>
  <si>
    <t>Nama anggota keluarga prelist</t>
  </si>
  <si>
    <t>id_regsosek</t>
  </si>
  <si>
    <t>jum_krt</t>
  </si>
  <si>
    <t>Status UB umkm</t>
  </si>
  <si>
    <t>tambah_dtsen_var</t>
  </si>
  <si>
    <t>Nama anggota keluarga tambahan</t>
  </si>
  <si>
    <t>desa_l_loaded</t>
  </si>
  <si>
    <t>umur krt</t>
  </si>
  <si>
    <t>daftar_anomali_dtsen</t>
  </si>
  <si>
    <t>gabung_dtsen_var</t>
  </si>
  <si>
    <t>gabung_dtsen_2</t>
  </si>
  <si>
    <t>PBI</t>
  </si>
  <si>
    <t>daftar_anomali</t>
  </si>
  <si>
    <t>umur_ak_dr_keltunggal</t>
  </si>
  <si>
    <t>jum_anakmantucucu</t>
  </si>
  <si>
    <t>Jumlah anak mantu cucu</t>
  </si>
  <si>
    <t>set_tanggal_mulai_anomali</t>
  </si>
  <si>
    <t>jum_pasangan</t>
  </si>
  <si>
    <t>Jumlah pasangan suami / istri</t>
  </si>
  <si>
    <t>sudah</t>
  </si>
  <si>
    <t>Nomor KK prelist untuk pembanding</t>
  </si>
  <si>
    <t>jum_istri</t>
  </si>
  <si>
    <t>jum_art_semua</t>
  </si>
  <si>
    <t>set_desa_l</t>
  </si>
  <si>
    <t>NIK prelist untuk pembanding</t>
  </si>
  <si>
    <t>jum_art_1345</t>
  </si>
  <si>
    <t>tahun_survei</t>
  </si>
  <si>
    <t>Tahun Survei</t>
  </si>
  <si>
    <t>ec_mulai</t>
  </si>
  <si>
    <t>jum_ak_disabilitas</t>
  </si>
  <si>
    <t>Mode</t>
  </si>
  <si>
    <t>set_nama_usaha_bang</t>
  </si>
  <si>
    <t>jum_art_1345_umurkur10</t>
  </si>
  <si>
    <t>jum_ak_15</t>
  </si>
  <si>
    <t>jum_kk_lebihdr10th</t>
  </si>
  <si>
    <t>alsan_tidak_kk</t>
  </si>
  <si>
    <t>Alasan Kode KK tidak dapat diberikan:</t>
  </si>
  <si>
    <t>jum_kk</t>
  </si>
  <si>
    <t>kode_desa_full</t>
  </si>
  <si>
    <t>Nama Keluarga/Bangunan/Usaha untuk principal</t>
  </si>
  <si>
    <t>has_ubah_sls</t>
  </si>
  <si>
    <t>idsls</t>
  </si>
  <si>
    <t>Hasil Pengecekkan NIK</t>
  </si>
  <si>
    <t>tahun_lalu</t>
  </si>
  <si>
    <t>Tahun survei minus 1</t>
  </si>
  <si>
    <t>result_callnik_p</t>
  </si>
  <si>
    <t>‎</t>
  </si>
  <si>
    <t>Alamat $ket</t>
  </si>
  <si>
    <t>Total Pendapatan Keluarga Sebulan</t>
  </si>
  <si>
    <t>Pilihan kode keberadaan keluarga</t>
  </si>
  <si>
    <t>Total Pengeluaran Keluarga Sebulan</t>
  </si>
  <si>
    <t>Pilihan Keberadaan Keluarga (new)</t>
  </si>
  <si>
    <t>selisih_pendapatan_pengeluaran</t>
  </si>
  <si>
    <t>Selisih Pendapatan dan Pengeluaran</t>
  </si>
  <si>
    <t>Pilihan Keberadaan Bangunan (new)</t>
  </si>
  <si>
    <t>total_pendapatan_keluarga_sebulan_rp</t>
  </si>
  <si>
    <t>total_pengeluaran_keluarga_sebulan_rp</t>
  </si>
  <si>
    <t>set_ada_bang_usaha</t>
  </si>
  <si>
    <t>idunik_PMSS</t>
  </si>
  <si>
    <t>selisih_pendapatan_pengeluaran_rp</t>
  </si>
  <si>
    <t>jumlah_tabung3kg_prelist</t>
  </si>
  <si>
    <t>ec_keluarga</t>
  </si>
  <si>
    <t>Enabling Untuk Rincian Keluarga mencakup : Keluarga prelist ditemukan dan Keluarga Baru</t>
  </si>
  <si>
    <t>jumlah_tabung5kg_prelist</t>
  </si>
  <si>
    <t>ec_keluarga_respons</t>
  </si>
  <si>
    <t>Enabling Untuk Keluarga yang Respon</t>
  </si>
  <si>
    <t>NOMOR URUT KELUARGA TERBESAR:</t>
  </si>
  <si>
    <t>Nomor Urut Keluarga</t>
  </si>
  <si>
    <t>jumlah_kulkas_prelist</t>
  </si>
  <si>
    <t>jumlah_ac_prelist</t>
  </si>
  <si>
    <t>jumlah_emas_prelist</t>
  </si>
  <si>
    <t>Options untuk kode_bang disesuaikan</t>
  </si>
  <si>
    <t>jumlah_laptop_prelist</t>
  </si>
  <si>
    <t>jumlah_motor_prelist</t>
  </si>
  <si>
    <t>jumlah_mobil_prelist</t>
  </si>
  <si>
    <t>jumlah_lahan_prelist</t>
  </si>
  <si>
    <t>jumlah_rumah_prelist</t>
  </si>
  <si>
    <t>daftar_nik_pengusaha</t>
  </si>
  <si>
    <t>set_default_aset</t>
  </si>
  <si>
    <t>List yang ditampilkan di se2026_nested</t>
  </si>
  <si>
    <t>ec_ada_usaha</t>
  </si>
  <si>
    <t>Enabling Condition Keberadaan Usaha</t>
  </si>
  <si>
    <t>Nama Usaha Prelist</t>
  </si>
  <si>
    <t>jumlah_usaha_pendataan</t>
  </si>
  <si>
    <t>Jumlah usaha hasil pendataan</t>
  </si>
  <si>
    <t>list_individu_dtsen_prelist</t>
  </si>
  <si>
    <t>List Individu Prelist</t>
  </si>
  <si>
    <t>wilayah_ngibar</t>
  </si>
  <si>
    <t>status_pegawai</t>
  </si>
  <si>
    <t>jumlah_ak_pendataan</t>
  </si>
  <si>
    <t>Jumlah anggota keluarga hasil pendataan</t>
  </si>
  <si>
    <t>nib_all</t>
  </si>
  <si>
    <t>Jumlah Usaha Pertanian</t>
  </si>
  <si>
    <t>Jumlah Usaha Non-Pertanian</t>
  </si>
  <si>
    <t>jum usaha gabung</t>
  </si>
  <si>
    <t>index_ak</t>
  </si>
  <si>
    <t>Index anggota keluarga</t>
  </si>
  <si>
    <t>tgl_ngibar</t>
  </si>
  <si>
    <t>Apakah prelist art</t>
  </si>
  <si>
    <t>Opsi Pilih UMKM dalam satu SLS yang sama</t>
  </si>
  <si>
    <t>email_prelist</t>
  </si>
  <si>
    <t>set_nama_dtsen_edit</t>
  </si>
  <si>
    <t>Sekolah Prelist</t>
  </si>
  <si>
    <t>set_nik_dtsen_prelist</t>
  </si>
  <si>
    <t>Ijazah Prelist</t>
  </si>
  <si>
    <t>result_cekidpel</t>
  </si>
  <si>
    <t>htmlHasilPemadananNIK2</t>
  </si>
  <si>
    <t>.</t>
  </si>
  <si>
    <t>ec_mulai_L</t>
  </si>
  <si>
    <t>result_cekmeteran</t>
  </si>
  <si>
    <t>result_callnik</t>
  </si>
  <si>
    <t>ec_anggota_keluarga</t>
  </si>
  <si>
    <t>Enabling anggota keluarga</t>
  </si>
  <si>
    <t>ec_usaha_respons</t>
  </si>
  <si>
    <t>Enabling Condition Usaha Respons di Roster</t>
  </si>
  <si>
    <t>Pilihan untuk keberadaan Usaha</t>
  </si>
  <si>
    <t>set_keberadaan_usaha</t>
  </si>
  <si>
    <t>Is_Prelist2</t>
  </si>
  <si>
    <t>set_jk_prelist</t>
  </si>
  <si>
    <t>ID SBR</t>
  </si>
  <si>
    <t>c. Alamat usaha/perusahaan</t>
  </si>
  <si>
    <t>set_disabilitas_penyakit</t>
  </si>
  <si>
    <t>set_umur_ak</t>
  </si>
  <si>
    <t>ec_ada_usaha_art</t>
  </si>
  <si>
    <t>result_callnib</t>
  </si>
  <si>
    <t>pengusaha_prelist_loaded</t>
  </si>
  <si>
    <t>htmlHasilPemadananNIK2_l</t>
  </si>
  <si>
    <t>result_callnik_l</t>
  </si>
  <si>
    <t>var_kbli</t>
  </si>
  <si>
    <t>Pilihan untuk KBLI</t>
  </si>
  <si>
    <t>result_gen_ai</t>
  </si>
  <si>
    <t>Result Gen AI</t>
  </si>
  <si>
    <t>set_kbli_cawi</t>
  </si>
  <si>
    <t>KBLI Akhir</t>
  </si>
  <si>
    <t>html_msg_error</t>
  </si>
  <si>
    <t>Error: $ket</t>
  </si>
  <si>
    <t>var_hiden_pml</t>
  </si>
  <si>
    <t>set_jaringan</t>
  </si>
  <si>
    <t>ec_usaha_lanjutan</t>
  </si>
  <si>
    <t>Enabling Condition untuk Usaha Ditemukan selain penunjang dan pusat</t>
  </si>
  <si>
    <t>ec_halal</t>
  </si>
  <si>
    <t>ec_bpom</t>
  </si>
  <si>
    <t>ec_usaha_bulan</t>
  </si>
  <si>
    <t>enabling condition pertanyaan 25 s.d 28</t>
  </si>
  <si>
    <t>ec_usaha_tahun</t>
  </si>
  <si>
    <t>enabling condition pertanyaan 21s.d 24</t>
  </si>
  <si>
    <t>kbli_2025</t>
  </si>
  <si>
    <t>var_narasi</t>
  </si>
  <si>
    <t>Narasi Pendapatan</t>
  </si>
  <si>
    <t>list_kc</t>
  </si>
  <si>
    <t>List KC</t>
  </si>
  <si>
    <t>list_error_csv_html</t>
  </si>
  <si>
    <t>List Error Kantor Cabang</t>
  </si>
  <si>
    <t>list_error_csv</t>
  </si>
  <si>
    <t>List Error CSV</t>
  </si>
  <si>
    <t>UB</t>
  </si>
  <si>
    <t>BLOK I</t>
  </si>
  <si>
    <t>Nama perusahaan Tuliskan nama perusahaan dengan lengkap, beserta status badan usaha. Contoh : KAWAN BARU, PT TBK</t>
  </si>
  <si>
    <t>Nama komersial perusahaan Jika tidak memiliki nama komersial, maka tuliskan nama perusahaan</t>
  </si>
  <si>
    <t>Keadaan perusahaan saat dikunjungi:</t>
  </si>
  <si>
    <t>Daftar Kantor Pusat</t>
  </si>
  <si>
    <t>geotag_ub</t>
  </si>
  <si>
    <t>Lokasi Usaha</t>
  </si>
  <si>
    <t>Alamat perusahaan</t>
  </si>
  <si>
    <t>RT</t>
  </si>
  <si>
    <t>RW</t>
  </si>
  <si>
    <t>Kode Pos</t>
  </si>
  <si>
    <t>Email</t>
  </si>
  <si>
    <t>Homepage/website Alamat website diawali dengan www. Contoh : www.bps.go.id</t>
  </si>
  <si>
    <t>Kode Area</t>
  </si>
  <si>
    <t>list_kbli_mbg</t>
  </si>
  <si>
    <t>Nomor Telepon</t>
  </si>
  <si>
    <t>Ekstensi</t>
  </si>
  <si>
    <t>Nomor HP/whatsapp</t>
  </si>
  <si>
    <t>Jenis kawasan beroperasi</t>
  </si>
  <si>
    <t>Nama KEK/KI</t>
  </si>
  <si>
    <t>Nama Kawasan Contoh: KEK Mandalika, Kawasan Industri Jababeka, Stasiun Gambir, Bandara Soekarno-Hatta, Pelabuhan Tanjung Priok, Terminal Pulo Gebang, Rest Area KM 57 Tol Jakarta–Cikampek, Sentra Batik Laweyan, Kompleks Pertokoan ITC Mangga Dua</t>
  </si>
  <si>
    <t>a. Apakah memiliki Nomor Induk Berusaha (NIB) ?</t>
  </si>
  <si>
    <t>b. Tuliskan NIB</t>
  </si>
  <si>
    <t>Tuliskan alasan</t>
  </si>
  <si>
    <t>a. Apa status badan usaha dari perusahaan ini?</t>
  </si>
  <si>
    <t>list_kbli_sekolah</t>
  </si>
  <si>
    <t>a. Nama Pengusaha/Penanggung Jawab</t>
  </si>
  <si>
    <t>Apa kegiatan utama perusahaan ini? Tuliskan selengkapnya</t>
  </si>
  <si>
    <t>b1</t>
  </si>
  <si>
    <t>Apakah memproduksi barang di lokasi ini?</t>
  </si>
  <si>
    <t>b2</t>
  </si>
  <si>
    <t>Apakah menyediakan layanan makan minum?</t>
  </si>
  <si>
    <t>b3</t>
  </si>
  <si>
    <t>Apakah melakukan penjualan barang?</t>
  </si>
  <si>
    <t>Di mana usaha tersebut biasa dilakukan?</t>
  </si>
  <si>
    <t>Apa input yang digunakan?</t>
  </si>
  <si>
    <t>Bagaimana proses mengubah input tersebut menjadi produk output (beserta alatnya)?</t>
  </si>
  <si>
    <t>Apa produk utama yang dihasilkan?</t>
  </si>
  <si>
    <t>Kode KBLI:</t>
  </si>
  <si>
    <t>var_b1r9b</t>
  </si>
  <si>
    <t>Kategori Lapangan Usaha:</t>
  </si>
  <si>
    <t>Jika perusahaan merupakan akomodasi jangka pendek, apa klasifikasi perusahaan ini?</t>
  </si>
  <si>
    <t>a. Apa jaringan usaha dari perusahaan ini?</t>
  </si>
  <si>
    <t>Nama Kantor Pusat</t>
  </si>
  <si>
    <t>Alamat Kantor Pusat</t>
  </si>
  <si>
    <t>Negara</t>
  </si>
  <si>
    <t>a. Apakah perusahaan ini menggunakan internet dalam menjalankan usaha?</t>
  </si>
  <si>
    <t>narasi</t>
  </si>
  <si>
    <t>Menerima pesanan barang/jasa</t>
  </si>
  <si>
    <t>Produksi barang/jasa</t>
  </si>
  <si>
    <t>Distribusi barang/jasa</t>
  </si>
  <si>
    <t>b4</t>
  </si>
  <si>
    <t>Membeli bahan baku online</t>
  </si>
  <si>
    <t>b5</t>
  </si>
  <si>
    <t>Promosi</t>
  </si>
  <si>
    <t>b6</t>
  </si>
  <si>
    <t>c. Apakah perusahaan ini memanfaatkan teknologi digital Artificial Intelligence (AI), Internet of Things (IoT), big data, printer 3D, blockchain , atau cloud computing ?</t>
  </si>
  <si>
    <t>a. Apakah perusahaan ini memproduksi barang/jasa yang ramah lingkungan?</t>
  </si>
  <si>
    <t>aset_total_var</t>
  </si>
  <si>
    <t>b. Apakah perusahaan ini menggunakan input untuk tujuan perlindungan lingkungan dan/atau pembelian barang dan jasa yang ramah lingkungan?</t>
  </si>
  <si>
    <t>Apakah perusahaan ini menggunakan produk karya seni, sastra, desain, teknologi atau warisan budaya, baik diproduksi sendiri maupun oleh pihak lain?</t>
  </si>
  <si>
    <t>15a</t>
  </si>
  <si>
    <t>Apakah perusahaan ini menghasilkan produk bersertifikat halal?</t>
  </si>
  <si>
    <t>total_modal_var</t>
  </si>
  <si>
    <t>a. Apakah perusahaan ini memiliki izin edar?</t>
  </si>
  <si>
    <t>Apakah perusahaan ini bermitra dengan Koperasi Desa/Kelurahan Merah Putih (KDKMP)?</t>
  </si>
  <si>
    <t>b1r9b_ket</t>
  </si>
  <si>
    <t>Apakah perusahaan ini terlibat dalam program Makan Bergizi Gratis (MBG)?</t>
  </si>
  <si>
    <t>Penjualan dan/atau pembelian barang</t>
  </si>
  <si>
    <t>Penjualan jasa</t>
  </si>
  <si>
    <t>Pembelian jasa</t>
  </si>
  <si>
    <t>Jumlah pekerja laki-laki</t>
  </si>
  <si>
    <t>Jumlah pekerja perempuan</t>
  </si>
  <si>
    <t>Total pekerja (a+b)</t>
  </si>
  <si>
    <t>Cek Rincian Pekerja (Diisi oleh PML)</t>
  </si>
  <si>
    <t>Tahun berapa perusahaan ini mulai beroperasi secara komersial?</t>
  </si>
  <si>
    <t>Total upah dan gaji, serta jaminan sosial pegawai</t>
  </si>
  <si>
    <t>Biaya produksi</t>
  </si>
  <si>
    <t>Biaya pembelian barang yang terjual (Keterangan: Khusus usaha perdagangan)</t>
  </si>
  <si>
    <t>Biaya operasional (air, listrik, gas, internet, pulsa, pemeliharaan, biaya angkutan)</t>
  </si>
  <si>
    <t>Biaya non-operasional</t>
  </si>
  <si>
    <t>Total pengeluaran (a+b+c+d+e)</t>
  </si>
  <si>
    <t>Nilai $narasi barang dan jasa</t>
  </si>
  <si>
    <t>Pendapatan lainnya yang dihasilkan perusahaan</t>
  </si>
  <si>
    <t>Total nilai $narasi (a+b)</t>
  </si>
  <si>
    <t>Berapa persentase pendapatan yang diperoleh dari usaha online ?</t>
  </si>
  <si>
    <t>Nilai aset tanah dan bangunan pada 31 Desember 2025</t>
  </si>
  <si>
    <t>Nilai aset selain tanah dan bangunan pada 31 Desember 2025</t>
  </si>
  <si>
    <t>Nilai total aset pada 31 Desember 2025</t>
  </si>
  <si>
    <t>c1</t>
  </si>
  <si>
    <t>Jika tidak dapat mengisikan nilai nominal, pilih nilai total aset dalam rentang berikut:</t>
  </si>
  <si>
    <t>Berapa luas tanah yang dikuasai dan digunakan untuk kegiatan usaha pada 31 Desember 2025 (m 2 ) ?</t>
  </si>
  <si>
    <t>Pribadi/Perorangan (%)</t>
  </si>
  <si>
    <t>Lembaga Nonprofit yang Melayani Rumah Tangga (%)</t>
  </si>
  <si>
    <t>Korporasi Publik (%)</t>
  </si>
  <si>
    <t>Korporasi Non Publik (%)</t>
  </si>
  <si>
    <t>Pemerintah (%)</t>
  </si>
  <si>
    <t>Asing (%)</t>
  </si>
  <si>
    <t>Total (a+b+c+d+e+f)</t>
  </si>
  <si>
    <t>Nilai Pengeluaran Tahun 2025</t>
  </si>
  <si>
    <t>Nilai produksi/penjualan/pendapatan Tahun 2025</t>
  </si>
  <si>
    <t>Nilai Aset Tahun 2025</t>
  </si>
  <si>
    <t>BLOK II</t>
  </si>
  <si>
    <t>BLOK III</t>
  </si>
  <si>
    <t>Nama</t>
  </si>
  <si>
    <t>Tanggal Pelaksanaan</t>
  </si>
  <si>
    <t>Date</t>
  </si>
  <si>
    <t>SignatureInput</t>
  </si>
  <si>
    <t>KUNJUNGAN</t>
  </si>
  <si>
    <t>Waktu Kunjungan II</t>
  </si>
  <si>
    <t>Waktu Kunjungan III</t>
  </si>
  <si>
    <t>metod_isi_label</t>
  </si>
  <si>
    <t>ANOMALI</t>
  </si>
  <si>
    <t>metod_isi_value</t>
  </si>
  <si>
    <t>Nama Desa</t>
  </si>
  <si>
    <t>ID SLS</t>
  </si>
  <si>
    <t>ID PMSS</t>
  </si>
  <si>
    <t>Wilayah Ngibar</t>
  </si>
  <si>
    <t>Tanggal Ngibar</t>
  </si>
  <si>
    <t>Email Prelist</t>
  </si>
  <si>
    <t>Tahun survey berjalan</t>
  </si>
  <si>
    <t>Lookup KBLI</t>
  </si>
  <si>
    <t>KBLI Akhir terpilih</t>
  </si>
  <si>
    <t>Jumlah kantor cabang</t>
  </si>
  <si>
    <t>[Jika rincian 9b terisi 1-5 maka langsung mengisi di web (bentuk tabel kuesioner KP)] [Jika lebih dari 5 cabang, mengisi di kuesioner KP template excel.]</t>
  </si>
  <si>
    <t>genai_button</t>
  </si>
  <si>
    <t>pusat_nested</t>
  </si>
  <si>
    <t>list_kbli_halal</t>
  </si>
  <si>
    <t>panduan_genai</t>
  </si>
  <si>
    <t>list_kbli_bpom</t>
  </si>
  <si>
    <t>total_pendapatan_float</t>
  </si>
  <si>
    <t>aset_total_float</t>
  </si>
  <si>
    <t>total_pengeluaran_float</t>
  </si>
  <si>
    <t>total_modal_int</t>
  </si>
  <si>
    <t>aset_total_nvarchar512</t>
  </si>
  <si>
    <t>total_modal_nvarchar512</t>
  </si>
  <si>
    <t>total_pendapatan_nvarchar512</t>
  </si>
  <si>
    <t>total_pengeluaran_nvarchar512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</si>
</sst>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font>
    <font>
      <sz val="10.0"/>
      <color theme="1"/>
      <name val="Calibri"/>
    </font>
  </fonts>
  <fills count="6">
    <fill>
      <patternFill patternType="none"/>
    </fill>
    <fill>
      <patternFill patternType="lightGray"/>
    </fill>
    <fill>
      <patternFill patternType="solid">
        <fgColor rgb="FF1F4E79"/>
        <bgColor rgb="FF1F4E79"/>
      </patternFill>
    </fill>
    <fill>
      <patternFill patternType="solid">
        <fgColor rgb="FFEBF3FB"/>
        <bgColor rgb="FFEBF3FB"/>
      </patternFill>
    </fill>
    <fill>
      <patternFill patternType="solid">
        <fgColor rgb="FF375623"/>
        <bgColor rgb="FF375623"/>
      </patternFill>
    </fill>
    <fill>
      <patternFill patternType="solid">
        <fgColor rgb="FF7B3F00"/>
        <bgColor rgb="FF7B3F00"/>
      </patternFill>
    </fill>
  </fills>
  <borders count="2">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shrinkToFit="0" vertical="center" wrapText="1"/>
    </xf>
    <xf borderId="1" fillId="0" fontId="2" numFmtId="0" xfId="0" applyAlignment="1" applyBorder="1" applyFont="1">
      <alignment horizontal="left"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9</v>
      </c>
      <c r="B2" s="2" t="s">
        <v>10</v>
      </c>
      <c r="C2" s="2" t="s">
        <v>10</v>
      </c>
      <c r="D2" s="2">
        <f>IFERROR(VLOOKUP($C2,'_METADATA_TEMPLATE'!$B$2:$H$826,2,FALSE),"")</f>
        <v>131</v>
      </c>
      <c r="E2" s="2" t="str">
        <f>IFERROR(VLOOKUP($C2,'_METADATA_TEMPLATE'!$B$2:$H$826,4,FALSE),"")</f>
        <v>SE2026 - L BLOK II</v>
      </c>
      <c r="F2" s="2" t="str">
        <f>IFERROR(VLOOKUP($C2,'_METADATA_TEMPLATE'!$B$2:$H$826,5,FALSE),"")</f>
        <v/>
      </c>
      <c r="G2" s="2" t="str">
        <f>IFERROR(VLOOKUP($C2,'_METADATA_TEMPLATE'!$B$2:$H$826,6,FALSE),"")</f>
        <v>• Email</v>
      </c>
      <c r="H2" s="2" t="str">
        <f>IFERROR(VLOOKUP($C2,'_METADATA_TEMPLATE'!$B$2:$H$826,7,FALSE),"")</f>
        <v>Text Input</v>
      </c>
      <c r="I2" s="2" t="str">
        <f>IFERROR(VLOOKUP(C2,'_METADATA_DEFAULT'!$A:$B,2,FALSE),"")</f>
        <v/>
      </c>
    </row>
    <row r="3">
      <c r="A3" s="3" t="s">
        <v>9</v>
      </c>
      <c r="B3" s="3" t="s">
        <v>15</v>
      </c>
      <c r="C3" s="3" t="s">
        <v>15</v>
      </c>
      <c r="D3" s="3">
        <f>IFERROR(VLOOKUP($C3,'_METADATA_TEMPLATE'!$B$2:$H$826,2,FALSE),"")</f>
        <v>483</v>
      </c>
      <c r="E3" s="3" t="str">
        <f>IFERROR(VLOOKUP($C3,'_METADATA_TEMPLATE'!$B$2:$H$826,4,FALSE),"")</f>
        <v/>
      </c>
      <c r="F3" s="3" t="str">
        <f>IFERROR(VLOOKUP($C3,'_METADATA_TEMPLATE'!$B$2:$H$826,5,FALSE),"")</f>
        <v/>
      </c>
      <c r="G3" s="3" t="str">
        <f>IFERROR(VLOOKUP($C3,'_METADATA_TEMPLATE'!$B$2:$H$826,6,FALSE),"")</f>
        <v>Mode</v>
      </c>
      <c r="H3" s="3" t="str">
        <f>IFERROR(VLOOKUP($C3,'_METADATA_TEMPLATE'!$B$2:$H$826,7,FALSE),"")</f>
        <v>Variable</v>
      </c>
      <c r="I3" s="3" t="str">
        <f>IFERROR(VLOOKUP(C3,'_METADATA_DEFAULT'!$A:$B,2,FALSE),"")</f>
        <v>Moda Survei</v>
      </c>
    </row>
    <row r="4">
      <c r="A4" s="2" t="s">
        <v>9</v>
      </c>
      <c r="B4" s="2" t="s">
        <v>12</v>
      </c>
      <c r="C4" s="2" t="s">
        <v>12</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ID Assignment</v>
      </c>
    </row>
    <row r="5">
      <c r="A5" s="3" t="s">
        <v>9</v>
      </c>
      <c r="B5" s="3" t="s">
        <v>18</v>
      </c>
      <c r="C5" s="3" t="s">
        <v>18</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Kode Lengkap Provinsi</v>
      </c>
    </row>
    <row r="6">
      <c r="A6" s="2" t="s">
        <v>9</v>
      </c>
      <c r="B6" s="2" t="s">
        <v>20</v>
      </c>
      <c r="C6" s="2" t="s">
        <v>20</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Kode Lengkap Kabupaten/Kota</v>
      </c>
    </row>
    <row r="7">
      <c r="A7" s="3" t="s">
        <v>9</v>
      </c>
      <c r="B7" s="3" t="s">
        <v>26</v>
      </c>
      <c r="C7" s="3" t="s">
        <v>26</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1 = Aktif, 0 = Dihapus</v>
      </c>
    </row>
    <row r="8">
      <c r="A8" s="2" t="s">
        <v>9</v>
      </c>
      <c r="B8" s="2" t="s">
        <v>29</v>
      </c>
      <c r="C8" s="2" t="s">
        <v>29</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
      </c>
    </row>
    <row r="9">
      <c r="A9" s="3" t="s">
        <v>9</v>
      </c>
      <c r="B9" s="3" t="s">
        <v>34</v>
      </c>
      <c r="C9" s="3" t="s">
        <v>34</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9</v>
      </c>
      <c r="B10" s="2" t="s">
        <v>21</v>
      </c>
      <c r="C10" s="2" t="s">
        <v>21</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ID Assignment + Timestamp</v>
      </c>
    </row>
    <row r="11">
      <c r="A11" s="3" t="s">
        <v>9</v>
      </c>
      <c r="B11" s="3" t="s">
        <v>38</v>
      </c>
      <c r="C11" s="3" t="s">
        <v>38</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
      </c>
    </row>
    <row r="12">
      <c r="A12" s="2" t="s">
        <v>9</v>
      </c>
      <c r="B12" s="2" t="s">
        <v>42</v>
      </c>
      <c r="C12" s="2" t="s">
        <v>42</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Status Assignment</v>
      </c>
    </row>
    <row r="13">
      <c r="A13" s="3" t="s">
        <v>9</v>
      </c>
      <c r="B13" s="3" t="s">
        <v>47</v>
      </c>
      <c r="C13" s="3" t="s">
        <v>47</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ID Status Assignment</v>
      </c>
    </row>
    <row r="14">
      <c r="A14" s="2" t="s">
        <v>9</v>
      </c>
      <c r="B14" s="2" t="s">
        <v>49</v>
      </c>
      <c r="C14" s="2" t="s">
        <v>49</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Kode Identitas</v>
      </c>
    </row>
    <row r="15">
      <c r="A15" s="3" t="s">
        <v>9</v>
      </c>
      <c r="B15" s="3" t="s">
        <v>51</v>
      </c>
      <c r="C15" s="3" t="s">
        <v>51</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9</v>
      </c>
      <c r="B16" s="2" t="s">
        <v>53</v>
      </c>
      <c r="C16" s="2" t="s">
        <v>53</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9</v>
      </c>
      <c r="B17" s="3" t="s">
        <v>55</v>
      </c>
      <c r="C17" s="3" t="s">
        <v>55</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
      </c>
    </row>
    <row r="18">
      <c r="A18" s="2" t="s">
        <v>9</v>
      </c>
      <c r="B18" s="2" t="s">
        <v>57</v>
      </c>
      <c r="C18" s="2" t="s">
        <v>57</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
      </c>
    </row>
    <row r="19">
      <c r="A19" s="3" t="s">
        <v>9</v>
      </c>
      <c r="B19" s="3" t="s">
        <v>60</v>
      </c>
      <c r="C19" s="3" t="s">
        <v>60</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
      </c>
    </row>
    <row r="20">
      <c r="A20" s="2" t="s">
        <v>9</v>
      </c>
      <c r="B20" s="2" t="s">
        <v>63</v>
      </c>
      <c r="C20" s="2" t="s">
        <v>63</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
      </c>
    </row>
    <row r="21" ht="15.75" customHeight="1">
      <c r="A21" s="3" t="s">
        <v>9</v>
      </c>
      <c r="B21" s="3" t="s">
        <v>65</v>
      </c>
      <c r="C21" s="3" t="s">
        <v>65</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
      </c>
    </row>
    <row r="22" ht="15.75" customHeight="1">
      <c r="A22" s="2" t="s">
        <v>9</v>
      </c>
      <c r="B22" s="2" t="s">
        <v>69</v>
      </c>
      <c r="C22" s="2" t="s">
        <v>69</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Data Principal Kolom 1</v>
      </c>
    </row>
    <row r="23" ht="15.75" customHeight="1">
      <c r="A23" s="3" t="s">
        <v>9</v>
      </c>
      <c r="B23" s="3" t="s">
        <v>72</v>
      </c>
      <c r="C23" s="3" t="s">
        <v>72</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Data Principal Kolom 10</v>
      </c>
    </row>
    <row r="24" ht="15.75" customHeight="1">
      <c r="A24" s="2" t="s">
        <v>9</v>
      </c>
      <c r="B24" s="2" t="s">
        <v>74</v>
      </c>
      <c r="C24" s="2" t="s">
        <v>74</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Data Principal Kolom 2</v>
      </c>
    </row>
    <row r="25" ht="15.75" customHeight="1">
      <c r="A25" s="3" t="s">
        <v>9</v>
      </c>
      <c r="B25" s="3" t="s">
        <v>77</v>
      </c>
      <c r="C25" s="3" t="s">
        <v>77</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Data Principal Kolom 3</v>
      </c>
    </row>
    <row r="26" ht="15.75" customHeight="1">
      <c r="A26" s="2" t="s">
        <v>9</v>
      </c>
      <c r="B26" s="2" t="s">
        <v>81</v>
      </c>
      <c r="C26" s="2" t="s">
        <v>81</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Data Principal Kolom 4</v>
      </c>
    </row>
    <row r="27" ht="15.75" customHeight="1">
      <c r="A27" s="3" t="s">
        <v>9</v>
      </c>
      <c r="B27" s="3" t="s">
        <v>85</v>
      </c>
      <c r="C27" s="3" t="s">
        <v>85</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Data Principal Kolom 5</v>
      </c>
    </row>
    <row r="28" ht="15.75" customHeight="1">
      <c r="A28" s="2" t="s">
        <v>9</v>
      </c>
      <c r="B28" s="2" t="s">
        <v>87</v>
      </c>
      <c r="C28" s="2" t="s">
        <v>87</v>
      </c>
      <c r="D28" s="2" t="str">
        <f>IFERROR(VLOOKUP($C28,'_METADATA_TEMPLATE'!$B$2:$H$826,2,FALSE),"")</f>
        <v/>
      </c>
      <c r="E28" s="2" t="str">
        <f>IFERROR(VLOOKUP($C28,'_METADATA_TEMPLATE'!$B$2:$H$826,4,FALSE),"")</f>
        <v/>
      </c>
      <c r="F28" s="2" t="str">
        <f>IFERROR(VLOOKUP($C28,'_METADATA_TEMPLATE'!$B$2:$H$826,5,FALSE),"")</f>
        <v/>
      </c>
      <c r="G28" s="2" t="str">
        <f>IFERROR(VLOOKUP($C28,'_METADATA_TEMPLATE'!$B$2:$H$826,6,FALSE),"")</f>
        <v/>
      </c>
      <c r="H28" s="2" t="str">
        <f>IFERROR(VLOOKUP($C28,'_METADATA_TEMPLATE'!$B$2:$H$826,7,FALSE),"")</f>
        <v/>
      </c>
      <c r="I28" s="2" t="str">
        <f>IFERROR(VLOOKUP(C28,'_METADATA_DEFAULT'!$A:$B,2,FALSE),"")</f>
        <v>Data Principal Kolom 6</v>
      </c>
    </row>
    <row r="29" ht="15.75" customHeight="1">
      <c r="A29" s="3" t="s">
        <v>9</v>
      </c>
      <c r="B29" s="3" t="s">
        <v>91</v>
      </c>
      <c r="C29" s="3" t="s">
        <v>91</v>
      </c>
      <c r="D29" s="3" t="str">
        <f>IFERROR(VLOOKUP($C29,'_METADATA_TEMPLATE'!$B$2:$H$826,2,FALSE),"")</f>
        <v/>
      </c>
      <c r="E29" s="3" t="str">
        <f>IFERROR(VLOOKUP($C29,'_METADATA_TEMPLATE'!$B$2:$H$826,4,FALSE),"")</f>
        <v/>
      </c>
      <c r="F29" s="3" t="str">
        <f>IFERROR(VLOOKUP($C29,'_METADATA_TEMPLATE'!$B$2:$H$826,5,FALSE),"")</f>
        <v/>
      </c>
      <c r="G29" s="3" t="str">
        <f>IFERROR(VLOOKUP($C29,'_METADATA_TEMPLATE'!$B$2:$H$826,6,FALSE),"")</f>
        <v/>
      </c>
      <c r="H29" s="3" t="str">
        <f>IFERROR(VLOOKUP($C29,'_METADATA_TEMPLATE'!$B$2:$H$826,7,FALSE),"")</f>
        <v/>
      </c>
      <c r="I29" s="3" t="str">
        <f>IFERROR(VLOOKUP(C29,'_METADATA_DEFAULT'!$A:$B,2,FALSE),"")</f>
        <v>Data Principal Kolom 7</v>
      </c>
    </row>
    <row r="30" ht="15.75" customHeight="1">
      <c r="A30" s="2" t="s">
        <v>9</v>
      </c>
      <c r="B30" s="2" t="s">
        <v>98</v>
      </c>
      <c r="C30" s="2" t="s">
        <v>98</v>
      </c>
      <c r="D30" s="2" t="str">
        <f>IFERROR(VLOOKUP($C30,'_METADATA_TEMPLATE'!$B$2:$H$826,2,FALSE),"")</f>
        <v/>
      </c>
      <c r="E30" s="2" t="str">
        <f>IFERROR(VLOOKUP($C30,'_METADATA_TEMPLATE'!$B$2:$H$826,4,FALSE),"")</f>
        <v/>
      </c>
      <c r="F30" s="2" t="str">
        <f>IFERROR(VLOOKUP($C30,'_METADATA_TEMPLATE'!$B$2:$H$826,5,FALSE),"")</f>
        <v/>
      </c>
      <c r="G30" s="2" t="str">
        <f>IFERROR(VLOOKUP($C30,'_METADATA_TEMPLATE'!$B$2:$H$826,6,FALSE),"")</f>
        <v/>
      </c>
      <c r="H30" s="2" t="str">
        <f>IFERROR(VLOOKUP($C30,'_METADATA_TEMPLATE'!$B$2:$H$826,7,FALSE),"")</f>
        <v/>
      </c>
      <c r="I30" s="2" t="str">
        <f>IFERROR(VLOOKUP(C30,'_METADATA_DEFAULT'!$A:$B,2,FALSE),"")</f>
        <v>Data Principal Kolom 8</v>
      </c>
    </row>
    <row r="31" ht="15.75" customHeight="1">
      <c r="A31" s="3" t="s">
        <v>9</v>
      </c>
      <c r="B31" s="3" t="s">
        <v>100</v>
      </c>
      <c r="C31" s="3" t="s">
        <v>100</v>
      </c>
      <c r="D31" s="3" t="str">
        <f>IFERROR(VLOOKUP($C31,'_METADATA_TEMPLATE'!$B$2:$H$826,2,FALSE),"")</f>
        <v/>
      </c>
      <c r="E31" s="3" t="str">
        <f>IFERROR(VLOOKUP($C31,'_METADATA_TEMPLATE'!$B$2:$H$826,4,FALSE),"")</f>
        <v/>
      </c>
      <c r="F31" s="3" t="str">
        <f>IFERROR(VLOOKUP($C31,'_METADATA_TEMPLATE'!$B$2:$H$826,5,FALSE),"")</f>
        <v/>
      </c>
      <c r="G31" s="3" t="str">
        <f>IFERROR(VLOOKUP($C31,'_METADATA_TEMPLATE'!$B$2:$H$826,6,FALSE),"")</f>
        <v/>
      </c>
      <c r="H31" s="3" t="str">
        <f>IFERROR(VLOOKUP($C31,'_METADATA_TEMPLATE'!$B$2:$H$826,7,FALSE),"")</f>
        <v/>
      </c>
      <c r="I31" s="3" t="str">
        <f>IFERROR(VLOOKUP(C31,'_METADATA_DEFAULT'!$A:$B,2,FALSE),"")</f>
        <v>Data Principal Kolom 9</v>
      </c>
    </row>
    <row r="32" ht="15.75" customHeight="1">
      <c r="A32" s="2" t="s">
        <v>9</v>
      </c>
      <c r="B32" s="2" t="s">
        <v>19</v>
      </c>
      <c r="C32" s="2" t="s">
        <v>19</v>
      </c>
      <c r="D32" s="2" t="str">
        <f>IFERROR(VLOOKUP($C32,'_METADATA_TEMPLATE'!$B$2:$H$826,2,FALSE),"")</f>
        <v/>
      </c>
      <c r="E32" s="2" t="str">
        <f>IFERROR(VLOOKUP($C32,'_METADATA_TEMPLATE'!$B$2:$H$826,4,FALSE),"")</f>
        <v/>
      </c>
      <c r="F32" s="2" t="str">
        <f>IFERROR(VLOOKUP($C32,'_METADATA_TEMPLATE'!$B$2:$H$826,5,FALSE),"")</f>
        <v/>
      </c>
      <c r="G32" s="2" t="str">
        <f>IFERROR(VLOOKUP($C32,'_METADATA_TEMPLATE'!$B$2:$H$826,6,FALSE),"")</f>
        <v/>
      </c>
      <c r="H32" s="2" t="str">
        <f>IFERROR(VLOOKUP($C32,'_METADATA_TEMPLATE'!$B$2:$H$826,7,FALSE),"")</f>
        <v/>
      </c>
      <c r="I32" s="2" t="str">
        <f>IFERROR(VLOOKUP(C32,'_METADATA_DEFAULT'!$A:$B,2,FALSE),"")</f>
        <v/>
      </c>
    </row>
    <row r="33" ht="15.75" customHeight="1">
      <c r="A33" s="3" t="s">
        <v>9</v>
      </c>
      <c r="B33" s="3" t="s">
        <v>109</v>
      </c>
      <c r="C33" s="3" t="s">
        <v>109</v>
      </c>
      <c r="D33" s="3" t="str">
        <f>IFERROR(VLOOKUP($C33,'_METADATA_TEMPLATE'!$B$2:$H$826,2,FALSE),"")</f>
        <v/>
      </c>
      <c r="E33" s="3" t="str">
        <f>IFERROR(VLOOKUP($C33,'_METADATA_TEMPLATE'!$B$2:$H$826,4,FALSE),"")</f>
        <v/>
      </c>
      <c r="F33" s="3" t="str">
        <f>IFERROR(VLOOKUP($C33,'_METADATA_TEMPLATE'!$B$2:$H$826,5,FALSE),"")</f>
        <v/>
      </c>
      <c r="G33" s="3" t="str">
        <f>IFERROR(VLOOKUP($C33,'_METADATA_TEMPLATE'!$B$2:$H$826,6,FALSE),"")</f>
        <v/>
      </c>
      <c r="H33" s="3" t="str">
        <f>IFERROR(VLOOKUP($C33,'_METADATA_TEMPLATE'!$B$2:$H$826,7,FALSE),"")</f>
        <v/>
      </c>
      <c r="I33" s="3" t="str">
        <f>IFERROR(VLOOKUP(C33,'_METADATA_DEFAULT'!$A:$B,2,FALSE),"")</f>
        <v/>
      </c>
    </row>
    <row r="34" ht="15.75" customHeight="1">
      <c r="A34" s="2" t="s">
        <v>9</v>
      </c>
      <c r="B34" s="2" t="s">
        <v>114</v>
      </c>
      <c r="C34" s="2" t="s">
        <v>114</v>
      </c>
      <c r="D34" s="2" t="str">
        <f>IFERROR(VLOOKUP($C34,'_METADATA_TEMPLATE'!$B$2:$H$826,2,FALSE),"")</f>
        <v/>
      </c>
      <c r="E34" s="2" t="str">
        <f>IFERROR(VLOOKUP($C34,'_METADATA_TEMPLATE'!$B$2:$H$826,4,FALSE),"")</f>
        <v/>
      </c>
      <c r="F34" s="2" t="str">
        <f>IFERROR(VLOOKUP($C34,'_METADATA_TEMPLATE'!$B$2:$H$826,5,FALSE),"")</f>
        <v/>
      </c>
      <c r="G34" s="2" t="str">
        <f>IFERROR(VLOOKUP($C34,'_METADATA_TEMPLATE'!$B$2:$H$826,6,FALSE),"")</f>
        <v/>
      </c>
      <c r="H34" s="2" t="str">
        <f>IFERROR(VLOOKUP($C34,'_METADATA_TEMPLATE'!$B$2:$H$826,7,FALSE),"")</f>
        <v/>
      </c>
      <c r="I34" s="2" t="str">
        <f>IFERROR(VLOOKUP(C34,'_METADATA_DEFAULT'!$A:$B,2,FALSE),"")</f>
        <v/>
      </c>
    </row>
    <row r="35" ht="15.75" customHeight="1">
      <c r="A35" s="3" t="s">
        <v>9</v>
      </c>
      <c r="B35" s="3" t="s">
        <v>119</v>
      </c>
      <c r="C35" s="3" t="s">
        <v>119</v>
      </c>
      <c r="D35" s="3" t="str">
        <f>IFERROR(VLOOKUP($C35,'_METADATA_TEMPLATE'!$B$2:$H$826,2,FALSE),"")</f>
        <v/>
      </c>
      <c r="E35" s="3" t="str">
        <f>IFERROR(VLOOKUP($C35,'_METADATA_TEMPLATE'!$B$2:$H$826,4,FALSE),"")</f>
        <v/>
      </c>
      <c r="F35" s="3" t="str">
        <f>IFERROR(VLOOKUP($C35,'_METADATA_TEMPLATE'!$B$2:$H$826,5,FALSE),"")</f>
        <v/>
      </c>
      <c r="G35" s="3" t="str">
        <f>IFERROR(VLOOKUP($C35,'_METADATA_TEMPLATE'!$B$2:$H$826,6,FALSE),"")</f>
        <v/>
      </c>
      <c r="H35" s="3" t="str">
        <f>IFERROR(VLOOKUP($C35,'_METADATA_TEMPLATE'!$B$2:$H$826,7,FALSE),"")</f>
        <v/>
      </c>
      <c r="I35" s="3" t="str">
        <f>IFERROR(VLOOKUP(C35,'_METADATA_DEFAULT'!$A:$B,2,FALSE),"")</f>
        <v/>
      </c>
    </row>
    <row r="36" ht="15.75" customHeight="1">
      <c r="A36" s="2" t="s">
        <v>9</v>
      </c>
      <c r="B36" s="2" t="s">
        <v>123</v>
      </c>
      <c r="C36" s="2" t="s">
        <v>123</v>
      </c>
      <c r="D36" s="2" t="str">
        <f>IFERROR(VLOOKUP($C36,'_METADATA_TEMPLATE'!$B$2:$H$826,2,FALSE),"")</f>
        <v/>
      </c>
      <c r="E36" s="2" t="str">
        <f>IFERROR(VLOOKUP($C36,'_METADATA_TEMPLATE'!$B$2:$H$826,4,FALSE),"")</f>
        <v/>
      </c>
      <c r="F36" s="2" t="str">
        <f>IFERROR(VLOOKUP($C36,'_METADATA_TEMPLATE'!$B$2:$H$826,5,FALSE),"")</f>
        <v/>
      </c>
      <c r="G36" s="2" t="str">
        <f>IFERROR(VLOOKUP($C36,'_METADATA_TEMPLATE'!$B$2:$H$826,6,FALSE),"")</f>
        <v/>
      </c>
      <c r="H36" s="2" t="str">
        <f>IFERROR(VLOOKUP($C36,'_METADATA_TEMPLATE'!$B$2:$H$826,7,FALSE),"")</f>
        <v/>
      </c>
      <c r="I36" s="2" t="str">
        <f>IFERROR(VLOOKUP(C36,'_METADATA_DEFAULT'!$A:$B,2,FALSE),"")</f>
        <v/>
      </c>
    </row>
    <row r="37" ht="15.75" customHeight="1">
      <c r="A37" s="3" t="s">
        <v>9</v>
      </c>
      <c r="B37" s="3" t="s">
        <v>129</v>
      </c>
      <c r="C37" s="3" t="s">
        <v>129</v>
      </c>
      <c r="D37" s="3" t="str">
        <f>IFERROR(VLOOKUP($C37,'_METADATA_TEMPLATE'!$B$2:$H$826,2,FALSE),"")</f>
        <v/>
      </c>
      <c r="E37" s="3" t="str">
        <f>IFERROR(VLOOKUP($C37,'_METADATA_TEMPLATE'!$B$2:$H$826,4,FALSE),"")</f>
        <v/>
      </c>
      <c r="F37" s="3" t="str">
        <f>IFERROR(VLOOKUP($C37,'_METADATA_TEMPLATE'!$B$2:$H$826,5,FALSE),"")</f>
        <v/>
      </c>
      <c r="G37" s="3" t="str">
        <f>IFERROR(VLOOKUP($C37,'_METADATA_TEMPLATE'!$B$2:$H$826,6,FALSE),"")</f>
        <v/>
      </c>
      <c r="H37" s="3" t="str">
        <f>IFERROR(VLOOKUP($C37,'_METADATA_TEMPLATE'!$B$2:$H$826,7,FALSE),"")</f>
        <v/>
      </c>
      <c r="I37" s="3" t="str">
        <f>IFERROR(VLOOKUP(C37,'_METADATA_DEFAULT'!$A:$B,2,FALSE),"")</f>
        <v/>
      </c>
    </row>
    <row r="38" ht="15.75" customHeight="1">
      <c r="A38" s="2" t="s">
        <v>9</v>
      </c>
      <c r="B38" s="2" t="s">
        <v>36</v>
      </c>
      <c r="C38" s="2" t="s">
        <v>36</v>
      </c>
      <c r="D38" s="2" t="str">
        <f>IFERROR(VLOOKUP($C38,'_METADATA_TEMPLATE'!$B$2:$H$826,2,FALSE),"")</f>
        <v/>
      </c>
      <c r="E38" s="2" t="str">
        <f>IFERROR(VLOOKUP($C38,'_METADATA_TEMPLATE'!$B$2:$H$826,4,FALSE),"")</f>
        <v/>
      </c>
      <c r="F38" s="2" t="str">
        <f>IFERROR(VLOOKUP($C38,'_METADATA_TEMPLATE'!$B$2:$H$826,5,FALSE),"")</f>
        <v/>
      </c>
      <c r="G38" s="2" t="str">
        <f>IFERROR(VLOOKUP($C38,'_METADATA_TEMPLATE'!$B$2:$H$826,6,FALSE),"")</f>
        <v/>
      </c>
      <c r="H38" s="2" t="str">
        <f>IFERROR(VLOOKUP($C38,'_METADATA_TEMPLATE'!$B$2:$H$826,7,FALSE),"")</f>
        <v/>
      </c>
      <c r="I38" s="2" t="str">
        <f>IFERROR(VLOOKUP(C38,'_METADATA_DEFAULT'!$A:$B,2,FALSE),"")</f>
        <v/>
      </c>
    </row>
    <row r="39" ht="15.75" customHeight="1">
      <c r="A39" s="3" t="s">
        <v>9</v>
      </c>
      <c r="B39" s="3" t="s">
        <v>137</v>
      </c>
      <c r="C39" s="3" t="s">
        <v>137</v>
      </c>
      <c r="D39" s="3" t="str">
        <f>IFERROR(VLOOKUP($C39,'_METADATA_TEMPLATE'!$B$2:$H$826,2,FALSE),"")</f>
        <v/>
      </c>
      <c r="E39" s="3" t="str">
        <f>IFERROR(VLOOKUP($C39,'_METADATA_TEMPLATE'!$B$2:$H$826,4,FALSE),"")</f>
        <v/>
      </c>
      <c r="F39" s="3" t="str">
        <f>IFERROR(VLOOKUP($C39,'_METADATA_TEMPLATE'!$B$2:$H$826,5,FALSE),"")</f>
        <v/>
      </c>
      <c r="G39" s="3" t="str">
        <f>IFERROR(VLOOKUP($C39,'_METADATA_TEMPLATE'!$B$2:$H$826,6,FALSE),"")</f>
        <v/>
      </c>
      <c r="H39" s="3" t="str">
        <f>IFERROR(VLOOKUP($C39,'_METADATA_TEMPLATE'!$B$2:$H$826,7,FALSE),"")</f>
        <v/>
      </c>
      <c r="I39" s="3" t="str">
        <f>IFERROR(VLOOKUP(C39,'_METADATA_DEFAULT'!$A:$B,2,FALSE),"")</f>
        <v>Kode Provinsi</v>
      </c>
    </row>
    <row r="40" ht="15.75" customHeight="1">
      <c r="A40" s="2" t="s">
        <v>9</v>
      </c>
      <c r="B40" s="2" t="s">
        <v>141</v>
      </c>
      <c r="C40" s="2" t="s">
        <v>141</v>
      </c>
      <c r="D40" s="2" t="str">
        <f>IFERROR(VLOOKUP($C40,'_METADATA_TEMPLATE'!$B$2:$H$826,2,FALSE),"")</f>
        <v/>
      </c>
      <c r="E40" s="2" t="str">
        <f>IFERROR(VLOOKUP($C40,'_METADATA_TEMPLATE'!$B$2:$H$826,4,FALSE),"")</f>
        <v/>
      </c>
      <c r="F40" s="2" t="str">
        <f>IFERROR(VLOOKUP($C40,'_METADATA_TEMPLATE'!$B$2:$H$826,5,FALSE),"")</f>
        <v/>
      </c>
      <c r="G40" s="2" t="str">
        <f>IFERROR(VLOOKUP($C40,'_METADATA_TEMPLATE'!$B$2:$H$826,6,FALSE),"")</f>
        <v/>
      </c>
      <c r="H40" s="2" t="str">
        <f>IFERROR(VLOOKUP($C40,'_METADATA_TEMPLATE'!$B$2:$H$826,7,FALSE),"")</f>
        <v/>
      </c>
      <c r="I40" s="2" t="str">
        <f>IFERROR(VLOOKUP(C40,'_METADATA_DEFAULT'!$A:$B,2,FALSE),"")</f>
        <v>Provinsi</v>
      </c>
    </row>
    <row r="41" ht="15.75" customHeight="1">
      <c r="A41" s="3" t="s">
        <v>9</v>
      </c>
      <c r="B41" s="3" t="s">
        <v>145</v>
      </c>
      <c r="C41" s="3" t="s">
        <v>145</v>
      </c>
      <c r="D41" s="3" t="str">
        <f>IFERROR(VLOOKUP($C41,'_METADATA_TEMPLATE'!$B$2:$H$826,2,FALSE),"")</f>
        <v/>
      </c>
      <c r="E41" s="3" t="str">
        <f>IFERROR(VLOOKUP($C41,'_METADATA_TEMPLATE'!$B$2:$H$826,4,FALSE),"")</f>
        <v/>
      </c>
      <c r="F41" s="3" t="str">
        <f>IFERROR(VLOOKUP($C41,'_METADATA_TEMPLATE'!$B$2:$H$826,5,FALSE),"")</f>
        <v/>
      </c>
      <c r="G41" s="3" t="str">
        <f>IFERROR(VLOOKUP($C41,'_METADATA_TEMPLATE'!$B$2:$H$826,6,FALSE),"")</f>
        <v/>
      </c>
      <c r="H41" s="3" t="str">
        <f>IFERROR(VLOOKUP($C41,'_METADATA_TEMPLATE'!$B$2:$H$826,7,FALSE),"")</f>
        <v/>
      </c>
      <c r="I41" s="3" t="str">
        <f>IFERROR(VLOOKUP(C41,'_METADATA_DEFAULT'!$A:$B,2,FALSE),"")</f>
        <v/>
      </c>
    </row>
    <row r="42" ht="15.75" customHeight="1">
      <c r="A42" s="2" t="s">
        <v>9</v>
      </c>
      <c r="B42" s="2" t="s">
        <v>149</v>
      </c>
      <c r="C42" s="2" t="s">
        <v>149</v>
      </c>
      <c r="D42" s="2" t="str">
        <f>IFERROR(VLOOKUP($C42,'_METADATA_TEMPLATE'!$B$2:$H$826,2,FALSE),"")</f>
        <v/>
      </c>
      <c r="E42" s="2" t="str">
        <f>IFERROR(VLOOKUP($C42,'_METADATA_TEMPLATE'!$B$2:$H$826,4,FALSE),"")</f>
        <v/>
      </c>
      <c r="F42" s="2" t="str">
        <f>IFERROR(VLOOKUP($C42,'_METADATA_TEMPLATE'!$B$2:$H$826,5,FALSE),"")</f>
        <v/>
      </c>
      <c r="G42" s="2" t="str">
        <f>IFERROR(VLOOKUP($C42,'_METADATA_TEMPLATE'!$B$2:$H$826,6,FALSE),"")</f>
        <v/>
      </c>
      <c r="H42" s="2" t="str">
        <f>IFERROR(VLOOKUP($C42,'_METADATA_TEMPLATE'!$B$2:$H$826,7,FALSE),"")</f>
        <v/>
      </c>
      <c r="I42" s="2" t="str">
        <f>IFERROR(VLOOKUP(C42,'_METADATA_DEFAULT'!$A:$B,2,FALSE),"")</f>
        <v/>
      </c>
    </row>
    <row r="43" ht="15.75" customHeight="1">
      <c r="A43" s="3" t="s">
        <v>9</v>
      </c>
      <c r="B43" s="3" t="s">
        <v>157</v>
      </c>
      <c r="C43" s="3" t="s">
        <v>157</v>
      </c>
      <c r="D43" s="3" t="str">
        <f>IFERROR(VLOOKUP($C43,'_METADATA_TEMPLATE'!$B$2:$H$826,2,FALSE),"")</f>
        <v/>
      </c>
      <c r="E43" s="3" t="str">
        <f>IFERROR(VLOOKUP($C43,'_METADATA_TEMPLATE'!$B$2:$H$826,4,FALSE),"")</f>
        <v/>
      </c>
      <c r="F43" s="3" t="str">
        <f>IFERROR(VLOOKUP($C43,'_METADATA_TEMPLATE'!$B$2:$H$826,5,FALSE),"")</f>
        <v/>
      </c>
      <c r="G43" s="3" t="str">
        <f>IFERROR(VLOOKUP($C43,'_METADATA_TEMPLATE'!$B$2:$H$826,6,FALSE),"")</f>
        <v/>
      </c>
      <c r="H43" s="3" t="str">
        <f>IFERROR(VLOOKUP($C43,'_METADATA_TEMPLATE'!$B$2:$H$826,7,FALSE),"")</f>
        <v/>
      </c>
      <c r="I43" s="3" t="str">
        <f>IFERROR(VLOOKUP(C43,'_METADATA_DEFAULT'!$A:$B,2,FALSE),"")</f>
        <v/>
      </c>
    </row>
    <row r="44" ht="15.75" customHeight="1">
      <c r="A44" s="2" t="s">
        <v>9</v>
      </c>
      <c r="B44" s="2" t="s">
        <v>161</v>
      </c>
      <c r="C44" s="2" t="s">
        <v>161</v>
      </c>
      <c r="D44" s="2" t="str">
        <f>IFERROR(VLOOKUP($C44,'_METADATA_TEMPLATE'!$B$2:$H$826,2,FALSE),"")</f>
        <v/>
      </c>
      <c r="E44" s="2" t="str">
        <f>IFERROR(VLOOKUP($C44,'_METADATA_TEMPLATE'!$B$2:$H$826,4,FALSE),"")</f>
        <v/>
      </c>
      <c r="F44" s="2" t="str">
        <f>IFERROR(VLOOKUP($C44,'_METADATA_TEMPLATE'!$B$2:$H$826,5,FALSE),"")</f>
        <v/>
      </c>
      <c r="G44" s="2" t="str">
        <f>IFERROR(VLOOKUP($C44,'_METADATA_TEMPLATE'!$B$2:$H$826,6,FALSE),"")</f>
        <v/>
      </c>
      <c r="H44" s="2" t="str">
        <f>IFERROR(VLOOKUP($C44,'_METADATA_TEMPLATE'!$B$2:$H$826,7,FALSE),"")</f>
        <v/>
      </c>
      <c r="I44" s="2" t="str">
        <f>IFERROR(VLOOKUP(C44,'_METADATA_DEFAULT'!$A:$B,2,FALSE),"")</f>
        <v>Kode Kabupaten/Kota</v>
      </c>
    </row>
    <row r="45" ht="15.75" customHeight="1">
      <c r="A45" s="3" t="s">
        <v>9</v>
      </c>
      <c r="B45" s="3" t="s">
        <v>165</v>
      </c>
      <c r="C45" s="3" t="s">
        <v>165</v>
      </c>
      <c r="D45" s="3" t="str">
        <f>IFERROR(VLOOKUP($C45,'_METADATA_TEMPLATE'!$B$2:$H$826,2,FALSE),"")</f>
        <v/>
      </c>
      <c r="E45" s="3" t="str">
        <f>IFERROR(VLOOKUP($C45,'_METADATA_TEMPLATE'!$B$2:$H$826,4,FALSE),"")</f>
        <v/>
      </c>
      <c r="F45" s="3" t="str">
        <f>IFERROR(VLOOKUP($C45,'_METADATA_TEMPLATE'!$B$2:$H$826,5,FALSE),"")</f>
        <v/>
      </c>
      <c r="G45" s="3" t="str">
        <f>IFERROR(VLOOKUP($C45,'_METADATA_TEMPLATE'!$B$2:$H$826,6,FALSE),"")</f>
        <v/>
      </c>
      <c r="H45" s="3" t="str">
        <f>IFERROR(VLOOKUP($C45,'_METADATA_TEMPLATE'!$B$2:$H$826,7,FALSE),"")</f>
        <v/>
      </c>
      <c r="I45" s="3" t="str">
        <f>IFERROR(VLOOKUP(C45,'_METADATA_DEFAULT'!$A:$B,2,FALSE),"")</f>
        <v>Kabupaten/Kota</v>
      </c>
    </row>
    <row r="46" ht="15.75" customHeight="1">
      <c r="A46" s="2" t="s">
        <v>9</v>
      </c>
      <c r="B46" s="2" t="s">
        <v>168</v>
      </c>
      <c r="C46" s="2" t="s">
        <v>168</v>
      </c>
      <c r="D46" s="2" t="str">
        <f>IFERROR(VLOOKUP($C46,'_METADATA_TEMPLATE'!$B$2:$H$826,2,FALSE),"")</f>
        <v/>
      </c>
      <c r="E46" s="2" t="str">
        <f>IFERROR(VLOOKUP($C46,'_METADATA_TEMPLATE'!$B$2:$H$826,4,FALSE),"")</f>
        <v/>
      </c>
      <c r="F46" s="2" t="str">
        <f>IFERROR(VLOOKUP($C46,'_METADATA_TEMPLATE'!$B$2:$H$826,5,FALSE),"")</f>
        <v/>
      </c>
      <c r="G46" s="2" t="str">
        <f>IFERROR(VLOOKUP($C46,'_METADATA_TEMPLATE'!$B$2:$H$826,6,FALSE),"")</f>
        <v/>
      </c>
      <c r="H46" s="2" t="str">
        <f>IFERROR(VLOOKUP($C46,'_METADATA_TEMPLATE'!$B$2:$H$826,7,FALSE),"")</f>
        <v/>
      </c>
      <c r="I46" s="2" t="str">
        <f>IFERROR(VLOOKUP(C46,'_METADATA_DEFAULT'!$A:$B,2,FALSE),"")</f>
        <v>Kode Kecamatan</v>
      </c>
    </row>
    <row r="47" ht="15.75" customHeight="1">
      <c r="A47" s="3" t="s">
        <v>9</v>
      </c>
      <c r="B47" s="3" t="s">
        <v>172</v>
      </c>
      <c r="C47" s="3" t="s">
        <v>172</v>
      </c>
      <c r="D47" s="3" t="str">
        <f>IFERROR(VLOOKUP($C47,'_METADATA_TEMPLATE'!$B$2:$H$826,2,FALSE),"")</f>
        <v/>
      </c>
      <c r="E47" s="3" t="str">
        <f>IFERROR(VLOOKUP($C47,'_METADATA_TEMPLATE'!$B$2:$H$826,4,FALSE),"")</f>
        <v/>
      </c>
      <c r="F47" s="3" t="str">
        <f>IFERROR(VLOOKUP($C47,'_METADATA_TEMPLATE'!$B$2:$H$826,5,FALSE),"")</f>
        <v/>
      </c>
      <c r="G47" s="3" t="str">
        <f>IFERROR(VLOOKUP($C47,'_METADATA_TEMPLATE'!$B$2:$H$826,6,FALSE),"")</f>
        <v/>
      </c>
      <c r="H47" s="3" t="str">
        <f>IFERROR(VLOOKUP($C47,'_METADATA_TEMPLATE'!$B$2:$H$826,7,FALSE),"")</f>
        <v/>
      </c>
      <c r="I47" s="3" t="str">
        <f>IFERROR(VLOOKUP(C47,'_METADATA_DEFAULT'!$A:$B,2,FALSE),"")</f>
        <v>Kode Lengkap Kecamatan</v>
      </c>
    </row>
    <row r="48" ht="15.75" customHeight="1">
      <c r="A48" s="2" t="s">
        <v>9</v>
      </c>
      <c r="B48" s="2" t="s">
        <v>176</v>
      </c>
      <c r="C48" s="2" t="s">
        <v>176</v>
      </c>
      <c r="D48" s="2" t="str">
        <f>IFERROR(VLOOKUP($C48,'_METADATA_TEMPLATE'!$B$2:$H$826,2,FALSE),"")</f>
        <v/>
      </c>
      <c r="E48" s="2" t="str">
        <f>IFERROR(VLOOKUP($C48,'_METADATA_TEMPLATE'!$B$2:$H$826,4,FALSE),"")</f>
        <v/>
      </c>
      <c r="F48" s="2" t="str">
        <f>IFERROR(VLOOKUP($C48,'_METADATA_TEMPLATE'!$B$2:$H$826,5,FALSE),"")</f>
        <v/>
      </c>
      <c r="G48" s="2" t="str">
        <f>IFERROR(VLOOKUP($C48,'_METADATA_TEMPLATE'!$B$2:$H$826,6,FALSE),"")</f>
        <v/>
      </c>
      <c r="H48" s="2" t="str">
        <f>IFERROR(VLOOKUP($C48,'_METADATA_TEMPLATE'!$B$2:$H$826,7,FALSE),"")</f>
        <v/>
      </c>
      <c r="I48" s="2" t="str">
        <f>IFERROR(VLOOKUP(C48,'_METADATA_DEFAULT'!$A:$B,2,FALSE),"")</f>
        <v>Kecamatan</v>
      </c>
    </row>
    <row r="49" ht="15.75" customHeight="1">
      <c r="A49" s="3" t="s">
        <v>9</v>
      </c>
      <c r="B49" s="3" t="s">
        <v>181</v>
      </c>
      <c r="C49" s="3" t="s">
        <v>181</v>
      </c>
      <c r="D49" s="3" t="str">
        <f>IFERROR(VLOOKUP($C49,'_METADATA_TEMPLATE'!$B$2:$H$826,2,FALSE),"")</f>
        <v/>
      </c>
      <c r="E49" s="3" t="str">
        <f>IFERROR(VLOOKUP($C49,'_METADATA_TEMPLATE'!$B$2:$H$826,4,FALSE),"")</f>
        <v/>
      </c>
      <c r="F49" s="3" t="str">
        <f>IFERROR(VLOOKUP($C49,'_METADATA_TEMPLATE'!$B$2:$H$826,5,FALSE),"")</f>
        <v/>
      </c>
      <c r="G49" s="3" t="str">
        <f>IFERROR(VLOOKUP($C49,'_METADATA_TEMPLATE'!$B$2:$H$826,6,FALSE),"")</f>
        <v/>
      </c>
      <c r="H49" s="3" t="str">
        <f>IFERROR(VLOOKUP($C49,'_METADATA_TEMPLATE'!$B$2:$H$826,7,FALSE),"")</f>
        <v/>
      </c>
      <c r="I49" s="3" t="str">
        <f>IFERROR(VLOOKUP(C49,'_METADATA_DEFAULT'!$A:$B,2,FALSE),"")</f>
        <v>Kode Kelurahan/Desa</v>
      </c>
    </row>
    <row r="50" ht="15.75" customHeight="1">
      <c r="A50" s="2" t="s">
        <v>9</v>
      </c>
      <c r="B50" s="2" t="s">
        <v>184</v>
      </c>
      <c r="C50" s="2" t="s">
        <v>184</v>
      </c>
      <c r="D50" s="2" t="str">
        <f>IFERROR(VLOOKUP($C50,'_METADATA_TEMPLATE'!$B$2:$H$826,2,FALSE),"")</f>
        <v/>
      </c>
      <c r="E50" s="2" t="str">
        <f>IFERROR(VLOOKUP($C50,'_METADATA_TEMPLATE'!$B$2:$H$826,4,FALSE),"")</f>
        <v/>
      </c>
      <c r="F50" s="2" t="str">
        <f>IFERROR(VLOOKUP($C50,'_METADATA_TEMPLATE'!$B$2:$H$826,5,FALSE),"")</f>
        <v/>
      </c>
      <c r="G50" s="2" t="str">
        <f>IFERROR(VLOOKUP($C50,'_METADATA_TEMPLATE'!$B$2:$H$826,6,FALSE),"")</f>
        <v/>
      </c>
      <c r="H50" s="2" t="str">
        <f>IFERROR(VLOOKUP($C50,'_METADATA_TEMPLATE'!$B$2:$H$826,7,FALSE),"")</f>
        <v/>
      </c>
      <c r="I50" s="2" t="str">
        <f>IFERROR(VLOOKUP(C50,'_METADATA_DEFAULT'!$A:$B,2,FALSE),"")</f>
        <v>Kode Lengkap Kelurahan/Desa</v>
      </c>
    </row>
    <row r="51" ht="15.75" customHeight="1">
      <c r="A51" s="3" t="s">
        <v>9</v>
      </c>
      <c r="B51" s="3" t="s">
        <v>188</v>
      </c>
      <c r="C51" s="3" t="s">
        <v>188</v>
      </c>
      <c r="D51" s="3" t="str">
        <f>IFERROR(VLOOKUP($C51,'_METADATA_TEMPLATE'!$B$2:$H$826,2,FALSE),"")</f>
        <v/>
      </c>
      <c r="E51" s="3" t="str">
        <f>IFERROR(VLOOKUP($C51,'_METADATA_TEMPLATE'!$B$2:$H$826,4,FALSE),"")</f>
        <v/>
      </c>
      <c r="F51" s="3" t="str">
        <f>IFERROR(VLOOKUP($C51,'_METADATA_TEMPLATE'!$B$2:$H$826,5,FALSE),"")</f>
        <v/>
      </c>
      <c r="G51" s="3" t="str">
        <f>IFERROR(VLOOKUP($C51,'_METADATA_TEMPLATE'!$B$2:$H$826,6,FALSE),"")</f>
        <v/>
      </c>
      <c r="H51" s="3" t="str">
        <f>IFERROR(VLOOKUP($C51,'_METADATA_TEMPLATE'!$B$2:$H$826,7,FALSE),"")</f>
        <v/>
      </c>
      <c r="I51" s="3" t="str">
        <f>IFERROR(VLOOKUP(C51,'_METADATA_DEFAULT'!$A:$B,2,FALSE),"")</f>
        <v>Kelurahan/Desa</v>
      </c>
    </row>
    <row r="52" ht="15.75" customHeight="1">
      <c r="A52" s="2" t="s">
        <v>9</v>
      </c>
      <c r="B52" s="2" t="s">
        <v>191</v>
      </c>
      <c r="C52" s="2" t="s">
        <v>191</v>
      </c>
      <c r="D52" s="2" t="str">
        <f>IFERROR(VLOOKUP($C52,'_METADATA_TEMPLATE'!$B$2:$H$826,2,FALSE),"")</f>
        <v/>
      </c>
      <c r="E52" s="2" t="str">
        <f>IFERROR(VLOOKUP($C52,'_METADATA_TEMPLATE'!$B$2:$H$826,4,FALSE),"")</f>
        <v/>
      </c>
      <c r="F52" s="2" t="str">
        <f>IFERROR(VLOOKUP($C52,'_METADATA_TEMPLATE'!$B$2:$H$826,5,FALSE),"")</f>
        <v/>
      </c>
      <c r="G52" s="2" t="str">
        <f>IFERROR(VLOOKUP($C52,'_METADATA_TEMPLATE'!$B$2:$H$826,6,FALSE),"")</f>
        <v/>
      </c>
      <c r="H52" s="2" t="str">
        <f>IFERROR(VLOOKUP($C52,'_METADATA_TEMPLATE'!$B$2:$H$826,7,FALSE),"")</f>
        <v/>
      </c>
      <c r="I52" s="2" t="str">
        <f>IFERROR(VLOOKUP(C52,'_METADATA_DEFAULT'!$A:$B,2,FALSE),"")</f>
        <v>Kode SLS</v>
      </c>
    </row>
    <row r="53" ht="15.75" customHeight="1">
      <c r="A53" s="3" t="s">
        <v>9</v>
      </c>
      <c r="B53" s="3" t="s">
        <v>194</v>
      </c>
      <c r="C53" s="3" t="s">
        <v>194</v>
      </c>
      <c r="D53" s="3" t="str">
        <f>IFERROR(VLOOKUP($C53,'_METADATA_TEMPLATE'!$B$2:$H$826,2,FALSE),"")</f>
        <v/>
      </c>
      <c r="E53" s="3" t="str">
        <f>IFERROR(VLOOKUP($C53,'_METADATA_TEMPLATE'!$B$2:$H$826,4,FALSE),"")</f>
        <v/>
      </c>
      <c r="F53" s="3" t="str">
        <f>IFERROR(VLOOKUP($C53,'_METADATA_TEMPLATE'!$B$2:$H$826,5,FALSE),"")</f>
        <v/>
      </c>
      <c r="G53" s="3" t="str">
        <f>IFERROR(VLOOKUP($C53,'_METADATA_TEMPLATE'!$B$2:$H$826,6,FALSE),"")</f>
        <v/>
      </c>
      <c r="H53" s="3" t="str">
        <f>IFERROR(VLOOKUP($C53,'_METADATA_TEMPLATE'!$B$2:$H$826,7,FALSE),"")</f>
        <v/>
      </c>
      <c r="I53" s="3" t="str">
        <f>IFERROR(VLOOKUP(C53,'_METADATA_DEFAULT'!$A:$B,2,FALSE),"")</f>
        <v>Kode Lengkap SLS</v>
      </c>
    </row>
    <row r="54" ht="15.75" customHeight="1">
      <c r="A54" s="2" t="s">
        <v>9</v>
      </c>
      <c r="B54" s="2" t="s">
        <v>197</v>
      </c>
      <c r="C54" s="2" t="s">
        <v>197</v>
      </c>
      <c r="D54" s="2" t="str">
        <f>IFERROR(VLOOKUP($C54,'_METADATA_TEMPLATE'!$B$2:$H$826,2,FALSE),"")</f>
        <v/>
      </c>
      <c r="E54" s="2" t="str">
        <f>IFERROR(VLOOKUP($C54,'_METADATA_TEMPLATE'!$B$2:$H$826,4,FALSE),"")</f>
        <v/>
      </c>
      <c r="F54" s="2" t="str">
        <f>IFERROR(VLOOKUP($C54,'_METADATA_TEMPLATE'!$B$2:$H$826,5,FALSE),"")</f>
        <v/>
      </c>
      <c r="G54" s="2" t="str">
        <f>IFERROR(VLOOKUP($C54,'_METADATA_TEMPLATE'!$B$2:$H$826,6,FALSE),"")</f>
        <v/>
      </c>
      <c r="H54" s="2" t="str">
        <f>IFERROR(VLOOKUP($C54,'_METADATA_TEMPLATE'!$B$2:$H$826,7,FALSE),"")</f>
        <v/>
      </c>
      <c r="I54" s="2" t="str">
        <f>IFERROR(VLOOKUP(C54,'_METADATA_DEFAULT'!$A:$B,2,FALSE),"")</f>
        <v>SLS</v>
      </c>
    </row>
    <row r="55" ht="15.75" customHeight="1">
      <c r="A55" s="3" t="s">
        <v>9</v>
      </c>
      <c r="B55" s="3" t="s">
        <v>202</v>
      </c>
      <c r="C55" s="3" t="s">
        <v>202</v>
      </c>
      <c r="D55" s="3" t="str">
        <f>IFERROR(VLOOKUP($C55,'_METADATA_TEMPLATE'!$B$2:$H$826,2,FALSE),"")</f>
        <v/>
      </c>
      <c r="E55" s="3" t="str">
        <f>IFERROR(VLOOKUP($C55,'_METADATA_TEMPLATE'!$B$2:$H$826,4,FALSE),"")</f>
        <v/>
      </c>
      <c r="F55" s="3" t="str">
        <f>IFERROR(VLOOKUP($C55,'_METADATA_TEMPLATE'!$B$2:$H$826,5,FALSE),"")</f>
        <v/>
      </c>
      <c r="G55" s="3" t="str">
        <f>IFERROR(VLOOKUP($C55,'_METADATA_TEMPLATE'!$B$2:$H$826,6,FALSE),"")</f>
        <v/>
      </c>
      <c r="H55" s="3" t="str">
        <f>IFERROR(VLOOKUP($C55,'_METADATA_TEMPLATE'!$B$2:$H$826,7,FALSE),"")</f>
        <v/>
      </c>
      <c r="I55" s="3" t="str">
        <f>IFERROR(VLOOKUP(C55,'_METADATA_DEFAULT'!$A:$B,2,FALSE),"")</f>
        <v>Kode Sub-SLS</v>
      </c>
    </row>
    <row r="56" ht="15.75" customHeight="1">
      <c r="A56" s="2" t="s">
        <v>9</v>
      </c>
      <c r="B56" s="2" t="s">
        <v>206</v>
      </c>
      <c r="C56" s="2" t="s">
        <v>206</v>
      </c>
      <c r="D56" s="2" t="str">
        <f>IFERROR(VLOOKUP($C56,'_METADATA_TEMPLATE'!$B$2:$H$826,2,FALSE),"")</f>
        <v/>
      </c>
      <c r="E56" s="2" t="str">
        <f>IFERROR(VLOOKUP($C56,'_METADATA_TEMPLATE'!$B$2:$H$826,4,FALSE),"")</f>
        <v/>
      </c>
      <c r="F56" s="2" t="str">
        <f>IFERROR(VLOOKUP($C56,'_METADATA_TEMPLATE'!$B$2:$H$826,5,FALSE),"")</f>
        <v/>
      </c>
      <c r="G56" s="2" t="str">
        <f>IFERROR(VLOOKUP($C56,'_METADATA_TEMPLATE'!$B$2:$H$826,6,FALSE),"")</f>
        <v/>
      </c>
      <c r="H56" s="2" t="str">
        <f>IFERROR(VLOOKUP($C56,'_METADATA_TEMPLATE'!$B$2:$H$826,7,FALSE),"")</f>
        <v/>
      </c>
      <c r="I56" s="2" t="str">
        <f>IFERROR(VLOOKUP(C56,'_METADATA_DEFAULT'!$A:$B,2,FALSE),"")</f>
        <v>Kode Lengkap Sub-SLS</v>
      </c>
    </row>
    <row r="57" ht="15.75" customHeight="1">
      <c r="A57" s="3" t="s">
        <v>9</v>
      </c>
      <c r="B57" s="3" t="s">
        <v>209</v>
      </c>
      <c r="C57" s="3" t="s">
        <v>209</v>
      </c>
      <c r="D57" s="3" t="str">
        <f>IFERROR(VLOOKUP($C57,'_METADATA_TEMPLATE'!$B$2:$H$826,2,FALSE),"")</f>
        <v/>
      </c>
      <c r="E57" s="3" t="str">
        <f>IFERROR(VLOOKUP($C57,'_METADATA_TEMPLATE'!$B$2:$H$826,4,FALSE),"")</f>
        <v/>
      </c>
      <c r="F57" s="3" t="str">
        <f>IFERROR(VLOOKUP($C57,'_METADATA_TEMPLATE'!$B$2:$H$826,5,FALSE),"")</f>
        <v/>
      </c>
      <c r="G57" s="3" t="str">
        <f>IFERROR(VLOOKUP($C57,'_METADATA_TEMPLATE'!$B$2:$H$826,6,FALSE),"")</f>
        <v/>
      </c>
      <c r="H57" s="3" t="str">
        <f>IFERROR(VLOOKUP($C57,'_METADATA_TEMPLATE'!$B$2:$H$826,7,FALSE),"")</f>
        <v/>
      </c>
      <c r="I57" s="3" t="str">
        <f>IFERROR(VLOOKUP(C57,'_METADATA_DEFAULT'!$A:$B,2,FALSE),"")</f>
        <v>Sub-SLS</v>
      </c>
    </row>
    <row r="58" ht="15.75" customHeight="1">
      <c r="A58" s="2" t="s">
        <v>9</v>
      </c>
      <c r="B58" s="2" t="s">
        <v>211</v>
      </c>
      <c r="C58" s="2" t="s">
        <v>211</v>
      </c>
      <c r="D58" s="2" t="str">
        <f>IFERROR(VLOOKUP($C58,'_METADATA_TEMPLATE'!$B$2:$H$826,2,FALSE),"")</f>
        <v/>
      </c>
      <c r="E58" s="2" t="str">
        <f>IFERROR(VLOOKUP($C58,'_METADATA_TEMPLATE'!$B$2:$H$826,4,FALSE),"")</f>
        <v/>
      </c>
      <c r="F58" s="2" t="str">
        <f>IFERROR(VLOOKUP($C58,'_METADATA_TEMPLATE'!$B$2:$H$826,5,FALSE),"")</f>
        <v/>
      </c>
      <c r="G58" s="2" t="str">
        <f>IFERROR(VLOOKUP($C58,'_METADATA_TEMPLATE'!$B$2:$H$826,6,FALSE),"")</f>
        <v/>
      </c>
      <c r="H58" s="2" t="str">
        <f>IFERROR(VLOOKUP($C58,'_METADATA_TEMPLATE'!$B$2:$H$826,7,FALSE),"")</f>
        <v/>
      </c>
      <c r="I58" s="2" t="str">
        <f>IFERROR(VLOOKUP(C58,'_METADATA_DEFAULT'!$A:$B,2,FALSE),"")</f>
        <v/>
      </c>
    </row>
    <row r="59" ht="15.75" customHeight="1">
      <c r="A59" s="3" t="s">
        <v>9</v>
      </c>
      <c r="B59" s="3" t="s">
        <v>214</v>
      </c>
      <c r="C59" s="3" t="s">
        <v>214</v>
      </c>
      <c r="D59" s="3" t="str">
        <f>IFERROR(VLOOKUP($C59,'_METADATA_TEMPLATE'!$B$2:$H$826,2,FALSE),"")</f>
        <v/>
      </c>
      <c r="E59" s="3" t="str">
        <f>IFERROR(VLOOKUP($C59,'_METADATA_TEMPLATE'!$B$2:$H$826,4,FALSE),"")</f>
        <v/>
      </c>
      <c r="F59" s="3" t="str">
        <f>IFERROR(VLOOKUP($C59,'_METADATA_TEMPLATE'!$B$2:$H$826,5,FALSE),"")</f>
        <v/>
      </c>
      <c r="G59" s="3" t="str">
        <f>IFERROR(VLOOKUP($C59,'_METADATA_TEMPLATE'!$B$2:$H$826,6,FALSE),"")</f>
        <v/>
      </c>
      <c r="H59" s="3" t="str">
        <f>IFERROR(VLOOKUP($C59,'_METADATA_TEMPLATE'!$B$2:$H$826,7,FALSE),"")</f>
        <v/>
      </c>
      <c r="I59" s="3" t="str">
        <f>IFERROR(VLOOKUP(C59,'_METADATA_DEFAULT'!$A:$B,2,FALSE),"")</f>
        <v/>
      </c>
    </row>
    <row r="60" ht="15.75" customHeight="1">
      <c r="A60" s="2" t="s">
        <v>9</v>
      </c>
      <c r="B60" s="2" t="s">
        <v>216</v>
      </c>
      <c r="C60" s="2" t="s">
        <v>216</v>
      </c>
      <c r="D60" s="2" t="str">
        <f>IFERROR(VLOOKUP($C60,'_METADATA_TEMPLATE'!$B$2:$H$826,2,FALSE),"")</f>
        <v/>
      </c>
      <c r="E60" s="2" t="str">
        <f>IFERROR(VLOOKUP($C60,'_METADATA_TEMPLATE'!$B$2:$H$826,4,FALSE),"")</f>
        <v/>
      </c>
      <c r="F60" s="2" t="str">
        <f>IFERROR(VLOOKUP($C60,'_METADATA_TEMPLATE'!$B$2:$H$826,5,FALSE),"")</f>
        <v/>
      </c>
      <c r="G60" s="2" t="str">
        <f>IFERROR(VLOOKUP($C60,'_METADATA_TEMPLATE'!$B$2:$H$826,6,FALSE),"")</f>
        <v/>
      </c>
      <c r="H60" s="2" t="str">
        <f>IFERROR(VLOOKUP($C60,'_METADATA_TEMPLATE'!$B$2:$H$826,7,FALSE),"")</f>
        <v/>
      </c>
      <c r="I60" s="2" t="str">
        <f>IFERROR(VLOOKUP(C60,'_METADATA_DEFAULT'!$A:$B,2,FALSE),"")</f>
        <v/>
      </c>
    </row>
    <row r="61" ht="15.75" customHeight="1">
      <c r="A61" s="3" t="s">
        <v>9</v>
      </c>
      <c r="B61" s="3" t="s">
        <v>218</v>
      </c>
      <c r="C61" s="3" t="s">
        <v>218</v>
      </c>
      <c r="D61" s="3" t="str">
        <f>IFERROR(VLOOKUP($C61,'_METADATA_TEMPLATE'!$B$2:$H$826,2,FALSE),"")</f>
        <v/>
      </c>
      <c r="E61" s="3" t="str">
        <f>IFERROR(VLOOKUP($C61,'_METADATA_TEMPLATE'!$B$2:$H$826,4,FALSE),"")</f>
        <v/>
      </c>
      <c r="F61" s="3" t="str">
        <f>IFERROR(VLOOKUP($C61,'_METADATA_TEMPLATE'!$B$2:$H$826,5,FALSE),"")</f>
        <v/>
      </c>
      <c r="G61" s="3" t="str">
        <f>IFERROR(VLOOKUP($C61,'_METADATA_TEMPLATE'!$B$2:$H$826,6,FALSE),"")</f>
        <v/>
      </c>
      <c r="H61" s="3" t="str">
        <f>IFERROR(VLOOKUP($C61,'_METADATA_TEMPLATE'!$B$2:$H$826,7,FALSE),"")</f>
        <v/>
      </c>
      <c r="I61" s="3" t="str">
        <f>IFERROR(VLOOKUP(C61,'_METADATA_DEFAULT'!$A:$B,2,FALSE),"")</f>
        <v/>
      </c>
    </row>
    <row r="62" ht="15.75" customHeight="1">
      <c r="A62" s="2" t="s">
        <v>9</v>
      </c>
      <c r="B62" s="2" t="s">
        <v>221</v>
      </c>
      <c r="C62" s="2" t="s">
        <v>221</v>
      </c>
      <c r="D62" s="2" t="str">
        <f>IFERROR(VLOOKUP($C62,'_METADATA_TEMPLATE'!$B$2:$H$826,2,FALSE),"")</f>
        <v/>
      </c>
      <c r="E62" s="2" t="str">
        <f>IFERROR(VLOOKUP($C62,'_METADATA_TEMPLATE'!$B$2:$H$826,4,FALSE),"")</f>
        <v/>
      </c>
      <c r="F62" s="2" t="str">
        <f>IFERROR(VLOOKUP($C62,'_METADATA_TEMPLATE'!$B$2:$H$826,5,FALSE),"")</f>
        <v/>
      </c>
      <c r="G62" s="2" t="str">
        <f>IFERROR(VLOOKUP($C62,'_METADATA_TEMPLATE'!$B$2:$H$826,6,FALSE),"")</f>
        <v/>
      </c>
      <c r="H62" s="2" t="str">
        <f>IFERROR(VLOOKUP($C62,'_METADATA_TEMPLATE'!$B$2:$H$826,7,FALSE),"")</f>
        <v/>
      </c>
      <c r="I62" s="2" t="str">
        <f>IFERROR(VLOOKUP(C62,'_METADATA_DEFAULT'!$A:$B,2,FALSE),"")</f>
        <v/>
      </c>
    </row>
    <row r="63" ht="15.75" customHeight="1">
      <c r="A63" s="3" t="s">
        <v>9</v>
      </c>
      <c r="B63" s="3" t="s">
        <v>225</v>
      </c>
      <c r="C63" s="3" t="s">
        <v>225</v>
      </c>
      <c r="D63" s="3" t="str">
        <f>IFERROR(VLOOKUP($C63,'_METADATA_TEMPLATE'!$B$2:$H$826,2,FALSE),"")</f>
        <v/>
      </c>
      <c r="E63" s="3" t="str">
        <f>IFERROR(VLOOKUP($C63,'_METADATA_TEMPLATE'!$B$2:$H$826,4,FALSE),"")</f>
        <v/>
      </c>
      <c r="F63" s="3" t="str">
        <f>IFERROR(VLOOKUP($C63,'_METADATA_TEMPLATE'!$B$2:$H$826,5,FALSE),"")</f>
        <v/>
      </c>
      <c r="G63" s="3" t="str">
        <f>IFERROR(VLOOKUP($C63,'_METADATA_TEMPLATE'!$B$2:$H$826,6,FALSE),"")</f>
        <v/>
      </c>
      <c r="H63" s="3" t="str">
        <f>IFERROR(VLOOKUP($C63,'_METADATA_TEMPLATE'!$B$2:$H$826,7,FALSE),"")</f>
        <v/>
      </c>
      <c r="I63" s="3" t="str">
        <f>IFERROR(VLOOKUP(C63,'_METADATA_DEFAULT'!$A:$B,2,FALSE),"")</f>
        <v/>
      </c>
    </row>
    <row r="64" ht="15.75" customHeight="1">
      <c r="A64" s="2" t="s">
        <v>9</v>
      </c>
      <c r="B64" s="2" t="s">
        <v>227</v>
      </c>
      <c r="C64" s="2" t="s">
        <v>227</v>
      </c>
      <c r="D64" s="2" t="str">
        <f>IFERROR(VLOOKUP($C64,'_METADATA_TEMPLATE'!$B$2:$H$826,2,FALSE),"")</f>
        <v/>
      </c>
      <c r="E64" s="2" t="str">
        <f>IFERROR(VLOOKUP($C64,'_METADATA_TEMPLATE'!$B$2:$H$826,4,FALSE),"")</f>
        <v/>
      </c>
      <c r="F64" s="2" t="str">
        <f>IFERROR(VLOOKUP($C64,'_METADATA_TEMPLATE'!$B$2:$H$826,5,FALSE),"")</f>
        <v/>
      </c>
      <c r="G64" s="2" t="str">
        <f>IFERROR(VLOOKUP($C64,'_METADATA_TEMPLATE'!$B$2:$H$826,6,FALSE),"")</f>
        <v/>
      </c>
      <c r="H64" s="2" t="str">
        <f>IFERROR(VLOOKUP($C64,'_METADATA_TEMPLATE'!$B$2:$H$826,7,FALSE),"")</f>
        <v/>
      </c>
      <c r="I64" s="2" t="str">
        <f>IFERROR(VLOOKUP(C64,'_METADATA_DEFAULT'!$A:$B,2,FALSE),"")</f>
        <v/>
      </c>
    </row>
    <row r="65" ht="15.75" customHeight="1">
      <c r="A65" s="3" t="s">
        <v>9</v>
      </c>
      <c r="B65" s="3" t="s">
        <v>230</v>
      </c>
      <c r="C65" s="3" t="s">
        <v>230</v>
      </c>
      <c r="D65" s="3" t="str">
        <f>IFERROR(VLOOKUP($C65,'_METADATA_TEMPLATE'!$B$2:$H$826,2,FALSE),"")</f>
        <v/>
      </c>
      <c r="E65" s="3" t="str">
        <f>IFERROR(VLOOKUP($C65,'_METADATA_TEMPLATE'!$B$2:$H$826,4,FALSE),"")</f>
        <v/>
      </c>
      <c r="F65" s="3" t="str">
        <f>IFERROR(VLOOKUP($C65,'_METADATA_TEMPLATE'!$B$2:$H$826,5,FALSE),"")</f>
        <v/>
      </c>
      <c r="G65" s="3" t="str">
        <f>IFERROR(VLOOKUP($C65,'_METADATA_TEMPLATE'!$B$2:$H$826,6,FALSE),"")</f>
        <v/>
      </c>
      <c r="H65" s="3" t="str">
        <f>IFERROR(VLOOKUP($C65,'_METADATA_TEMPLATE'!$B$2:$H$826,7,FALSE),"")</f>
        <v/>
      </c>
      <c r="I65" s="3" t="str">
        <f>IFERROR(VLOOKUP(C65,'_METADATA_DEFAULT'!$A:$B,2,FALSE),"")</f>
        <v/>
      </c>
    </row>
    <row r="66" ht="15.75" customHeight="1">
      <c r="A66" s="2" t="s">
        <v>9</v>
      </c>
      <c r="B66" s="2" t="s">
        <v>234</v>
      </c>
      <c r="C66" s="2" t="s">
        <v>234</v>
      </c>
      <c r="D66" s="2" t="str">
        <f>IFERROR(VLOOKUP($C66,'_METADATA_TEMPLATE'!$B$2:$H$826,2,FALSE),"")</f>
        <v/>
      </c>
      <c r="E66" s="2" t="str">
        <f>IFERROR(VLOOKUP($C66,'_METADATA_TEMPLATE'!$B$2:$H$826,4,FALSE),"")</f>
        <v/>
      </c>
      <c r="F66" s="2" t="str">
        <f>IFERROR(VLOOKUP($C66,'_METADATA_TEMPLATE'!$B$2:$H$826,5,FALSE),"")</f>
        <v/>
      </c>
      <c r="G66" s="2" t="str">
        <f>IFERROR(VLOOKUP($C66,'_METADATA_TEMPLATE'!$B$2:$H$826,6,FALSE),"")</f>
        <v/>
      </c>
      <c r="H66" s="2" t="str">
        <f>IFERROR(VLOOKUP($C66,'_METADATA_TEMPLATE'!$B$2:$H$826,7,FALSE),"")</f>
        <v/>
      </c>
      <c r="I66" s="2" t="str">
        <f>IFERROR(VLOOKUP(C66,'_METADATA_DEFAULT'!$A:$B,2,FALSE),"")</f>
        <v/>
      </c>
    </row>
    <row r="67" ht="15.75" customHeight="1">
      <c r="A67" s="3" t="s">
        <v>9</v>
      </c>
      <c r="B67" s="3" t="s">
        <v>235</v>
      </c>
      <c r="C67" s="3" t="s">
        <v>235</v>
      </c>
      <c r="D67" s="3" t="str">
        <f>IFERROR(VLOOKUP($C67,'_METADATA_TEMPLATE'!$B$2:$H$826,2,FALSE),"")</f>
        <v/>
      </c>
      <c r="E67" s="3" t="str">
        <f>IFERROR(VLOOKUP($C67,'_METADATA_TEMPLATE'!$B$2:$H$826,4,FALSE),"")</f>
        <v/>
      </c>
      <c r="F67" s="3" t="str">
        <f>IFERROR(VLOOKUP($C67,'_METADATA_TEMPLATE'!$B$2:$H$826,5,FALSE),"")</f>
        <v/>
      </c>
      <c r="G67" s="3" t="str">
        <f>IFERROR(VLOOKUP($C67,'_METADATA_TEMPLATE'!$B$2:$H$826,6,FALSE),"")</f>
        <v/>
      </c>
      <c r="H67" s="3" t="str">
        <f>IFERROR(VLOOKUP($C67,'_METADATA_TEMPLATE'!$B$2:$H$826,7,FALSE),"")</f>
        <v/>
      </c>
      <c r="I67" s="3" t="str">
        <f>IFERROR(VLOOKUP(C67,'_METADATA_DEFAULT'!$A:$B,2,FALSE),"")</f>
        <v/>
      </c>
    </row>
    <row r="68" ht="15.75" customHeight="1">
      <c r="A68" s="2" t="s">
        <v>9</v>
      </c>
      <c r="B68" s="2" t="s">
        <v>39</v>
      </c>
      <c r="C68" s="2" t="s">
        <v>39</v>
      </c>
      <c r="D68" s="2" t="str">
        <f>IFERROR(VLOOKUP($C68,'_METADATA_TEMPLATE'!$B$2:$H$826,2,FALSE),"")</f>
        <v/>
      </c>
      <c r="E68" s="2" t="str">
        <f>IFERROR(VLOOKUP($C68,'_METADATA_TEMPLATE'!$B$2:$H$826,4,FALSE),"")</f>
        <v/>
      </c>
      <c r="F68" s="2" t="str">
        <f>IFERROR(VLOOKUP($C68,'_METADATA_TEMPLATE'!$B$2:$H$826,5,FALSE),"")</f>
        <v/>
      </c>
      <c r="G68" s="2" t="str">
        <f>IFERROR(VLOOKUP($C68,'_METADATA_TEMPLATE'!$B$2:$H$826,6,FALSE),"")</f>
        <v/>
      </c>
      <c r="H68" s="2" t="str">
        <f>IFERROR(VLOOKUP($C68,'_METADATA_TEMPLATE'!$B$2:$H$826,7,FALSE),"")</f>
        <v/>
      </c>
      <c r="I68" s="2" t="str">
        <f>IFERROR(VLOOKUP(C68,'_METADATA_DEFAULT'!$A:$B,2,FALSE),"")</f>
        <v/>
      </c>
    </row>
    <row r="69" ht="15.75" customHeight="1">
      <c r="A69" s="3" t="s">
        <v>9</v>
      </c>
      <c r="B69" s="3" t="s">
        <v>239</v>
      </c>
      <c r="C69" s="3" t="s">
        <v>239</v>
      </c>
      <c r="D69" s="3" t="str">
        <f>IFERROR(VLOOKUP($C69,'_METADATA_TEMPLATE'!$B$2:$H$826,2,FALSE),"")</f>
        <v/>
      </c>
      <c r="E69" s="3" t="str">
        <f>IFERROR(VLOOKUP($C69,'_METADATA_TEMPLATE'!$B$2:$H$826,4,FALSE),"")</f>
        <v/>
      </c>
      <c r="F69" s="3" t="str">
        <f>IFERROR(VLOOKUP($C69,'_METADATA_TEMPLATE'!$B$2:$H$826,5,FALSE),"")</f>
        <v/>
      </c>
      <c r="G69" s="3" t="str">
        <f>IFERROR(VLOOKUP($C69,'_METADATA_TEMPLATE'!$B$2:$H$826,6,FALSE),"")</f>
        <v/>
      </c>
      <c r="H69" s="3" t="str">
        <f>IFERROR(VLOOKUP($C69,'_METADATA_TEMPLATE'!$B$2:$H$826,7,FALSE),"")</f>
        <v/>
      </c>
      <c r="I69" s="3" t="str">
        <f>IFERROR(VLOOKUP(C69,'_METADATA_DEFAULT'!$A:$B,2,FALSE),"")</f>
        <v/>
      </c>
    </row>
    <row r="70" ht="15.75" customHeight="1">
      <c r="A70" s="2" t="s">
        <v>9</v>
      </c>
      <c r="B70" s="2" t="s">
        <v>242</v>
      </c>
      <c r="C70" s="2" t="s">
        <v>242</v>
      </c>
      <c r="D70" s="2" t="str">
        <f>IFERROR(VLOOKUP($C70,'_METADATA_TEMPLATE'!$B$2:$H$826,2,FALSE),"")</f>
        <v/>
      </c>
      <c r="E70" s="2" t="str">
        <f>IFERROR(VLOOKUP($C70,'_METADATA_TEMPLATE'!$B$2:$H$826,4,FALSE),"")</f>
        <v/>
      </c>
      <c r="F70" s="2" t="str">
        <f>IFERROR(VLOOKUP($C70,'_METADATA_TEMPLATE'!$B$2:$H$826,5,FALSE),"")</f>
        <v/>
      </c>
      <c r="G70" s="2" t="str">
        <f>IFERROR(VLOOKUP($C70,'_METADATA_TEMPLATE'!$B$2:$H$826,6,FALSE),"")</f>
        <v/>
      </c>
      <c r="H70" s="2" t="str">
        <f>IFERROR(VLOOKUP($C70,'_METADATA_TEMPLATE'!$B$2:$H$826,7,FALSE),"")</f>
        <v/>
      </c>
      <c r="I70" s="2" t="str">
        <f>IFERROR(VLOOKUP(C70,'_METADATA_DEFAULT'!$A:$B,2,FALSE),"")</f>
        <v/>
      </c>
    </row>
    <row r="71" ht="15.75" customHeight="1">
      <c r="A71" s="3" t="s">
        <v>9</v>
      </c>
      <c r="B71" s="3" t="s">
        <v>245</v>
      </c>
      <c r="C71" s="3" t="s">
        <v>245</v>
      </c>
      <c r="D71" s="3" t="str">
        <f>IFERROR(VLOOKUP($C71,'_METADATA_TEMPLATE'!$B$2:$H$826,2,FALSE),"")</f>
        <v/>
      </c>
      <c r="E71" s="3" t="str">
        <f>IFERROR(VLOOKUP($C71,'_METADATA_TEMPLATE'!$B$2:$H$826,4,FALSE),"")</f>
        <v/>
      </c>
      <c r="F71" s="3" t="str">
        <f>IFERROR(VLOOKUP($C71,'_METADATA_TEMPLATE'!$B$2:$H$826,5,FALSE),"")</f>
        <v/>
      </c>
      <c r="G71" s="3" t="str">
        <f>IFERROR(VLOOKUP($C71,'_METADATA_TEMPLATE'!$B$2:$H$826,6,FALSE),"")</f>
        <v/>
      </c>
      <c r="H71" s="3" t="str">
        <f>IFERROR(VLOOKUP($C71,'_METADATA_TEMPLATE'!$B$2:$H$826,7,FALSE),"")</f>
        <v/>
      </c>
      <c r="I71" s="3" t="str">
        <f>IFERROR(VLOOKUP(C71,'_METADATA_DEFAULT'!$A:$B,2,FALSE),"")</f>
        <v/>
      </c>
    </row>
    <row r="72" ht="15.75" customHeight="1">
      <c r="A72" s="2" t="s">
        <v>9</v>
      </c>
      <c r="B72" s="2" t="s">
        <v>246</v>
      </c>
      <c r="C72" s="2" t="s">
        <v>246</v>
      </c>
      <c r="D72" s="2" t="str">
        <f>IFERROR(VLOOKUP($C72,'_METADATA_TEMPLATE'!$B$2:$H$826,2,FALSE),"")</f>
        <v/>
      </c>
      <c r="E72" s="2" t="str">
        <f>IFERROR(VLOOKUP($C72,'_METADATA_TEMPLATE'!$B$2:$H$826,4,FALSE),"")</f>
        <v/>
      </c>
      <c r="F72" s="2" t="str">
        <f>IFERROR(VLOOKUP($C72,'_METADATA_TEMPLATE'!$B$2:$H$826,5,FALSE),"")</f>
        <v/>
      </c>
      <c r="G72" s="2" t="str">
        <f>IFERROR(VLOOKUP($C72,'_METADATA_TEMPLATE'!$B$2:$H$826,6,FALSE),"")</f>
        <v/>
      </c>
      <c r="H72" s="2" t="str">
        <f>IFERROR(VLOOKUP($C72,'_METADATA_TEMPLATE'!$B$2:$H$826,7,FALSE),"")</f>
        <v/>
      </c>
      <c r="I72" s="2" t="str">
        <f>IFERROR(VLOOKUP(C72,'_METADATA_DEFAULT'!$A:$B,2,FALSE),"")</f>
        <v>-</v>
      </c>
    </row>
    <row r="73" ht="15.75" customHeight="1">
      <c r="A73" s="3" t="s">
        <v>9</v>
      </c>
      <c r="B73" s="3" t="s">
        <v>248</v>
      </c>
      <c r="C73" s="3" t="s">
        <v>248</v>
      </c>
      <c r="D73" s="3" t="str">
        <f>IFERROR(VLOOKUP($C73,'_METADATA_TEMPLATE'!$B$2:$H$826,2,FALSE),"")</f>
        <v/>
      </c>
      <c r="E73" s="3" t="str">
        <f>IFERROR(VLOOKUP($C73,'_METADATA_TEMPLATE'!$B$2:$H$826,4,FALSE),"")</f>
        <v/>
      </c>
      <c r="F73" s="3" t="str">
        <f>IFERROR(VLOOKUP($C73,'_METADATA_TEMPLATE'!$B$2:$H$826,5,FALSE),"")</f>
        <v/>
      </c>
      <c r="G73" s="3" t="str">
        <f>IFERROR(VLOOKUP($C73,'_METADATA_TEMPLATE'!$B$2:$H$826,6,FALSE),"")</f>
        <v/>
      </c>
      <c r="H73" s="3" t="str">
        <f>IFERROR(VLOOKUP($C73,'_METADATA_TEMPLATE'!$B$2:$H$826,7,FALSE),"")</f>
        <v/>
      </c>
      <c r="I73" s="3" t="str">
        <f>IFERROR(VLOOKUP(C73,'_METADATA_DEFAULT'!$A:$B,2,FALSE),"")</f>
        <v/>
      </c>
    </row>
    <row r="74" ht="15.75" customHeight="1">
      <c r="A74" s="2" t="s">
        <v>9</v>
      </c>
      <c r="B74" s="2" t="s">
        <v>253</v>
      </c>
      <c r="C74" s="2" t="s">
        <v>253</v>
      </c>
      <c r="D74" s="2" t="str">
        <f>IFERROR(VLOOKUP($C74,'_METADATA_TEMPLATE'!$B$2:$H$826,2,FALSE),"")</f>
        <v/>
      </c>
      <c r="E74" s="2" t="str">
        <f>IFERROR(VLOOKUP($C74,'_METADATA_TEMPLATE'!$B$2:$H$826,4,FALSE),"")</f>
        <v/>
      </c>
      <c r="F74" s="2" t="str">
        <f>IFERROR(VLOOKUP($C74,'_METADATA_TEMPLATE'!$B$2:$H$826,5,FALSE),"")</f>
        <v/>
      </c>
      <c r="G74" s="2" t="str">
        <f>IFERROR(VLOOKUP($C74,'_METADATA_TEMPLATE'!$B$2:$H$826,6,FALSE),"")</f>
        <v/>
      </c>
      <c r="H74" s="2" t="str">
        <f>IFERROR(VLOOKUP($C74,'_METADATA_TEMPLATE'!$B$2:$H$826,7,FALSE),"")</f>
        <v/>
      </c>
      <c r="I74" s="2" t="str">
        <f>IFERROR(VLOOKUP(C74,'_METADATA_DEFAULT'!$A:$B,2,FALSE),"")</f>
        <v/>
      </c>
    </row>
    <row r="75" ht="15.75" customHeight="1">
      <c r="A75" s="3" t="s">
        <v>9</v>
      </c>
      <c r="B75" s="3" t="s">
        <v>255</v>
      </c>
      <c r="C75" s="3" t="s">
        <v>255</v>
      </c>
      <c r="D75" s="3" t="str">
        <f>IFERROR(VLOOKUP($C75,'_METADATA_TEMPLATE'!$B$2:$H$826,2,FALSE),"")</f>
        <v/>
      </c>
      <c r="E75" s="3" t="str">
        <f>IFERROR(VLOOKUP($C75,'_METADATA_TEMPLATE'!$B$2:$H$826,4,FALSE),"")</f>
        <v/>
      </c>
      <c r="F75" s="3" t="str">
        <f>IFERROR(VLOOKUP($C75,'_METADATA_TEMPLATE'!$B$2:$H$826,5,FALSE),"")</f>
        <v/>
      </c>
      <c r="G75" s="3" t="str">
        <f>IFERROR(VLOOKUP($C75,'_METADATA_TEMPLATE'!$B$2:$H$826,6,FALSE),"")</f>
        <v/>
      </c>
      <c r="H75" s="3" t="str">
        <f>IFERROR(VLOOKUP($C75,'_METADATA_TEMPLATE'!$B$2:$H$826,7,FALSE),"")</f>
        <v/>
      </c>
      <c r="I75" s="3" t="str">
        <f>IFERROR(VLOOKUP(C75,'_METADATA_DEFAULT'!$A:$B,2,FALSE),"")</f>
        <v/>
      </c>
    </row>
    <row r="76" ht="15.75" customHeight="1">
      <c r="A76" s="2" t="s">
        <v>9</v>
      </c>
      <c r="B76" s="2" t="s">
        <v>261</v>
      </c>
      <c r="C76" s="2" t="s">
        <v>261</v>
      </c>
      <c r="D76" s="2" t="str">
        <f>IFERROR(VLOOKUP($C76,'_METADATA_TEMPLATE'!$B$2:$H$826,2,FALSE),"")</f>
        <v/>
      </c>
      <c r="E76" s="2" t="str">
        <f>IFERROR(VLOOKUP($C76,'_METADATA_TEMPLATE'!$B$2:$H$826,4,FALSE),"")</f>
        <v/>
      </c>
      <c r="F76" s="2" t="str">
        <f>IFERROR(VLOOKUP($C76,'_METADATA_TEMPLATE'!$B$2:$H$826,5,FALSE),"")</f>
        <v/>
      </c>
      <c r="G76" s="2" t="str">
        <f>IFERROR(VLOOKUP($C76,'_METADATA_TEMPLATE'!$B$2:$H$826,6,FALSE),"")</f>
        <v/>
      </c>
      <c r="H76" s="2" t="str">
        <f>IFERROR(VLOOKUP($C76,'_METADATA_TEMPLATE'!$B$2:$H$826,7,FALSE),"")</f>
        <v/>
      </c>
      <c r="I76" s="2" t="str">
        <f>IFERROR(VLOOKUP(C76,'_METADATA_DEFAULT'!$A:$B,2,FALSE),"")</f>
        <v/>
      </c>
    </row>
    <row r="77" ht="15.75" customHeight="1">
      <c r="A77" s="3" t="s">
        <v>9</v>
      </c>
      <c r="B77" s="3" t="s">
        <v>265</v>
      </c>
      <c r="C77" s="3" t="s">
        <v>265</v>
      </c>
      <c r="D77" s="3" t="str">
        <f>IFERROR(VLOOKUP($C77,'_METADATA_TEMPLATE'!$B$2:$H$826,2,FALSE),"")</f>
        <v/>
      </c>
      <c r="E77" s="3" t="str">
        <f>IFERROR(VLOOKUP($C77,'_METADATA_TEMPLATE'!$B$2:$H$826,4,FALSE),"")</f>
        <v/>
      </c>
      <c r="F77" s="3" t="str">
        <f>IFERROR(VLOOKUP($C77,'_METADATA_TEMPLATE'!$B$2:$H$826,5,FALSE),"")</f>
        <v/>
      </c>
      <c r="G77" s="3" t="str">
        <f>IFERROR(VLOOKUP($C77,'_METADATA_TEMPLATE'!$B$2:$H$826,6,FALSE),"")</f>
        <v/>
      </c>
      <c r="H77" s="3" t="str">
        <f>IFERROR(VLOOKUP($C77,'_METADATA_TEMPLATE'!$B$2:$H$826,7,FALSE),"")</f>
        <v/>
      </c>
      <c r="I77" s="3" t="str">
        <f>IFERROR(VLOOKUP(C77,'_METADATA_DEFAULT'!$A:$B,2,FALSE),"")</f>
        <v/>
      </c>
    </row>
    <row r="78" ht="15.75" customHeight="1">
      <c r="A78" s="2" t="s">
        <v>9</v>
      </c>
      <c r="B78" s="2" t="s">
        <v>269</v>
      </c>
      <c r="C78" s="2" t="s">
        <v>269</v>
      </c>
      <c r="D78" s="2" t="str">
        <f>IFERROR(VLOOKUP($C78,'_METADATA_TEMPLATE'!$B$2:$H$826,2,FALSE),"")</f>
        <v/>
      </c>
      <c r="E78" s="2" t="str">
        <f>IFERROR(VLOOKUP($C78,'_METADATA_TEMPLATE'!$B$2:$H$826,4,FALSE),"")</f>
        <v/>
      </c>
      <c r="F78" s="2" t="str">
        <f>IFERROR(VLOOKUP($C78,'_METADATA_TEMPLATE'!$B$2:$H$826,5,FALSE),"")</f>
        <v/>
      </c>
      <c r="G78" s="2" t="str">
        <f>IFERROR(VLOOKUP($C78,'_METADATA_TEMPLATE'!$B$2:$H$826,6,FALSE),"")</f>
        <v/>
      </c>
      <c r="H78" s="2" t="str">
        <f>IFERROR(VLOOKUP($C78,'_METADATA_TEMPLATE'!$B$2:$H$826,7,FALSE),"")</f>
        <v/>
      </c>
      <c r="I78" s="2" t="str">
        <f>IFERROR(VLOOKUP(C78,'_METADATA_DEFAULT'!$A:$B,2,FALSE),"")</f>
        <v/>
      </c>
    </row>
    <row r="79" ht="15.75" customHeight="1">
      <c r="A79" s="3" t="s">
        <v>9</v>
      </c>
      <c r="B79" s="3" t="s">
        <v>272</v>
      </c>
      <c r="C79" s="3" t="s">
        <v>272</v>
      </c>
      <c r="D79" s="3" t="str">
        <f>IFERROR(VLOOKUP($C79,'_METADATA_TEMPLATE'!$B$2:$H$826,2,FALSE),"")</f>
        <v/>
      </c>
      <c r="E79" s="3" t="str">
        <f>IFERROR(VLOOKUP($C79,'_METADATA_TEMPLATE'!$B$2:$H$826,4,FALSE),"")</f>
        <v/>
      </c>
      <c r="F79" s="3" t="str">
        <f>IFERROR(VLOOKUP($C79,'_METADATA_TEMPLATE'!$B$2:$H$826,5,FALSE),"")</f>
        <v/>
      </c>
      <c r="G79" s="3" t="str">
        <f>IFERROR(VLOOKUP($C79,'_METADATA_TEMPLATE'!$B$2:$H$826,6,FALSE),"")</f>
        <v/>
      </c>
      <c r="H79" s="3" t="str">
        <f>IFERROR(VLOOKUP($C79,'_METADATA_TEMPLATE'!$B$2:$H$826,7,FALSE),"")</f>
        <v/>
      </c>
      <c r="I79" s="3" t="str">
        <f>IFERROR(VLOOKUP(C79,'_METADATA_DEFAULT'!$A:$B,2,FALSE),"")</f>
        <v/>
      </c>
    </row>
    <row r="80" ht="15.75" customHeight="1">
      <c r="A80" s="2" t="s">
        <v>9</v>
      </c>
      <c r="B80" s="2" t="s">
        <v>75</v>
      </c>
      <c r="C80" s="2" t="s">
        <v>75</v>
      </c>
      <c r="D80" s="2" t="str">
        <f>IFERROR(VLOOKUP($C80,'_METADATA_TEMPLATE'!$B$2:$H$826,2,FALSE),"")</f>
        <v/>
      </c>
      <c r="E80" s="2" t="str">
        <f>IFERROR(VLOOKUP($C80,'_METADATA_TEMPLATE'!$B$2:$H$826,4,FALSE),"")</f>
        <v/>
      </c>
      <c r="F80" s="2" t="str">
        <f>IFERROR(VLOOKUP($C80,'_METADATA_TEMPLATE'!$B$2:$H$826,5,FALSE),"")</f>
        <v/>
      </c>
      <c r="G80" s="2" t="str">
        <f>IFERROR(VLOOKUP($C80,'_METADATA_TEMPLATE'!$B$2:$H$826,6,FALSE),"")</f>
        <v/>
      </c>
      <c r="H80" s="2" t="str">
        <f>IFERROR(VLOOKUP($C80,'_METADATA_TEMPLATE'!$B$2:$H$826,7,FALSE),"")</f>
        <v/>
      </c>
      <c r="I80" s="2" t="str">
        <f>IFERROR(VLOOKUP(C80,'_METADATA_DEFAULT'!$A:$B,2,FALSE),"")</f>
        <v>ID Periode Survei</v>
      </c>
    </row>
    <row r="81" ht="15.75" customHeight="1">
      <c r="A81" s="3" t="s">
        <v>9</v>
      </c>
      <c r="B81" s="3" t="s">
        <v>240</v>
      </c>
      <c r="C81" s="3" t="s">
        <v>240</v>
      </c>
      <c r="D81" s="3" t="str">
        <f>IFERROR(VLOOKUP($C81,'_METADATA_TEMPLATE'!$B$2:$H$826,2,FALSE),"")</f>
        <v/>
      </c>
      <c r="E81" s="3" t="str">
        <f>IFERROR(VLOOKUP($C81,'_METADATA_TEMPLATE'!$B$2:$H$826,4,FALSE),"")</f>
        <v/>
      </c>
      <c r="F81" s="3" t="str">
        <f>IFERROR(VLOOKUP($C81,'_METADATA_TEMPLATE'!$B$2:$H$826,5,FALSE),"")</f>
        <v/>
      </c>
      <c r="G81" s="3" t="str">
        <f>IFERROR(VLOOKUP($C81,'_METADATA_TEMPLATE'!$B$2:$H$826,6,FALSE),"")</f>
        <v/>
      </c>
      <c r="H81" s="3" t="str">
        <f>IFERROR(VLOOKUP($C81,'_METADATA_TEMPLATE'!$B$2:$H$826,7,FALSE),"")</f>
        <v/>
      </c>
      <c r="I81" s="3" t="str">
        <f>IFERROR(VLOOKUP(C81,'_METADATA_DEFAULT'!$A:$B,2,FALSE),"")</f>
        <v/>
      </c>
    </row>
    <row r="82" ht="15.75" customHeight="1">
      <c r="A82" s="2" t="s">
        <v>9</v>
      </c>
      <c r="B82" s="2" t="s">
        <v>284</v>
      </c>
      <c r="C82" s="2" t="s">
        <v>284</v>
      </c>
      <c r="D82" s="2" t="str">
        <f>IFERROR(VLOOKUP($C82,'_METADATA_TEMPLATE'!$B$2:$H$826,2,FALSE),"")</f>
        <v/>
      </c>
      <c r="E82" s="2" t="str">
        <f>IFERROR(VLOOKUP($C82,'_METADATA_TEMPLATE'!$B$2:$H$826,4,FALSE),"")</f>
        <v/>
      </c>
      <c r="F82" s="2" t="str">
        <f>IFERROR(VLOOKUP($C82,'_METADATA_TEMPLATE'!$B$2:$H$826,5,FALSE),"")</f>
        <v/>
      </c>
      <c r="G82" s="2" t="str">
        <f>IFERROR(VLOOKUP($C82,'_METADATA_TEMPLATE'!$B$2:$H$826,6,FALSE),"")</f>
        <v/>
      </c>
      <c r="H82" s="2" t="str">
        <f>IFERROR(VLOOKUP($C82,'_METADATA_TEMPLATE'!$B$2:$H$826,7,FALSE),"")</f>
        <v/>
      </c>
      <c r="I82" s="2" t="str">
        <f>IFERROR(VLOOKUP(C82,'_METADATA_DEFAULT'!$A:$B,2,FALSE),"")</f>
        <v/>
      </c>
    </row>
    <row r="83" ht="15.75" customHeight="1">
      <c r="A83" s="3" t="s">
        <v>9</v>
      </c>
      <c r="B83" s="3" t="s">
        <v>43</v>
      </c>
      <c r="C83" s="3" t="s">
        <v>43</v>
      </c>
      <c r="D83" s="3" t="str">
        <f>IFERROR(VLOOKUP($C83,'_METADATA_TEMPLATE'!$B$2:$H$826,2,FALSE),"")</f>
        <v/>
      </c>
      <c r="E83" s="3" t="str">
        <f>IFERROR(VLOOKUP($C83,'_METADATA_TEMPLATE'!$B$2:$H$826,4,FALSE),"")</f>
        <v/>
      </c>
      <c r="F83" s="3" t="str">
        <f>IFERROR(VLOOKUP($C83,'_METADATA_TEMPLATE'!$B$2:$H$826,5,FALSE),"")</f>
        <v/>
      </c>
      <c r="G83" s="3" t="str">
        <f>IFERROR(VLOOKUP($C83,'_METADATA_TEMPLATE'!$B$2:$H$826,6,FALSE),"")</f>
        <v/>
      </c>
      <c r="H83" s="3" t="str">
        <f>IFERROR(VLOOKUP($C83,'_METADATA_TEMPLATE'!$B$2:$H$826,7,FALSE),"")</f>
        <v/>
      </c>
      <c r="I83" s="3" t="str">
        <f>IFERROR(VLOOKUP(C83,'_METADATA_DEFAULT'!$A:$B,2,FALSE),"")</f>
        <v>Tanggal Assignment Terakhir Diubah</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14</v>
      </c>
      <c r="B2" s="2" t="s">
        <v>15</v>
      </c>
      <c r="C2" s="2" t="s">
        <v>15</v>
      </c>
      <c r="D2" s="2">
        <f>IFERROR(VLOOKUP($C2,'_METADATA_TEMPLATE'!$B$2:$H$826,2,FALSE),"")</f>
        <v>483</v>
      </c>
      <c r="E2" s="2" t="str">
        <f>IFERROR(VLOOKUP($C2,'_METADATA_TEMPLATE'!$B$2:$H$826,4,FALSE),"")</f>
        <v/>
      </c>
      <c r="F2" s="2" t="str">
        <f>IFERROR(VLOOKUP($C2,'_METADATA_TEMPLATE'!$B$2:$H$826,5,FALSE),"")</f>
        <v/>
      </c>
      <c r="G2" s="2" t="str">
        <f>IFERROR(VLOOKUP($C2,'_METADATA_TEMPLATE'!$B$2:$H$826,6,FALSE),"")</f>
        <v>Mode</v>
      </c>
      <c r="H2" s="2" t="str">
        <f>IFERROR(VLOOKUP($C2,'_METADATA_TEMPLATE'!$B$2:$H$826,7,FALSE),"")</f>
        <v>Variable</v>
      </c>
      <c r="I2" s="2" t="str">
        <f>IFERROR(VLOOKUP(C2,'_METADATA_DEFAULT'!$A:$B,2,FALSE),"")</f>
        <v>Moda Survei</v>
      </c>
    </row>
    <row r="3">
      <c r="A3" s="3" t="s">
        <v>14</v>
      </c>
      <c r="B3" s="3" t="s">
        <v>12</v>
      </c>
      <c r="C3" s="3" t="s">
        <v>12</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ID Assignment</v>
      </c>
    </row>
    <row r="4">
      <c r="A4" s="2" t="s">
        <v>14</v>
      </c>
      <c r="B4" s="2" t="s">
        <v>19</v>
      </c>
      <c r="C4" s="2" t="s">
        <v>19</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
      </c>
    </row>
    <row r="5">
      <c r="A5" s="3" t="s">
        <v>14</v>
      </c>
      <c r="B5" s="3" t="s">
        <v>18</v>
      </c>
      <c r="C5" s="3" t="s">
        <v>18</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Kode Lengkap Provinsi</v>
      </c>
    </row>
    <row r="6">
      <c r="A6" s="2" t="s">
        <v>14</v>
      </c>
      <c r="B6" s="2" t="s">
        <v>20</v>
      </c>
      <c r="C6" s="2" t="s">
        <v>20</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Kode Lengkap Kabupaten/Kota</v>
      </c>
    </row>
    <row r="7">
      <c r="A7" s="3" t="s">
        <v>14</v>
      </c>
      <c r="B7" s="3" t="s">
        <v>24</v>
      </c>
      <c r="C7" s="3" t="s">
        <v>24</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
      </c>
    </row>
    <row r="8">
      <c r="A8" s="2" t="s">
        <v>14</v>
      </c>
      <c r="B8" s="2" t="s">
        <v>21</v>
      </c>
      <c r="C8" s="2" t="s">
        <v>21</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ID Assignment + Timestamp</v>
      </c>
    </row>
    <row r="9">
      <c r="A9" s="3" t="s">
        <v>14</v>
      </c>
      <c r="B9" s="3" t="s">
        <v>31</v>
      </c>
      <c r="C9" s="3" t="s">
        <v>31</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14</v>
      </c>
      <c r="B10" s="2" t="s">
        <v>35</v>
      </c>
      <c r="C10" s="2" t="s">
        <v>35</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14</v>
      </c>
      <c r="B11" s="3" t="s">
        <v>37</v>
      </c>
      <c r="C11" s="3" t="s">
        <v>37</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
      </c>
    </row>
    <row r="12">
      <c r="A12" s="2" t="s">
        <v>14</v>
      </c>
      <c r="B12" s="2" t="s">
        <v>40</v>
      </c>
      <c r="C12" s="2" t="s">
        <v>40</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
      </c>
    </row>
    <row r="13">
      <c r="A13" s="3" t="s">
        <v>14</v>
      </c>
      <c r="B13" s="3" t="s">
        <v>43</v>
      </c>
      <c r="C13" s="3" t="s">
        <v>43</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Tanggal Assignment Terakhir Diubah</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13</v>
      </c>
      <c r="B2" s="2" t="s">
        <v>12</v>
      </c>
      <c r="C2" s="2" t="s">
        <v>12</v>
      </c>
      <c r="D2" s="2" t="str">
        <f>IFERROR(VLOOKUP($C2,'_METADATA_TEMPLATE'!$B$2:$H$826,2,FALSE),"")</f>
        <v/>
      </c>
      <c r="E2" s="2" t="str">
        <f>IFERROR(VLOOKUP($C2,'_METADATA_TEMPLATE'!$B$2:$H$826,4,FALSE),"")</f>
        <v/>
      </c>
      <c r="F2" s="2" t="str">
        <f>IFERROR(VLOOKUP($C2,'_METADATA_TEMPLATE'!$B$2:$H$826,5,FALSE),"")</f>
        <v/>
      </c>
      <c r="G2" s="2" t="str">
        <f>IFERROR(VLOOKUP($C2,'_METADATA_TEMPLATE'!$B$2:$H$826,6,FALSE),"")</f>
        <v/>
      </c>
      <c r="H2" s="2" t="str">
        <f>IFERROR(VLOOKUP($C2,'_METADATA_TEMPLATE'!$B$2:$H$826,7,FALSE),"")</f>
        <v/>
      </c>
      <c r="I2" s="2" t="str">
        <f>IFERROR(VLOOKUP(C2,'_METADATA_DEFAULT'!$A:$B,2,FALSE),"")</f>
        <v>ID Assignment</v>
      </c>
    </row>
    <row r="3">
      <c r="A3" s="3" t="s">
        <v>13</v>
      </c>
      <c r="B3" s="3" t="s">
        <v>17</v>
      </c>
      <c r="C3" s="3" t="s">
        <v>17</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
      </c>
    </row>
    <row r="4">
      <c r="A4" s="2" t="s">
        <v>13</v>
      </c>
      <c r="B4" s="2" t="s">
        <v>18</v>
      </c>
      <c r="C4" s="2" t="s">
        <v>18</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Kode Lengkap Provinsi</v>
      </c>
    </row>
    <row r="5">
      <c r="A5" s="3" t="s">
        <v>13</v>
      </c>
      <c r="B5" s="3" t="s">
        <v>20</v>
      </c>
      <c r="C5" s="3" t="s">
        <v>20</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Kode Lengkap Kabupaten/Kota</v>
      </c>
    </row>
    <row r="6">
      <c r="A6" s="2" t="s">
        <v>13</v>
      </c>
      <c r="B6" s="2" t="s">
        <v>21</v>
      </c>
      <c r="C6" s="2" t="s">
        <v>21</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ID Assignment + Timestamp</v>
      </c>
    </row>
    <row r="7">
      <c r="A7" s="3" t="s">
        <v>13</v>
      </c>
      <c r="B7" s="3" t="s">
        <v>25</v>
      </c>
      <c r="C7" s="3" t="s">
        <v>25</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
      </c>
    </row>
    <row r="8">
      <c r="A8" s="2" t="s">
        <v>13</v>
      </c>
      <c r="B8" s="2" t="s">
        <v>28</v>
      </c>
      <c r="C8" s="2" t="s">
        <v>28</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
      </c>
    </row>
    <row r="9">
      <c r="A9" s="3" t="s">
        <v>13</v>
      </c>
      <c r="B9" s="3" t="s">
        <v>32</v>
      </c>
      <c r="C9" s="3" t="s">
        <v>32</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13</v>
      </c>
      <c r="B10" s="2" t="s">
        <v>19</v>
      </c>
      <c r="C10" s="2" t="s">
        <v>19</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13</v>
      </c>
      <c r="B11" s="3" t="s">
        <v>26</v>
      </c>
      <c r="C11" s="3" t="s">
        <v>26</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1 = Aktif, 0 = Dihapus</v>
      </c>
    </row>
    <row r="12">
      <c r="A12" s="2" t="s">
        <v>13</v>
      </c>
      <c r="B12" s="2" t="s">
        <v>41</v>
      </c>
      <c r="C12" s="2" t="s">
        <v>41</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
      </c>
    </row>
    <row r="13">
      <c r="A13" s="3" t="s">
        <v>13</v>
      </c>
      <c r="B13" s="3" t="s">
        <v>44</v>
      </c>
      <c r="C13" s="3" t="s">
        <v>44</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
      </c>
    </row>
    <row r="14">
      <c r="A14" s="2" t="s">
        <v>13</v>
      </c>
      <c r="B14" s="2" t="s">
        <v>46</v>
      </c>
      <c r="C14" s="2" t="s">
        <v>46</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
      </c>
    </row>
    <row r="15">
      <c r="A15" s="3" t="s">
        <v>13</v>
      </c>
      <c r="B15" s="3" t="s">
        <v>48</v>
      </c>
      <c r="C15" s="3" t="s">
        <v>48</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13</v>
      </c>
      <c r="B16" s="2" t="s">
        <v>50</v>
      </c>
      <c r="C16" s="2" t="s">
        <v>50</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13</v>
      </c>
      <c r="B17" s="3" t="s">
        <v>52</v>
      </c>
      <c r="C17" s="3" t="s">
        <v>52</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
      </c>
    </row>
    <row r="18">
      <c r="A18" s="2" t="s">
        <v>13</v>
      </c>
      <c r="B18" s="2" t="s">
        <v>54</v>
      </c>
      <c r="C18" s="2" t="s">
        <v>54</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
      </c>
    </row>
    <row r="19">
      <c r="A19" s="3" t="s">
        <v>13</v>
      </c>
      <c r="B19" s="3" t="s">
        <v>53</v>
      </c>
      <c r="C19" s="3" t="s">
        <v>53</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
      </c>
    </row>
    <row r="20">
      <c r="A20" s="2" t="s">
        <v>13</v>
      </c>
      <c r="B20" s="2" t="s">
        <v>59</v>
      </c>
      <c r="C20" s="2" t="s">
        <v>59</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
      </c>
    </row>
    <row r="21" ht="15.75" customHeight="1">
      <c r="A21" s="3" t="s">
        <v>13</v>
      </c>
      <c r="B21" s="3" t="s">
        <v>62</v>
      </c>
      <c r="C21" s="3" t="s">
        <v>62</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
      </c>
    </row>
    <row r="22" ht="15.75" customHeight="1">
      <c r="A22" s="2" t="s">
        <v>13</v>
      </c>
      <c r="B22" s="2" t="s">
        <v>64</v>
      </c>
      <c r="C22" s="2" t="s">
        <v>64</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
      </c>
    </row>
    <row r="23" ht="15.75" customHeight="1">
      <c r="A23" s="3" t="s">
        <v>13</v>
      </c>
      <c r="B23" s="3" t="s">
        <v>68</v>
      </c>
      <c r="C23" s="3" t="s">
        <v>68</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
      </c>
    </row>
    <row r="24" ht="15.75" customHeight="1">
      <c r="A24" s="2" t="s">
        <v>13</v>
      </c>
      <c r="B24" s="2" t="s">
        <v>71</v>
      </c>
      <c r="C24" s="2" t="s">
        <v>71</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
      </c>
    </row>
    <row r="25" ht="15.75" customHeight="1">
      <c r="A25" s="3" t="s">
        <v>13</v>
      </c>
      <c r="B25" s="3" t="s">
        <v>73</v>
      </c>
      <c r="C25" s="3" t="s">
        <v>73</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
      </c>
    </row>
    <row r="26" ht="15.75" customHeight="1">
      <c r="A26" s="2" t="s">
        <v>13</v>
      </c>
      <c r="B26" s="2" t="s">
        <v>75</v>
      </c>
      <c r="C26" s="2" t="s">
        <v>75</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ID Periode Survei</v>
      </c>
    </row>
    <row r="27" ht="15.75" customHeight="1">
      <c r="A27" s="3" t="s">
        <v>13</v>
      </c>
      <c r="B27" s="3" t="s">
        <v>43</v>
      </c>
      <c r="C27" s="3" t="s">
        <v>43</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Tanggal Assignment Terakhir Diubah</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11</v>
      </c>
      <c r="B2" s="2" t="s">
        <v>12</v>
      </c>
      <c r="C2" s="2" t="s">
        <v>12</v>
      </c>
      <c r="D2" s="2" t="str">
        <f>IFERROR(VLOOKUP($C2,'_METADATA_TEMPLATE'!$B$2:$H$826,2,FALSE),"")</f>
        <v/>
      </c>
      <c r="E2" s="2" t="str">
        <f>IFERROR(VLOOKUP($C2,'_METADATA_TEMPLATE'!$B$2:$H$826,4,FALSE),"")</f>
        <v/>
      </c>
      <c r="F2" s="2" t="str">
        <f>IFERROR(VLOOKUP($C2,'_METADATA_TEMPLATE'!$B$2:$H$826,5,FALSE),"")</f>
        <v/>
      </c>
      <c r="G2" s="2" t="str">
        <f>IFERROR(VLOOKUP($C2,'_METADATA_TEMPLATE'!$B$2:$H$826,6,FALSE),"")</f>
        <v/>
      </c>
      <c r="H2" s="2" t="str">
        <f>IFERROR(VLOOKUP($C2,'_METADATA_TEMPLATE'!$B$2:$H$826,7,FALSE),"")</f>
        <v/>
      </c>
      <c r="I2" s="2" t="str">
        <f>IFERROR(VLOOKUP(C2,'_METADATA_DEFAULT'!$A:$B,2,FALSE),"")</f>
        <v>ID Assignment</v>
      </c>
    </row>
    <row r="3">
      <c r="A3" s="3" t="s">
        <v>11</v>
      </c>
      <c r="B3" s="3" t="s">
        <v>16</v>
      </c>
      <c r="C3" s="3" t="s">
        <v>16</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
      </c>
    </row>
    <row r="4">
      <c r="A4" s="2" t="s">
        <v>11</v>
      </c>
      <c r="B4" s="2" t="s">
        <v>18</v>
      </c>
      <c r="C4" s="2" t="s">
        <v>18</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Kode Lengkap Provinsi</v>
      </c>
    </row>
    <row r="5">
      <c r="A5" s="3" t="s">
        <v>11</v>
      </c>
      <c r="B5" s="3" t="s">
        <v>20</v>
      </c>
      <c r="C5" s="3" t="s">
        <v>20</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Kode Lengkap Kabupaten/Kota</v>
      </c>
    </row>
    <row r="6">
      <c r="A6" s="2" t="s">
        <v>11</v>
      </c>
      <c r="B6" s="2" t="s">
        <v>21</v>
      </c>
      <c r="C6" s="2" t="s">
        <v>21</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ID Assignment + Timestamp</v>
      </c>
    </row>
    <row r="7">
      <c r="A7" s="3" t="s">
        <v>11</v>
      </c>
      <c r="B7" s="3" t="s">
        <v>22</v>
      </c>
      <c r="C7" s="3" t="s">
        <v>22</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
      </c>
    </row>
    <row r="8">
      <c r="A8" s="2" t="s">
        <v>11</v>
      </c>
      <c r="B8" s="2" t="s">
        <v>23</v>
      </c>
      <c r="C8" s="2" t="s">
        <v>23</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
      </c>
    </row>
    <row r="9">
      <c r="A9" s="3" t="s">
        <v>11</v>
      </c>
      <c r="B9" s="3" t="s">
        <v>27</v>
      </c>
      <c r="C9" s="3" t="s">
        <v>27</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11</v>
      </c>
      <c r="B10" s="2" t="s">
        <v>30</v>
      </c>
      <c r="C10" s="2" t="s">
        <v>30</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11</v>
      </c>
      <c r="B11" s="3" t="s">
        <v>33</v>
      </c>
      <c r="C11" s="3" t="s">
        <v>33</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
      </c>
    </row>
    <row r="12">
      <c r="A12" s="2" t="s">
        <v>11</v>
      </c>
      <c r="B12" s="2" t="s">
        <v>36</v>
      </c>
      <c r="C12" s="2" t="s">
        <v>36</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
      </c>
    </row>
    <row r="13">
      <c r="A13" s="3" t="s">
        <v>11</v>
      </c>
      <c r="B13" s="3" t="s">
        <v>39</v>
      </c>
      <c r="C13" s="3" t="s">
        <v>39</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
      </c>
    </row>
    <row r="14">
      <c r="A14" s="2" t="s">
        <v>11</v>
      </c>
      <c r="B14" s="2" t="s">
        <v>35</v>
      </c>
      <c r="C14" s="2" t="s">
        <v>35</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
      </c>
    </row>
    <row r="15">
      <c r="A15" s="3" t="s">
        <v>11</v>
      </c>
      <c r="B15" s="3" t="s">
        <v>45</v>
      </c>
      <c r="C15" s="3" t="s">
        <v>45</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11</v>
      </c>
      <c r="B16" s="2" t="s">
        <v>43</v>
      </c>
      <c r="C16" s="2" t="s">
        <v>43</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Tanggal Assignment Terakhir Diubah</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56</v>
      </c>
      <c r="B2" s="2" t="s">
        <v>10</v>
      </c>
      <c r="C2" s="2" t="s">
        <v>10</v>
      </c>
      <c r="D2" s="2">
        <f>IFERROR(VLOOKUP($C2,'_METADATA_TEMPLATE'!$B$2:$H$826,2,FALSE),"")</f>
        <v>131</v>
      </c>
      <c r="E2" s="2" t="str">
        <f>IFERROR(VLOOKUP($C2,'_METADATA_TEMPLATE'!$B$2:$H$826,4,FALSE),"")</f>
        <v>SE2026 - L BLOK II</v>
      </c>
      <c r="F2" s="2" t="str">
        <f>IFERROR(VLOOKUP($C2,'_METADATA_TEMPLATE'!$B$2:$H$826,5,FALSE),"")</f>
        <v/>
      </c>
      <c r="G2" s="2" t="str">
        <f>IFERROR(VLOOKUP($C2,'_METADATA_TEMPLATE'!$B$2:$H$826,6,FALSE),"")</f>
        <v>• Email</v>
      </c>
      <c r="H2" s="2" t="str">
        <f>IFERROR(VLOOKUP($C2,'_METADATA_TEMPLATE'!$B$2:$H$826,7,FALSE),"")</f>
        <v>Text Input</v>
      </c>
      <c r="I2" s="2" t="str">
        <f>IFERROR(VLOOKUP(C2,'_METADATA_DEFAULT'!$A:$B,2,FALSE),"")</f>
        <v/>
      </c>
    </row>
    <row r="3">
      <c r="A3" s="3" t="s">
        <v>56</v>
      </c>
      <c r="B3" s="3" t="s">
        <v>17</v>
      </c>
      <c r="C3" s="3" t="s">
        <v>17</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
      </c>
    </row>
    <row r="4">
      <c r="A4" s="2" t="s">
        <v>56</v>
      </c>
      <c r="B4" s="2" t="s">
        <v>61</v>
      </c>
      <c r="C4" s="2" t="s">
        <v>61</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
      </c>
    </row>
    <row r="5">
      <c r="A5" s="3" t="s">
        <v>56</v>
      </c>
      <c r="B5" s="3" t="s">
        <v>21</v>
      </c>
      <c r="C5" s="3" t="s">
        <v>21</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ID Assignment + Timestamp</v>
      </c>
    </row>
    <row r="6">
      <c r="A6" s="2" t="s">
        <v>56</v>
      </c>
      <c r="B6" s="2" t="s">
        <v>67</v>
      </c>
      <c r="C6" s="2" t="s">
        <v>67</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
      </c>
    </row>
    <row r="7">
      <c r="A7" s="3" t="s">
        <v>56</v>
      </c>
      <c r="B7" s="3" t="s">
        <v>70</v>
      </c>
      <c r="C7" s="3" t="s">
        <v>70</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
      </c>
    </row>
    <row r="8">
      <c r="A8" s="2" t="s">
        <v>56</v>
      </c>
      <c r="B8" s="2" t="s">
        <v>66</v>
      </c>
      <c r="C8" s="2" t="s">
        <v>66</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
      </c>
    </row>
    <row r="9">
      <c r="A9" s="3" t="s">
        <v>56</v>
      </c>
      <c r="B9" s="3" t="s">
        <v>76</v>
      </c>
      <c r="C9" s="3" t="s">
        <v>76</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56</v>
      </c>
      <c r="B10" s="2" t="s">
        <v>80</v>
      </c>
      <c r="C10" s="2" t="s">
        <v>80</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56</v>
      </c>
      <c r="B11" s="3" t="s">
        <v>84</v>
      </c>
      <c r="C11" s="3" t="s">
        <v>84</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
      </c>
    </row>
    <row r="12">
      <c r="A12" s="2" t="s">
        <v>56</v>
      </c>
      <c r="B12" s="2" t="s">
        <v>75</v>
      </c>
      <c r="C12" s="2" t="s">
        <v>75</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ID Periode Survei</v>
      </c>
    </row>
    <row r="13">
      <c r="A13" s="3" t="s">
        <v>56</v>
      </c>
      <c r="B13" s="3" t="s">
        <v>90</v>
      </c>
      <c r="C13" s="3" t="s">
        <v>90</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
      </c>
    </row>
    <row r="14">
      <c r="A14" s="2" t="s">
        <v>56</v>
      </c>
      <c r="B14" s="2" t="s">
        <v>93</v>
      </c>
      <c r="C14" s="2" t="s">
        <v>93</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
      </c>
    </row>
    <row r="15">
      <c r="A15" s="3" t="s">
        <v>56</v>
      </c>
      <c r="B15" s="3" t="s">
        <v>35</v>
      </c>
      <c r="C15" s="3" t="s">
        <v>35</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56</v>
      </c>
      <c r="B16" s="2" t="s">
        <v>102</v>
      </c>
      <c r="C16" s="2" t="s">
        <v>102</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56</v>
      </c>
      <c r="B17" s="3" t="s">
        <v>108</v>
      </c>
      <c r="C17" s="3" t="s">
        <v>108</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
      </c>
    </row>
    <row r="18">
      <c r="A18" s="2" t="s">
        <v>56</v>
      </c>
      <c r="B18" s="2" t="s">
        <v>26</v>
      </c>
      <c r="C18" s="2" t="s">
        <v>26</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1 = Aktif, 0 = Dihapus</v>
      </c>
    </row>
    <row r="19">
      <c r="A19" s="3" t="s">
        <v>56</v>
      </c>
      <c r="B19" s="3" t="s">
        <v>117</v>
      </c>
      <c r="C19" s="3" t="s">
        <v>117</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
      </c>
    </row>
    <row r="20">
      <c r="A20" s="2" t="s">
        <v>56</v>
      </c>
      <c r="B20" s="2" t="s">
        <v>121</v>
      </c>
      <c r="C20" s="2" t="s">
        <v>121</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58</v>
      </c>
      <c r="B2" s="2" t="s">
        <v>10</v>
      </c>
      <c r="C2" s="2" t="s">
        <v>10</v>
      </c>
      <c r="D2" s="2">
        <f>IFERROR(VLOOKUP($C2,'_METADATA_TEMPLATE'!$B$2:$H$826,2,FALSE),"")</f>
        <v>131</v>
      </c>
      <c r="E2" s="2" t="str">
        <f>IFERROR(VLOOKUP($C2,'_METADATA_TEMPLATE'!$B$2:$H$826,4,FALSE),"")</f>
        <v>SE2026 - L BLOK II</v>
      </c>
      <c r="F2" s="2" t="str">
        <f>IFERROR(VLOOKUP($C2,'_METADATA_TEMPLATE'!$B$2:$H$826,5,FALSE),"")</f>
        <v/>
      </c>
      <c r="G2" s="2" t="str">
        <f>IFERROR(VLOOKUP($C2,'_METADATA_TEMPLATE'!$B$2:$H$826,6,FALSE),"")</f>
        <v>• Email</v>
      </c>
      <c r="H2" s="2" t="str">
        <f>IFERROR(VLOOKUP($C2,'_METADATA_TEMPLATE'!$B$2:$H$826,7,FALSE),"")</f>
        <v>Text Input</v>
      </c>
      <c r="I2" s="2" t="str">
        <f>IFERROR(VLOOKUP(C2,'_METADATA_DEFAULT'!$A:$B,2,FALSE),"")</f>
        <v/>
      </c>
    </row>
    <row r="3">
      <c r="A3" s="3" t="s">
        <v>58</v>
      </c>
      <c r="B3" s="3" t="s">
        <v>18</v>
      </c>
      <c r="C3" s="3" t="s">
        <v>18</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Kode Lengkap Provinsi</v>
      </c>
    </row>
    <row r="4">
      <c r="A4" s="2" t="s">
        <v>58</v>
      </c>
      <c r="B4" s="2" t="s">
        <v>20</v>
      </c>
      <c r="C4" s="2" t="s">
        <v>20</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Kode Lengkap Kabupaten/Kota</v>
      </c>
    </row>
    <row r="5">
      <c r="A5" s="3" t="s">
        <v>58</v>
      </c>
      <c r="B5" s="3" t="s">
        <v>35</v>
      </c>
      <c r="C5" s="3" t="s">
        <v>35</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
      </c>
    </row>
    <row r="6">
      <c r="A6" s="2" t="s">
        <v>58</v>
      </c>
      <c r="B6" s="2" t="s">
        <v>66</v>
      </c>
      <c r="C6" s="2" t="s">
        <v>66</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78</v>
      </c>
      <c r="B2" s="2" t="s">
        <v>79</v>
      </c>
      <c r="C2" s="2" t="s">
        <v>79</v>
      </c>
      <c r="D2" s="2">
        <f>IFERROR(VLOOKUP($C2,'_METADATA_TEMPLATE'!$B$2:$H$826,2,FALSE),"")</f>
        <v>100</v>
      </c>
      <c r="E2" s="2" t="str">
        <f>IFERROR(VLOOKUP($C2,'_METADATA_TEMPLATE'!$B$2:$H$826,4,FALSE),"")</f>
        <v>SE2026 - L BLOK II</v>
      </c>
      <c r="F2" s="2" t="str">
        <f>IFERROR(VLOOKUP($C2,'_METADATA_TEMPLATE'!$B$2:$H$826,5,FALSE),"")</f>
        <v/>
      </c>
      <c r="G2" s="2" t="str">
        <f>IFERROR(VLOOKUP($C2,'_METADATA_TEMPLATE'!$B$2:$H$826,6,FALSE),"")</f>
        <v>Nama Kantor/ Unit</v>
      </c>
      <c r="H2" s="2" t="str">
        <f>IFERROR(VLOOKUP($C2,'_METADATA_TEMPLATE'!$B$2:$H$826,7,FALSE),"")</f>
        <v>Text Input</v>
      </c>
      <c r="I2" s="2" t="str">
        <f>IFERROR(VLOOKUP(C2,'_METADATA_DEFAULT'!$A:$B,2,FALSE),"")</f>
        <v/>
      </c>
    </row>
    <row r="3">
      <c r="A3" s="3" t="s">
        <v>78</v>
      </c>
      <c r="B3" s="3" t="s">
        <v>82</v>
      </c>
      <c r="C3" s="3" t="s">
        <v>83</v>
      </c>
      <c r="D3" s="3">
        <f>IFERROR(VLOOKUP($C3,'_METADATA_TEMPLATE'!$B$2:$H$826,2,FALSE),"")</f>
        <v>101</v>
      </c>
      <c r="E3" s="3" t="str">
        <f>IFERROR(VLOOKUP($C3,'_METADATA_TEMPLATE'!$B$2:$H$826,4,FALSE),"")</f>
        <v>SE2026 - L BLOK II</v>
      </c>
      <c r="F3" s="3" t="str">
        <f>IFERROR(VLOOKUP($C3,'_METADATA_TEMPLATE'!$B$2:$H$826,5,FALSE),"")</f>
        <v/>
      </c>
      <c r="G3" s="3" t="str">
        <f>IFERROR(VLOOKUP($C3,'_METADATA_TEMPLATE'!$B$2:$H$826,6,FALSE),"")</f>
        <v>Jenis Unit</v>
      </c>
      <c r="H3" s="3" t="str">
        <f>IFERROR(VLOOKUP($C3,'_METADATA_TEMPLATE'!$B$2:$H$826,7,FALSE),"")</f>
        <v>Radio Group</v>
      </c>
      <c r="I3" s="3" t="str">
        <f>IFERROR(VLOOKUP(C3,'_METADATA_DEFAULT'!$A:$B,2,FALSE),"")</f>
        <v/>
      </c>
    </row>
    <row r="4">
      <c r="A4" s="2" t="s">
        <v>78</v>
      </c>
      <c r="B4" s="2" t="s">
        <v>86</v>
      </c>
      <c r="C4" s="2" t="s">
        <v>83</v>
      </c>
      <c r="D4" s="2">
        <f>IFERROR(VLOOKUP($C4,'_METADATA_TEMPLATE'!$B$2:$H$826,2,FALSE),"")</f>
        <v>101</v>
      </c>
      <c r="E4" s="2" t="str">
        <f>IFERROR(VLOOKUP($C4,'_METADATA_TEMPLATE'!$B$2:$H$826,4,FALSE),"")</f>
        <v>SE2026 - L BLOK II</v>
      </c>
      <c r="F4" s="2" t="str">
        <f>IFERROR(VLOOKUP($C4,'_METADATA_TEMPLATE'!$B$2:$H$826,5,FALSE),"")</f>
        <v/>
      </c>
      <c r="G4" s="2" t="str">
        <f>IFERROR(VLOOKUP($C4,'_METADATA_TEMPLATE'!$B$2:$H$826,6,FALSE),"")</f>
        <v>Jenis Unit</v>
      </c>
      <c r="H4" s="2" t="str">
        <f>IFERROR(VLOOKUP($C4,'_METADATA_TEMPLATE'!$B$2:$H$826,7,FALSE),"")</f>
        <v>Radio Group</v>
      </c>
      <c r="I4" s="2" t="str">
        <f>IFERROR(VLOOKUP(C4,'_METADATA_DEFAULT'!$A:$B,2,FALSE),"")</f>
        <v/>
      </c>
    </row>
    <row r="5">
      <c r="A5" s="3" t="s">
        <v>78</v>
      </c>
      <c r="B5" s="3" t="s">
        <v>88</v>
      </c>
      <c r="C5" s="3" t="s">
        <v>89</v>
      </c>
      <c r="D5" s="3">
        <f>IFERROR(VLOOKUP($C5,'_METADATA_TEMPLATE'!$B$2:$H$826,2,FALSE),"")</f>
        <v>102</v>
      </c>
      <c r="E5" s="3" t="str">
        <f>IFERROR(VLOOKUP($C5,'_METADATA_TEMPLATE'!$B$2:$H$826,4,FALSE),"")</f>
        <v>SE2026 - L BLOK II</v>
      </c>
      <c r="F5" s="3" t="str">
        <f>IFERROR(VLOOKUP($C5,'_METADATA_TEMPLATE'!$B$2:$H$826,5,FALSE),"")</f>
        <v/>
      </c>
      <c r="G5" s="3" t="str">
        <f>IFERROR(VLOOKUP($C5,'_METADATA_TEMPLATE'!$B$2:$H$826,6,FALSE),"")</f>
        <v>Provinsi</v>
      </c>
      <c r="H5" s="3" t="str">
        <f>IFERROR(VLOOKUP($C5,'_METADATA_TEMPLATE'!$B$2:$H$826,7,FALSE),"")</f>
        <v>Select</v>
      </c>
      <c r="I5" s="3" t="str">
        <f>IFERROR(VLOOKUP(C5,'_METADATA_DEFAULT'!$A:$B,2,FALSE),"")</f>
        <v/>
      </c>
    </row>
    <row r="6">
      <c r="A6" s="2" t="s">
        <v>78</v>
      </c>
      <c r="B6" s="2" t="s">
        <v>92</v>
      </c>
      <c r="C6" s="2" t="s">
        <v>89</v>
      </c>
      <c r="D6" s="2">
        <f>IFERROR(VLOOKUP($C6,'_METADATA_TEMPLATE'!$B$2:$H$826,2,FALSE),"")</f>
        <v>102</v>
      </c>
      <c r="E6" s="2" t="str">
        <f>IFERROR(VLOOKUP($C6,'_METADATA_TEMPLATE'!$B$2:$H$826,4,FALSE),"")</f>
        <v>SE2026 - L BLOK II</v>
      </c>
      <c r="F6" s="2" t="str">
        <f>IFERROR(VLOOKUP($C6,'_METADATA_TEMPLATE'!$B$2:$H$826,5,FALSE),"")</f>
        <v/>
      </c>
      <c r="G6" s="2" t="str">
        <f>IFERROR(VLOOKUP($C6,'_METADATA_TEMPLATE'!$B$2:$H$826,6,FALSE),"")</f>
        <v>Provinsi</v>
      </c>
      <c r="H6" s="2" t="str">
        <f>IFERROR(VLOOKUP($C6,'_METADATA_TEMPLATE'!$B$2:$H$826,7,FALSE),"")</f>
        <v>Select</v>
      </c>
      <c r="I6" s="2" t="str">
        <f>IFERROR(VLOOKUP(C6,'_METADATA_DEFAULT'!$A:$B,2,FALSE),"")</f>
        <v/>
      </c>
    </row>
    <row r="7">
      <c r="A7" s="3" t="s">
        <v>78</v>
      </c>
      <c r="B7" s="3" t="s">
        <v>94</v>
      </c>
      <c r="C7" s="3" t="s">
        <v>95</v>
      </c>
      <c r="D7" s="3">
        <f>IFERROR(VLOOKUP($C7,'_METADATA_TEMPLATE'!$B$2:$H$826,2,FALSE),"")</f>
        <v>104</v>
      </c>
      <c r="E7" s="3" t="str">
        <f>IFERROR(VLOOKUP($C7,'_METADATA_TEMPLATE'!$B$2:$H$826,4,FALSE),"")</f>
        <v>SE2026 - L BLOK II</v>
      </c>
      <c r="F7" s="3" t="str">
        <f>IFERROR(VLOOKUP($C7,'_METADATA_TEMPLATE'!$B$2:$H$826,5,FALSE),"")</f>
        <v/>
      </c>
      <c r="G7" s="3" t="str">
        <f>IFERROR(VLOOKUP($C7,'_METADATA_TEMPLATE'!$B$2:$H$826,6,FALSE),"")</f>
        <v>Kabupaten</v>
      </c>
      <c r="H7" s="3" t="str">
        <f>IFERROR(VLOOKUP($C7,'_METADATA_TEMPLATE'!$B$2:$H$826,7,FALSE),"")</f>
        <v>Select</v>
      </c>
      <c r="I7" s="3" t="str">
        <f>IFERROR(VLOOKUP(C7,'_METADATA_DEFAULT'!$A:$B,2,FALSE),"")</f>
        <v/>
      </c>
    </row>
    <row r="8">
      <c r="A8" s="2" t="s">
        <v>78</v>
      </c>
      <c r="B8" s="2" t="s">
        <v>99</v>
      </c>
      <c r="C8" s="2" t="s">
        <v>95</v>
      </c>
      <c r="D8" s="2">
        <f>IFERROR(VLOOKUP($C8,'_METADATA_TEMPLATE'!$B$2:$H$826,2,FALSE),"")</f>
        <v>104</v>
      </c>
      <c r="E8" s="2" t="str">
        <f>IFERROR(VLOOKUP($C8,'_METADATA_TEMPLATE'!$B$2:$H$826,4,FALSE),"")</f>
        <v>SE2026 - L BLOK II</v>
      </c>
      <c r="F8" s="2" t="str">
        <f>IFERROR(VLOOKUP($C8,'_METADATA_TEMPLATE'!$B$2:$H$826,5,FALSE),"")</f>
        <v/>
      </c>
      <c r="G8" s="2" t="str">
        <f>IFERROR(VLOOKUP($C8,'_METADATA_TEMPLATE'!$B$2:$H$826,6,FALSE),"")</f>
        <v>Kabupaten</v>
      </c>
      <c r="H8" s="2" t="str">
        <f>IFERROR(VLOOKUP($C8,'_METADATA_TEMPLATE'!$B$2:$H$826,7,FALSE),"")</f>
        <v>Select</v>
      </c>
      <c r="I8" s="2" t="str">
        <f>IFERROR(VLOOKUP(C8,'_METADATA_DEFAULT'!$A:$B,2,FALSE),"")</f>
        <v/>
      </c>
    </row>
    <row r="9">
      <c r="A9" s="3" t="s">
        <v>78</v>
      </c>
      <c r="B9" s="3" t="s">
        <v>103</v>
      </c>
      <c r="C9" s="3" t="s">
        <v>104</v>
      </c>
      <c r="D9" s="3">
        <f>IFERROR(VLOOKUP($C9,'_METADATA_TEMPLATE'!$B$2:$H$826,2,FALSE),"")</f>
        <v>105</v>
      </c>
      <c r="E9" s="3" t="str">
        <f>IFERROR(VLOOKUP($C9,'_METADATA_TEMPLATE'!$B$2:$H$826,4,FALSE),"")</f>
        <v>SE2026 - L BLOK II</v>
      </c>
      <c r="F9" s="3" t="str">
        <f>IFERROR(VLOOKUP($C9,'_METADATA_TEMPLATE'!$B$2:$H$826,5,FALSE),"")</f>
        <v/>
      </c>
      <c r="G9" s="3" t="str">
        <f>IFERROR(VLOOKUP($C9,'_METADATA_TEMPLATE'!$B$2:$H$826,6,FALSE),"")</f>
        <v>Apakah perusahaan ini memproduksi barang/jasa yang ramah lingkungan?</v>
      </c>
      <c r="H9" s="3" t="str">
        <f>IFERROR(VLOOKUP($C9,'_METADATA_TEMPLATE'!$B$2:$H$826,7,FALSE),"")</f>
        <v>Radio Group</v>
      </c>
      <c r="I9" s="3" t="str">
        <f>IFERROR(VLOOKUP(C9,'_METADATA_DEFAULT'!$A:$B,2,FALSE),"")</f>
        <v/>
      </c>
    </row>
    <row r="10">
      <c r="A10" s="2" t="s">
        <v>78</v>
      </c>
      <c r="B10" s="2" t="s">
        <v>107</v>
      </c>
      <c r="C10" s="2" t="s">
        <v>104</v>
      </c>
      <c r="D10" s="2">
        <f>IFERROR(VLOOKUP($C10,'_METADATA_TEMPLATE'!$B$2:$H$826,2,FALSE),"")</f>
        <v>105</v>
      </c>
      <c r="E10" s="2" t="str">
        <f>IFERROR(VLOOKUP($C10,'_METADATA_TEMPLATE'!$B$2:$H$826,4,FALSE),"")</f>
        <v>SE2026 - L BLOK II</v>
      </c>
      <c r="F10" s="2" t="str">
        <f>IFERROR(VLOOKUP($C10,'_METADATA_TEMPLATE'!$B$2:$H$826,5,FALSE),"")</f>
        <v/>
      </c>
      <c r="G10" s="2" t="str">
        <f>IFERROR(VLOOKUP($C10,'_METADATA_TEMPLATE'!$B$2:$H$826,6,FALSE),"")</f>
        <v>Apakah perusahaan ini memproduksi barang/jasa yang ramah lingkungan?</v>
      </c>
      <c r="H10" s="2" t="str">
        <f>IFERROR(VLOOKUP($C10,'_METADATA_TEMPLATE'!$B$2:$H$826,7,FALSE),"")</f>
        <v>Radio Group</v>
      </c>
      <c r="I10" s="2" t="str">
        <f>IFERROR(VLOOKUP(C10,'_METADATA_DEFAULT'!$A:$B,2,FALSE),"")</f>
        <v/>
      </c>
    </row>
    <row r="11">
      <c r="A11" s="3" t="s">
        <v>78</v>
      </c>
      <c r="B11" s="3" t="s">
        <v>110</v>
      </c>
      <c r="C11" s="3" t="s">
        <v>111</v>
      </c>
      <c r="D11" s="3">
        <f>IFERROR(VLOOKUP($C11,'_METADATA_TEMPLATE'!$B$2:$H$826,2,FALSE),"")</f>
        <v>108</v>
      </c>
      <c r="E11" s="3" t="str">
        <f>IFERROR(VLOOKUP($C11,'_METADATA_TEMPLATE'!$B$2:$H$826,4,FALSE),"")</f>
        <v>SE2026 - L BLOK II</v>
      </c>
      <c r="F11" s="3" t="str">
        <f>IFERROR(VLOOKUP($C11,'_METADATA_TEMPLATE'!$B$2:$H$826,5,FALSE),"")</f>
        <v/>
      </c>
      <c r="G11" s="3" t="str">
        <f>IFERROR(VLOOKUP($C11,'_METADATA_TEMPLATE'!$B$2:$H$826,6,FALSE),"")</f>
        <v>Apakah perusahaan ini mengeluarkan biaya perlindungan lingkungan dan/atau pembelian barang dan jasa yang ramah lingkungan</v>
      </c>
      <c r="H11" s="3" t="str">
        <f>IFERROR(VLOOKUP($C11,'_METADATA_TEMPLATE'!$B$2:$H$826,7,FALSE),"")</f>
        <v>Radio Group</v>
      </c>
      <c r="I11" s="3" t="str">
        <f>IFERROR(VLOOKUP(C11,'_METADATA_DEFAULT'!$A:$B,2,FALSE),"")</f>
        <v/>
      </c>
    </row>
    <row r="12">
      <c r="A12" s="2" t="s">
        <v>78</v>
      </c>
      <c r="B12" s="2" t="s">
        <v>113</v>
      </c>
      <c r="C12" s="2" t="s">
        <v>111</v>
      </c>
      <c r="D12" s="2">
        <f>IFERROR(VLOOKUP($C12,'_METADATA_TEMPLATE'!$B$2:$H$826,2,FALSE),"")</f>
        <v>108</v>
      </c>
      <c r="E12" s="2" t="str">
        <f>IFERROR(VLOOKUP($C12,'_METADATA_TEMPLATE'!$B$2:$H$826,4,FALSE),"")</f>
        <v>SE2026 - L BLOK II</v>
      </c>
      <c r="F12" s="2" t="str">
        <f>IFERROR(VLOOKUP($C12,'_METADATA_TEMPLATE'!$B$2:$H$826,5,FALSE),"")</f>
        <v/>
      </c>
      <c r="G12" s="2" t="str">
        <f>IFERROR(VLOOKUP($C12,'_METADATA_TEMPLATE'!$B$2:$H$826,6,FALSE),"")</f>
        <v>Apakah perusahaan ini mengeluarkan biaya perlindungan lingkungan dan/atau pembelian barang dan jasa yang ramah lingkungan</v>
      </c>
      <c r="H12" s="2" t="str">
        <f>IFERROR(VLOOKUP($C12,'_METADATA_TEMPLATE'!$B$2:$H$826,7,FALSE),"")</f>
        <v>Radio Group</v>
      </c>
      <c r="I12" s="2" t="str">
        <f>IFERROR(VLOOKUP(C12,'_METADATA_DEFAULT'!$A:$B,2,FALSE),"")</f>
        <v/>
      </c>
    </row>
    <row r="13">
      <c r="A13" s="3" t="s">
        <v>78</v>
      </c>
      <c r="B13" s="3" t="s">
        <v>118</v>
      </c>
      <c r="C13" s="3" t="s">
        <v>118</v>
      </c>
      <c r="D13" s="3">
        <f>IFERROR(VLOOKUP($C13,'_METADATA_TEMPLATE'!$B$2:$H$826,2,FALSE),"")</f>
        <v>109</v>
      </c>
      <c r="E13" s="3" t="str">
        <f>IFERROR(VLOOKUP($C13,'_METADATA_TEMPLATE'!$B$2:$H$826,4,FALSE),"")</f>
        <v>SE2026 - L BLOK II</v>
      </c>
      <c r="F13" s="3" t="str">
        <f>IFERROR(VLOOKUP($C13,'_METADATA_TEMPLATE'!$B$2:$H$826,5,FALSE),"")</f>
        <v/>
      </c>
      <c r="G13" s="3" t="str">
        <f>IFERROR(VLOOKUP($C13,'_METADATA_TEMPLATE'!$B$2:$H$826,6,FALSE),"")</f>
        <v>Jumlah Pekerja (per 31 Desember 2025) (orang)</v>
      </c>
      <c r="H13" s="3" t="str">
        <f>IFERROR(VLOOKUP($C13,'_METADATA_TEMPLATE'!$B$2:$H$826,7,FALSE),"")</f>
        <v>Number</v>
      </c>
      <c r="I13" s="3" t="str">
        <f>IFERROR(VLOOKUP(C13,'_METADATA_DEFAULT'!$A:$B,2,FALSE),"")</f>
        <v/>
      </c>
    </row>
    <row r="14">
      <c r="A14" s="2" t="s">
        <v>78</v>
      </c>
      <c r="B14" s="2" t="s">
        <v>122</v>
      </c>
      <c r="C14" s="2" t="s">
        <v>122</v>
      </c>
      <c r="D14" s="2">
        <f>IFERROR(VLOOKUP($C14,'_METADATA_TEMPLATE'!$B$2:$H$826,2,FALSE),"")</f>
        <v>113</v>
      </c>
      <c r="E14" s="2" t="str">
        <f>IFERROR(VLOOKUP($C14,'_METADATA_TEMPLATE'!$B$2:$H$826,4,FALSE),"")</f>
        <v>SE2026 - L BLOK II</v>
      </c>
      <c r="F14" s="2" t="str">
        <f>IFERROR(VLOOKUP($C14,'_METADATA_TEMPLATE'!$B$2:$H$826,5,FALSE),"")</f>
        <v/>
      </c>
      <c r="G14" s="2" t="str">
        <f>IFERROR(VLOOKUP($C14,'_METADATA_TEMPLATE'!$B$2:$H$826,6,FALSE),"")</f>
        <v>Pengeluaran Tahun 2025 (Rupiah)</v>
      </c>
      <c r="H14" s="2" t="str">
        <f>IFERROR(VLOOKUP($C14,'_METADATA_TEMPLATE'!$B$2:$H$826,7,FALSE),"")</f>
        <v>Currency</v>
      </c>
      <c r="I14" s="2" t="str">
        <f>IFERROR(VLOOKUP(C14,'_METADATA_DEFAULT'!$A:$B,2,FALSE),"")</f>
        <v/>
      </c>
    </row>
    <row r="15">
      <c r="A15" s="3" t="s">
        <v>78</v>
      </c>
      <c r="B15" s="3" t="s">
        <v>126</v>
      </c>
      <c r="C15" s="3" t="s">
        <v>126</v>
      </c>
      <c r="D15" s="3">
        <f>IFERROR(VLOOKUP($C15,'_METADATA_TEMPLATE'!$B$2:$H$826,2,FALSE),"")</f>
        <v>115</v>
      </c>
      <c r="E15" s="3" t="str">
        <f>IFERROR(VLOOKUP($C15,'_METADATA_TEMPLATE'!$B$2:$H$826,4,FALSE),"")</f>
        <v>SE2026 - L BLOK II</v>
      </c>
      <c r="F15" s="3" t="str">
        <f>IFERROR(VLOOKUP($C15,'_METADATA_TEMPLATE'!$B$2:$H$826,5,FALSE),"")</f>
        <v/>
      </c>
      <c r="G15" s="3" t="str">
        <f>IFERROR(VLOOKUP($C15,'_METADATA_TEMPLATE'!$B$2:$H$826,6,FALSE),"")</f>
        <v>Pendapatan Tahun 2025 (Rupiah)</v>
      </c>
      <c r="H15" s="3" t="str">
        <f>IFERROR(VLOOKUP($C15,'_METADATA_TEMPLATE'!$B$2:$H$826,7,FALSE),"")</f>
        <v>Currency</v>
      </c>
      <c r="I15" s="3" t="str">
        <f>IFERROR(VLOOKUP(C15,'_METADATA_DEFAULT'!$A:$B,2,FALSE),"")</f>
        <v/>
      </c>
    </row>
    <row r="16">
      <c r="A16" s="2" t="s">
        <v>78</v>
      </c>
      <c r="B16" s="2" t="s">
        <v>128</v>
      </c>
      <c r="C16" s="2" t="s">
        <v>128</v>
      </c>
      <c r="D16" s="2">
        <f>IFERROR(VLOOKUP($C16,'_METADATA_TEMPLATE'!$B$2:$H$826,2,FALSE),"")</f>
        <v>121</v>
      </c>
      <c r="E16" s="2" t="str">
        <f>IFERROR(VLOOKUP($C16,'_METADATA_TEMPLATE'!$B$2:$H$826,4,FALSE),"")</f>
        <v>BLOK I</v>
      </c>
      <c r="F16" s="2" t="str">
        <f>IFERROR(VLOOKUP($C16,'_METADATA_TEMPLATE'!$B$2:$H$826,5,FALSE),"")</f>
        <v/>
      </c>
      <c r="G16" s="2" t="str">
        <f>IFERROR(VLOOKUP($C16,'_METADATA_TEMPLATE'!$B$2:$H$826,6,FALSE),"")</f>
        <v>Nilai Aset Tahun 2025</v>
      </c>
      <c r="H16" s="2" t="str">
        <f>IFERROR(VLOOKUP($C16,'_METADATA_TEMPLATE'!$B$2:$H$826,7,FALSE),"")</f>
        <v>Currency</v>
      </c>
      <c r="I16" s="2" t="str">
        <f>IFERROR(VLOOKUP(C16,'_METADATA_DEFAULT'!$A:$B,2,FALSE),"")</f>
        <v/>
      </c>
    </row>
    <row r="17">
      <c r="A17" s="3" t="s">
        <v>78</v>
      </c>
      <c r="B17" s="3" t="s">
        <v>12</v>
      </c>
      <c r="C17" s="3" t="s">
        <v>12</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ID Assignment</v>
      </c>
    </row>
    <row r="18">
      <c r="A18" s="2" t="s">
        <v>78</v>
      </c>
      <c r="B18" s="2" t="s">
        <v>132</v>
      </c>
      <c r="C18" s="2" t="s">
        <v>132</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ID Roster/Nested Level 1</v>
      </c>
    </row>
    <row r="19">
      <c r="A19" s="3" t="s">
        <v>78</v>
      </c>
      <c r="B19" s="3" t="s">
        <v>136</v>
      </c>
      <c r="C19" s="3" t="s">
        <v>136</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ID Roster/Nested Level 2</v>
      </c>
    </row>
    <row r="20">
      <c r="A20" s="2" t="s">
        <v>78</v>
      </c>
      <c r="B20" s="2" t="s">
        <v>18</v>
      </c>
      <c r="C20" s="2" t="s">
        <v>18</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Kode Lengkap Provinsi</v>
      </c>
    </row>
    <row r="21" ht="15.75" customHeight="1">
      <c r="A21" s="3" t="s">
        <v>78</v>
      </c>
      <c r="B21" s="3" t="s">
        <v>20</v>
      </c>
      <c r="C21" s="3" t="s">
        <v>20</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Kode Lengkap Kabupaten/Kota</v>
      </c>
    </row>
    <row r="22" ht="15.75" customHeight="1">
      <c r="A22" s="2" t="s">
        <v>78</v>
      </c>
      <c r="B22" s="2" t="s">
        <v>43</v>
      </c>
      <c r="C22" s="2" t="s">
        <v>43</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Tanggal Assignment Terakhir Diubah</v>
      </c>
    </row>
    <row r="23" ht="15.75" customHeight="1">
      <c r="A23" s="3" t="s">
        <v>78</v>
      </c>
      <c r="B23" s="3" t="s">
        <v>21</v>
      </c>
      <c r="C23" s="3" t="s">
        <v>21</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ID Assignment + Timestamp</v>
      </c>
    </row>
    <row r="24" ht="15.75" customHeight="1">
      <c r="A24" s="2" t="s">
        <v>78</v>
      </c>
      <c r="B24" s="2" t="s">
        <v>153</v>
      </c>
      <c r="C24" s="2" t="s">
        <v>153</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1 = Assignment Tambahan, 0 = Assignment Prelist</v>
      </c>
    </row>
    <row r="25" ht="15.75" customHeight="1">
      <c r="A25" s="3" t="s">
        <v>78</v>
      </c>
      <c r="B25" s="3" t="s">
        <v>42</v>
      </c>
      <c r="C25" s="3" t="s">
        <v>42</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Status Assignment</v>
      </c>
    </row>
    <row r="26" ht="15.75" customHeight="1">
      <c r="A26" s="2" t="s">
        <v>78</v>
      </c>
      <c r="B26" s="2" t="s">
        <v>47</v>
      </c>
      <c r="C26" s="2" t="s">
        <v>47</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ID Status Assignment</v>
      </c>
    </row>
    <row r="27" ht="15.75" customHeight="1">
      <c r="A27" s="3" t="s">
        <v>78</v>
      </c>
      <c r="B27" s="3" t="s">
        <v>26</v>
      </c>
      <c r="C27" s="3" t="s">
        <v>26</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1 = Aktif, 0 = Dihapus</v>
      </c>
    </row>
    <row r="28" ht="15.75" customHeight="1">
      <c r="A28" s="2" t="s">
        <v>78</v>
      </c>
      <c r="B28" s="2" t="s">
        <v>137</v>
      </c>
      <c r="C28" s="2" t="s">
        <v>137</v>
      </c>
      <c r="D28" s="2" t="str">
        <f>IFERROR(VLOOKUP($C28,'_METADATA_TEMPLATE'!$B$2:$H$826,2,FALSE),"")</f>
        <v/>
      </c>
      <c r="E28" s="2" t="str">
        <f>IFERROR(VLOOKUP($C28,'_METADATA_TEMPLATE'!$B$2:$H$826,4,FALSE),"")</f>
        <v/>
      </c>
      <c r="F28" s="2" t="str">
        <f>IFERROR(VLOOKUP($C28,'_METADATA_TEMPLATE'!$B$2:$H$826,5,FALSE),"")</f>
        <v/>
      </c>
      <c r="G28" s="2" t="str">
        <f>IFERROR(VLOOKUP($C28,'_METADATA_TEMPLATE'!$B$2:$H$826,6,FALSE),"")</f>
        <v/>
      </c>
      <c r="H28" s="2" t="str">
        <f>IFERROR(VLOOKUP($C28,'_METADATA_TEMPLATE'!$B$2:$H$826,7,FALSE),"")</f>
        <v/>
      </c>
      <c r="I28" s="2" t="str">
        <f>IFERROR(VLOOKUP(C28,'_METADATA_DEFAULT'!$A:$B,2,FALSE),"")</f>
        <v>Kode Provinsi</v>
      </c>
    </row>
    <row r="29" ht="15.75" customHeight="1">
      <c r="A29" s="3" t="s">
        <v>78</v>
      </c>
      <c r="B29" s="3" t="s">
        <v>141</v>
      </c>
      <c r="C29" s="3" t="s">
        <v>141</v>
      </c>
      <c r="D29" s="3" t="str">
        <f>IFERROR(VLOOKUP($C29,'_METADATA_TEMPLATE'!$B$2:$H$826,2,FALSE),"")</f>
        <v/>
      </c>
      <c r="E29" s="3" t="str">
        <f>IFERROR(VLOOKUP($C29,'_METADATA_TEMPLATE'!$B$2:$H$826,4,FALSE),"")</f>
        <v/>
      </c>
      <c r="F29" s="3" t="str">
        <f>IFERROR(VLOOKUP($C29,'_METADATA_TEMPLATE'!$B$2:$H$826,5,FALSE),"")</f>
        <v/>
      </c>
      <c r="G29" s="3" t="str">
        <f>IFERROR(VLOOKUP($C29,'_METADATA_TEMPLATE'!$B$2:$H$826,6,FALSE),"")</f>
        <v/>
      </c>
      <c r="H29" s="3" t="str">
        <f>IFERROR(VLOOKUP($C29,'_METADATA_TEMPLATE'!$B$2:$H$826,7,FALSE),"")</f>
        <v/>
      </c>
      <c r="I29" s="3" t="str">
        <f>IFERROR(VLOOKUP(C29,'_METADATA_DEFAULT'!$A:$B,2,FALSE),"")</f>
        <v>Provinsi</v>
      </c>
    </row>
    <row r="30" ht="15.75" customHeight="1">
      <c r="A30" s="2" t="s">
        <v>78</v>
      </c>
      <c r="B30" s="2" t="s">
        <v>145</v>
      </c>
      <c r="C30" s="2" t="s">
        <v>145</v>
      </c>
      <c r="D30" s="2" t="str">
        <f>IFERROR(VLOOKUP($C30,'_METADATA_TEMPLATE'!$B$2:$H$826,2,FALSE),"")</f>
        <v/>
      </c>
      <c r="E30" s="2" t="str">
        <f>IFERROR(VLOOKUP($C30,'_METADATA_TEMPLATE'!$B$2:$H$826,4,FALSE),"")</f>
        <v/>
      </c>
      <c r="F30" s="2" t="str">
        <f>IFERROR(VLOOKUP($C30,'_METADATA_TEMPLATE'!$B$2:$H$826,5,FALSE),"")</f>
        <v/>
      </c>
      <c r="G30" s="2" t="str">
        <f>IFERROR(VLOOKUP($C30,'_METADATA_TEMPLATE'!$B$2:$H$826,6,FALSE),"")</f>
        <v/>
      </c>
      <c r="H30" s="2" t="str">
        <f>IFERROR(VLOOKUP($C30,'_METADATA_TEMPLATE'!$B$2:$H$826,7,FALSE),"")</f>
        <v/>
      </c>
      <c r="I30" s="2" t="str">
        <f>IFERROR(VLOOKUP(C30,'_METADATA_DEFAULT'!$A:$B,2,FALSE),"")</f>
        <v/>
      </c>
    </row>
    <row r="31" ht="15.75" customHeight="1">
      <c r="A31" s="3" t="s">
        <v>78</v>
      </c>
      <c r="B31" s="3" t="s">
        <v>149</v>
      </c>
      <c r="C31" s="3" t="s">
        <v>149</v>
      </c>
      <c r="D31" s="3" t="str">
        <f>IFERROR(VLOOKUP($C31,'_METADATA_TEMPLATE'!$B$2:$H$826,2,FALSE),"")</f>
        <v/>
      </c>
      <c r="E31" s="3" t="str">
        <f>IFERROR(VLOOKUP($C31,'_METADATA_TEMPLATE'!$B$2:$H$826,4,FALSE),"")</f>
        <v/>
      </c>
      <c r="F31" s="3" t="str">
        <f>IFERROR(VLOOKUP($C31,'_METADATA_TEMPLATE'!$B$2:$H$826,5,FALSE),"")</f>
        <v/>
      </c>
      <c r="G31" s="3" t="str">
        <f>IFERROR(VLOOKUP($C31,'_METADATA_TEMPLATE'!$B$2:$H$826,6,FALSE),"")</f>
        <v/>
      </c>
      <c r="H31" s="3" t="str">
        <f>IFERROR(VLOOKUP($C31,'_METADATA_TEMPLATE'!$B$2:$H$826,7,FALSE),"")</f>
        <v/>
      </c>
      <c r="I31" s="3" t="str">
        <f>IFERROR(VLOOKUP(C31,'_METADATA_DEFAULT'!$A:$B,2,FALSE),"")</f>
        <v/>
      </c>
    </row>
    <row r="32" ht="15.75" customHeight="1">
      <c r="A32" s="2" t="s">
        <v>78</v>
      </c>
      <c r="B32" s="2" t="s">
        <v>157</v>
      </c>
      <c r="C32" s="2" t="s">
        <v>157</v>
      </c>
      <c r="D32" s="2" t="str">
        <f>IFERROR(VLOOKUP($C32,'_METADATA_TEMPLATE'!$B$2:$H$826,2,FALSE),"")</f>
        <v/>
      </c>
      <c r="E32" s="2" t="str">
        <f>IFERROR(VLOOKUP($C32,'_METADATA_TEMPLATE'!$B$2:$H$826,4,FALSE),"")</f>
        <v/>
      </c>
      <c r="F32" s="2" t="str">
        <f>IFERROR(VLOOKUP($C32,'_METADATA_TEMPLATE'!$B$2:$H$826,5,FALSE),"")</f>
        <v/>
      </c>
      <c r="G32" s="2" t="str">
        <f>IFERROR(VLOOKUP($C32,'_METADATA_TEMPLATE'!$B$2:$H$826,6,FALSE),"")</f>
        <v/>
      </c>
      <c r="H32" s="2" t="str">
        <f>IFERROR(VLOOKUP($C32,'_METADATA_TEMPLATE'!$B$2:$H$826,7,FALSE),"")</f>
        <v/>
      </c>
      <c r="I32" s="2" t="str">
        <f>IFERROR(VLOOKUP(C32,'_METADATA_DEFAULT'!$A:$B,2,FALSE),"")</f>
        <v/>
      </c>
    </row>
    <row r="33" ht="15.75" customHeight="1">
      <c r="A33" s="3" t="s">
        <v>78</v>
      </c>
      <c r="B33" s="3" t="s">
        <v>161</v>
      </c>
      <c r="C33" s="3" t="s">
        <v>161</v>
      </c>
      <c r="D33" s="3" t="str">
        <f>IFERROR(VLOOKUP($C33,'_METADATA_TEMPLATE'!$B$2:$H$826,2,FALSE),"")</f>
        <v/>
      </c>
      <c r="E33" s="3" t="str">
        <f>IFERROR(VLOOKUP($C33,'_METADATA_TEMPLATE'!$B$2:$H$826,4,FALSE),"")</f>
        <v/>
      </c>
      <c r="F33" s="3" t="str">
        <f>IFERROR(VLOOKUP($C33,'_METADATA_TEMPLATE'!$B$2:$H$826,5,FALSE),"")</f>
        <v/>
      </c>
      <c r="G33" s="3" t="str">
        <f>IFERROR(VLOOKUP($C33,'_METADATA_TEMPLATE'!$B$2:$H$826,6,FALSE),"")</f>
        <v/>
      </c>
      <c r="H33" s="3" t="str">
        <f>IFERROR(VLOOKUP($C33,'_METADATA_TEMPLATE'!$B$2:$H$826,7,FALSE),"")</f>
        <v/>
      </c>
      <c r="I33" s="3" t="str">
        <f>IFERROR(VLOOKUP(C33,'_METADATA_DEFAULT'!$A:$B,2,FALSE),"")</f>
        <v>Kode Kabupaten/Kota</v>
      </c>
    </row>
    <row r="34" ht="15.75" customHeight="1">
      <c r="A34" s="2" t="s">
        <v>78</v>
      </c>
      <c r="B34" s="2" t="s">
        <v>165</v>
      </c>
      <c r="C34" s="2" t="s">
        <v>165</v>
      </c>
      <c r="D34" s="2" t="str">
        <f>IFERROR(VLOOKUP($C34,'_METADATA_TEMPLATE'!$B$2:$H$826,2,FALSE),"")</f>
        <v/>
      </c>
      <c r="E34" s="2" t="str">
        <f>IFERROR(VLOOKUP($C34,'_METADATA_TEMPLATE'!$B$2:$H$826,4,FALSE),"")</f>
        <v/>
      </c>
      <c r="F34" s="2" t="str">
        <f>IFERROR(VLOOKUP($C34,'_METADATA_TEMPLATE'!$B$2:$H$826,5,FALSE),"")</f>
        <v/>
      </c>
      <c r="G34" s="2" t="str">
        <f>IFERROR(VLOOKUP($C34,'_METADATA_TEMPLATE'!$B$2:$H$826,6,FALSE),"")</f>
        <v/>
      </c>
      <c r="H34" s="2" t="str">
        <f>IFERROR(VLOOKUP($C34,'_METADATA_TEMPLATE'!$B$2:$H$826,7,FALSE),"")</f>
        <v/>
      </c>
      <c r="I34" s="2" t="str">
        <f>IFERROR(VLOOKUP(C34,'_METADATA_DEFAULT'!$A:$B,2,FALSE),"")</f>
        <v>Kabupaten/Kota</v>
      </c>
    </row>
    <row r="35" ht="15.75" customHeight="1">
      <c r="A35" s="3" t="s">
        <v>78</v>
      </c>
      <c r="B35" s="3" t="s">
        <v>168</v>
      </c>
      <c r="C35" s="3" t="s">
        <v>168</v>
      </c>
      <c r="D35" s="3" t="str">
        <f>IFERROR(VLOOKUP($C35,'_METADATA_TEMPLATE'!$B$2:$H$826,2,FALSE),"")</f>
        <v/>
      </c>
      <c r="E35" s="3" t="str">
        <f>IFERROR(VLOOKUP($C35,'_METADATA_TEMPLATE'!$B$2:$H$826,4,FALSE),"")</f>
        <v/>
      </c>
      <c r="F35" s="3" t="str">
        <f>IFERROR(VLOOKUP($C35,'_METADATA_TEMPLATE'!$B$2:$H$826,5,FALSE),"")</f>
        <v/>
      </c>
      <c r="G35" s="3" t="str">
        <f>IFERROR(VLOOKUP($C35,'_METADATA_TEMPLATE'!$B$2:$H$826,6,FALSE),"")</f>
        <v/>
      </c>
      <c r="H35" s="3" t="str">
        <f>IFERROR(VLOOKUP($C35,'_METADATA_TEMPLATE'!$B$2:$H$826,7,FALSE),"")</f>
        <v/>
      </c>
      <c r="I35" s="3" t="str">
        <f>IFERROR(VLOOKUP(C35,'_METADATA_DEFAULT'!$A:$B,2,FALSE),"")</f>
        <v>Kode Kecamatan</v>
      </c>
    </row>
    <row r="36" ht="15.75" customHeight="1">
      <c r="A36" s="2" t="s">
        <v>78</v>
      </c>
      <c r="B36" s="2" t="s">
        <v>172</v>
      </c>
      <c r="C36" s="2" t="s">
        <v>172</v>
      </c>
      <c r="D36" s="2" t="str">
        <f>IFERROR(VLOOKUP($C36,'_METADATA_TEMPLATE'!$B$2:$H$826,2,FALSE),"")</f>
        <v/>
      </c>
      <c r="E36" s="2" t="str">
        <f>IFERROR(VLOOKUP($C36,'_METADATA_TEMPLATE'!$B$2:$H$826,4,FALSE),"")</f>
        <v/>
      </c>
      <c r="F36" s="2" t="str">
        <f>IFERROR(VLOOKUP($C36,'_METADATA_TEMPLATE'!$B$2:$H$826,5,FALSE),"")</f>
        <v/>
      </c>
      <c r="G36" s="2" t="str">
        <f>IFERROR(VLOOKUP($C36,'_METADATA_TEMPLATE'!$B$2:$H$826,6,FALSE),"")</f>
        <v/>
      </c>
      <c r="H36" s="2" t="str">
        <f>IFERROR(VLOOKUP($C36,'_METADATA_TEMPLATE'!$B$2:$H$826,7,FALSE),"")</f>
        <v/>
      </c>
      <c r="I36" s="2" t="str">
        <f>IFERROR(VLOOKUP(C36,'_METADATA_DEFAULT'!$A:$B,2,FALSE),"")</f>
        <v>Kode Lengkap Kecamatan</v>
      </c>
    </row>
    <row r="37" ht="15.75" customHeight="1">
      <c r="A37" s="3" t="s">
        <v>78</v>
      </c>
      <c r="B37" s="3" t="s">
        <v>176</v>
      </c>
      <c r="C37" s="3" t="s">
        <v>176</v>
      </c>
      <c r="D37" s="3" t="str">
        <f>IFERROR(VLOOKUP($C37,'_METADATA_TEMPLATE'!$B$2:$H$826,2,FALSE),"")</f>
        <v/>
      </c>
      <c r="E37" s="3" t="str">
        <f>IFERROR(VLOOKUP($C37,'_METADATA_TEMPLATE'!$B$2:$H$826,4,FALSE),"")</f>
        <v/>
      </c>
      <c r="F37" s="3" t="str">
        <f>IFERROR(VLOOKUP($C37,'_METADATA_TEMPLATE'!$B$2:$H$826,5,FALSE),"")</f>
        <v/>
      </c>
      <c r="G37" s="3" t="str">
        <f>IFERROR(VLOOKUP($C37,'_METADATA_TEMPLATE'!$B$2:$H$826,6,FALSE),"")</f>
        <v/>
      </c>
      <c r="H37" s="3" t="str">
        <f>IFERROR(VLOOKUP($C37,'_METADATA_TEMPLATE'!$B$2:$H$826,7,FALSE),"")</f>
        <v/>
      </c>
      <c r="I37" s="3" t="str">
        <f>IFERROR(VLOOKUP(C37,'_METADATA_DEFAULT'!$A:$B,2,FALSE),"")</f>
        <v>Kecamatan</v>
      </c>
    </row>
    <row r="38" ht="15.75" customHeight="1">
      <c r="A38" s="2" t="s">
        <v>78</v>
      </c>
      <c r="B38" s="2" t="s">
        <v>181</v>
      </c>
      <c r="C38" s="2" t="s">
        <v>181</v>
      </c>
      <c r="D38" s="2" t="str">
        <f>IFERROR(VLOOKUP($C38,'_METADATA_TEMPLATE'!$B$2:$H$826,2,FALSE),"")</f>
        <v/>
      </c>
      <c r="E38" s="2" t="str">
        <f>IFERROR(VLOOKUP($C38,'_METADATA_TEMPLATE'!$B$2:$H$826,4,FALSE),"")</f>
        <v/>
      </c>
      <c r="F38" s="2" t="str">
        <f>IFERROR(VLOOKUP($C38,'_METADATA_TEMPLATE'!$B$2:$H$826,5,FALSE),"")</f>
        <v/>
      </c>
      <c r="G38" s="2" t="str">
        <f>IFERROR(VLOOKUP($C38,'_METADATA_TEMPLATE'!$B$2:$H$826,6,FALSE),"")</f>
        <v/>
      </c>
      <c r="H38" s="2" t="str">
        <f>IFERROR(VLOOKUP($C38,'_METADATA_TEMPLATE'!$B$2:$H$826,7,FALSE),"")</f>
        <v/>
      </c>
      <c r="I38" s="2" t="str">
        <f>IFERROR(VLOOKUP(C38,'_METADATA_DEFAULT'!$A:$B,2,FALSE),"")</f>
        <v>Kode Kelurahan/Desa</v>
      </c>
    </row>
    <row r="39" ht="15.75" customHeight="1">
      <c r="A39" s="3" t="s">
        <v>78</v>
      </c>
      <c r="B39" s="3" t="s">
        <v>184</v>
      </c>
      <c r="C39" s="3" t="s">
        <v>184</v>
      </c>
      <c r="D39" s="3" t="str">
        <f>IFERROR(VLOOKUP($C39,'_METADATA_TEMPLATE'!$B$2:$H$826,2,FALSE),"")</f>
        <v/>
      </c>
      <c r="E39" s="3" t="str">
        <f>IFERROR(VLOOKUP($C39,'_METADATA_TEMPLATE'!$B$2:$H$826,4,FALSE),"")</f>
        <v/>
      </c>
      <c r="F39" s="3" t="str">
        <f>IFERROR(VLOOKUP($C39,'_METADATA_TEMPLATE'!$B$2:$H$826,5,FALSE),"")</f>
        <v/>
      </c>
      <c r="G39" s="3" t="str">
        <f>IFERROR(VLOOKUP($C39,'_METADATA_TEMPLATE'!$B$2:$H$826,6,FALSE),"")</f>
        <v/>
      </c>
      <c r="H39" s="3" t="str">
        <f>IFERROR(VLOOKUP($C39,'_METADATA_TEMPLATE'!$B$2:$H$826,7,FALSE),"")</f>
        <v/>
      </c>
      <c r="I39" s="3" t="str">
        <f>IFERROR(VLOOKUP(C39,'_METADATA_DEFAULT'!$A:$B,2,FALSE),"")</f>
        <v>Kode Lengkap Kelurahan/Desa</v>
      </c>
    </row>
    <row r="40" ht="15.75" customHeight="1">
      <c r="A40" s="2" t="s">
        <v>78</v>
      </c>
      <c r="B40" s="2" t="s">
        <v>188</v>
      </c>
      <c r="C40" s="2" t="s">
        <v>188</v>
      </c>
      <c r="D40" s="2" t="str">
        <f>IFERROR(VLOOKUP($C40,'_METADATA_TEMPLATE'!$B$2:$H$826,2,FALSE),"")</f>
        <v/>
      </c>
      <c r="E40" s="2" t="str">
        <f>IFERROR(VLOOKUP($C40,'_METADATA_TEMPLATE'!$B$2:$H$826,4,FALSE),"")</f>
        <v/>
      </c>
      <c r="F40" s="2" t="str">
        <f>IFERROR(VLOOKUP($C40,'_METADATA_TEMPLATE'!$B$2:$H$826,5,FALSE),"")</f>
        <v/>
      </c>
      <c r="G40" s="2" t="str">
        <f>IFERROR(VLOOKUP($C40,'_METADATA_TEMPLATE'!$B$2:$H$826,6,FALSE),"")</f>
        <v/>
      </c>
      <c r="H40" s="2" t="str">
        <f>IFERROR(VLOOKUP($C40,'_METADATA_TEMPLATE'!$B$2:$H$826,7,FALSE),"")</f>
        <v/>
      </c>
      <c r="I40" s="2" t="str">
        <f>IFERROR(VLOOKUP(C40,'_METADATA_DEFAULT'!$A:$B,2,FALSE),"")</f>
        <v>Kelurahan/Desa</v>
      </c>
    </row>
    <row r="41" ht="15.75" customHeight="1">
      <c r="A41" s="3" t="s">
        <v>78</v>
      </c>
      <c r="B41" s="3" t="s">
        <v>191</v>
      </c>
      <c r="C41" s="3" t="s">
        <v>191</v>
      </c>
      <c r="D41" s="3" t="str">
        <f>IFERROR(VLOOKUP($C41,'_METADATA_TEMPLATE'!$B$2:$H$826,2,FALSE),"")</f>
        <v/>
      </c>
      <c r="E41" s="3" t="str">
        <f>IFERROR(VLOOKUP($C41,'_METADATA_TEMPLATE'!$B$2:$H$826,4,FALSE),"")</f>
        <v/>
      </c>
      <c r="F41" s="3" t="str">
        <f>IFERROR(VLOOKUP($C41,'_METADATA_TEMPLATE'!$B$2:$H$826,5,FALSE),"")</f>
        <v/>
      </c>
      <c r="G41" s="3" t="str">
        <f>IFERROR(VLOOKUP($C41,'_METADATA_TEMPLATE'!$B$2:$H$826,6,FALSE),"")</f>
        <v/>
      </c>
      <c r="H41" s="3" t="str">
        <f>IFERROR(VLOOKUP($C41,'_METADATA_TEMPLATE'!$B$2:$H$826,7,FALSE),"")</f>
        <v/>
      </c>
      <c r="I41" s="3" t="str">
        <f>IFERROR(VLOOKUP(C41,'_METADATA_DEFAULT'!$A:$B,2,FALSE),"")</f>
        <v>Kode SLS</v>
      </c>
    </row>
    <row r="42" ht="15.75" customHeight="1">
      <c r="A42" s="2" t="s">
        <v>78</v>
      </c>
      <c r="B42" s="2" t="s">
        <v>194</v>
      </c>
      <c r="C42" s="2" t="s">
        <v>194</v>
      </c>
      <c r="D42" s="2" t="str">
        <f>IFERROR(VLOOKUP($C42,'_METADATA_TEMPLATE'!$B$2:$H$826,2,FALSE),"")</f>
        <v/>
      </c>
      <c r="E42" s="2" t="str">
        <f>IFERROR(VLOOKUP($C42,'_METADATA_TEMPLATE'!$B$2:$H$826,4,FALSE),"")</f>
        <v/>
      </c>
      <c r="F42" s="2" t="str">
        <f>IFERROR(VLOOKUP($C42,'_METADATA_TEMPLATE'!$B$2:$H$826,5,FALSE),"")</f>
        <v/>
      </c>
      <c r="G42" s="2" t="str">
        <f>IFERROR(VLOOKUP($C42,'_METADATA_TEMPLATE'!$B$2:$H$826,6,FALSE),"")</f>
        <v/>
      </c>
      <c r="H42" s="2" t="str">
        <f>IFERROR(VLOOKUP($C42,'_METADATA_TEMPLATE'!$B$2:$H$826,7,FALSE),"")</f>
        <v/>
      </c>
      <c r="I42" s="2" t="str">
        <f>IFERROR(VLOOKUP(C42,'_METADATA_DEFAULT'!$A:$B,2,FALSE),"")</f>
        <v>Kode Lengkap SLS</v>
      </c>
    </row>
    <row r="43" ht="15.75" customHeight="1">
      <c r="A43" s="3" t="s">
        <v>78</v>
      </c>
      <c r="B43" s="3" t="s">
        <v>197</v>
      </c>
      <c r="C43" s="3" t="s">
        <v>197</v>
      </c>
      <c r="D43" s="3" t="str">
        <f>IFERROR(VLOOKUP($C43,'_METADATA_TEMPLATE'!$B$2:$H$826,2,FALSE),"")</f>
        <v/>
      </c>
      <c r="E43" s="3" t="str">
        <f>IFERROR(VLOOKUP($C43,'_METADATA_TEMPLATE'!$B$2:$H$826,4,FALSE),"")</f>
        <v/>
      </c>
      <c r="F43" s="3" t="str">
        <f>IFERROR(VLOOKUP($C43,'_METADATA_TEMPLATE'!$B$2:$H$826,5,FALSE),"")</f>
        <v/>
      </c>
      <c r="G43" s="3" t="str">
        <f>IFERROR(VLOOKUP($C43,'_METADATA_TEMPLATE'!$B$2:$H$826,6,FALSE),"")</f>
        <v/>
      </c>
      <c r="H43" s="3" t="str">
        <f>IFERROR(VLOOKUP($C43,'_METADATA_TEMPLATE'!$B$2:$H$826,7,FALSE),"")</f>
        <v/>
      </c>
      <c r="I43" s="3" t="str">
        <f>IFERROR(VLOOKUP(C43,'_METADATA_DEFAULT'!$A:$B,2,FALSE),"")</f>
        <v>SLS</v>
      </c>
    </row>
    <row r="44" ht="15.75" customHeight="1">
      <c r="A44" s="2" t="s">
        <v>78</v>
      </c>
      <c r="B44" s="2" t="s">
        <v>202</v>
      </c>
      <c r="C44" s="2" t="s">
        <v>202</v>
      </c>
      <c r="D44" s="2" t="str">
        <f>IFERROR(VLOOKUP($C44,'_METADATA_TEMPLATE'!$B$2:$H$826,2,FALSE),"")</f>
        <v/>
      </c>
      <c r="E44" s="2" t="str">
        <f>IFERROR(VLOOKUP($C44,'_METADATA_TEMPLATE'!$B$2:$H$826,4,FALSE),"")</f>
        <v/>
      </c>
      <c r="F44" s="2" t="str">
        <f>IFERROR(VLOOKUP($C44,'_METADATA_TEMPLATE'!$B$2:$H$826,5,FALSE),"")</f>
        <v/>
      </c>
      <c r="G44" s="2" t="str">
        <f>IFERROR(VLOOKUP($C44,'_METADATA_TEMPLATE'!$B$2:$H$826,6,FALSE),"")</f>
        <v/>
      </c>
      <c r="H44" s="2" t="str">
        <f>IFERROR(VLOOKUP($C44,'_METADATA_TEMPLATE'!$B$2:$H$826,7,FALSE),"")</f>
        <v/>
      </c>
      <c r="I44" s="2" t="str">
        <f>IFERROR(VLOOKUP(C44,'_METADATA_DEFAULT'!$A:$B,2,FALSE),"")</f>
        <v>Kode Sub-SLS</v>
      </c>
    </row>
    <row r="45" ht="15.75" customHeight="1">
      <c r="A45" s="3" t="s">
        <v>78</v>
      </c>
      <c r="B45" s="3" t="s">
        <v>206</v>
      </c>
      <c r="C45" s="3" t="s">
        <v>206</v>
      </c>
      <c r="D45" s="3" t="str">
        <f>IFERROR(VLOOKUP($C45,'_METADATA_TEMPLATE'!$B$2:$H$826,2,FALSE),"")</f>
        <v/>
      </c>
      <c r="E45" s="3" t="str">
        <f>IFERROR(VLOOKUP($C45,'_METADATA_TEMPLATE'!$B$2:$H$826,4,FALSE),"")</f>
        <v/>
      </c>
      <c r="F45" s="3" t="str">
        <f>IFERROR(VLOOKUP($C45,'_METADATA_TEMPLATE'!$B$2:$H$826,5,FALSE),"")</f>
        <v/>
      </c>
      <c r="G45" s="3" t="str">
        <f>IFERROR(VLOOKUP($C45,'_METADATA_TEMPLATE'!$B$2:$H$826,6,FALSE),"")</f>
        <v/>
      </c>
      <c r="H45" s="3" t="str">
        <f>IFERROR(VLOOKUP($C45,'_METADATA_TEMPLATE'!$B$2:$H$826,7,FALSE),"")</f>
        <v/>
      </c>
      <c r="I45" s="3" t="str">
        <f>IFERROR(VLOOKUP(C45,'_METADATA_DEFAULT'!$A:$B,2,FALSE),"")</f>
        <v>Kode Lengkap Sub-SLS</v>
      </c>
    </row>
    <row r="46" ht="15.75" customHeight="1">
      <c r="A46" s="2" t="s">
        <v>78</v>
      </c>
      <c r="B46" s="2" t="s">
        <v>209</v>
      </c>
      <c r="C46" s="2" t="s">
        <v>209</v>
      </c>
      <c r="D46" s="2" t="str">
        <f>IFERROR(VLOOKUP($C46,'_METADATA_TEMPLATE'!$B$2:$H$826,2,FALSE),"")</f>
        <v/>
      </c>
      <c r="E46" s="2" t="str">
        <f>IFERROR(VLOOKUP($C46,'_METADATA_TEMPLATE'!$B$2:$H$826,4,FALSE),"")</f>
        <v/>
      </c>
      <c r="F46" s="2" t="str">
        <f>IFERROR(VLOOKUP($C46,'_METADATA_TEMPLATE'!$B$2:$H$826,5,FALSE),"")</f>
        <v/>
      </c>
      <c r="G46" s="2" t="str">
        <f>IFERROR(VLOOKUP($C46,'_METADATA_TEMPLATE'!$B$2:$H$826,6,FALSE),"")</f>
        <v/>
      </c>
      <c r="H46" s="2" t="str">
        <f>IFERROR(VLOOKUP($C46,'_METADATA_TEMPLATE'!$B$2:$H$826,7,FALSE),"")</f>
        <v/>
      </c>
      <c r="I46" s="2" t="str">
        <f>IFERROR(VLOOKUP(C46,'_METADATA_DEFAULT'!$A:$B,2,FALSE),"")</f>
        <v>Sub-SLS</v>
      </c>
    </row>
    <row r="47" ht="15.75" customHeight="1">
      <c r="A47" s="3" t="s">
        <v>78</v>
      </c>
      <c r="B47" s="3" t="s">
        <v>211</v>
      </c>
      <c r="C47" s="3" t="s">
        <v>211</v>
      </c>
      <c r="D47" s="3" t="str">
        <f>IFERROR(VLOOKUP($C47,'_METADATA_TEMPLATE'!$B$2:$H$826,2,FALSE),"")</f>
        <v/>
      </c>
      <c r="E47" s="3" t="str">
        <f>IFERROR(VLOOKUP($C47,'_METADATA_TEMPLATE'!$B$2:$H$826,4,FALSE),"")</f>
        <v/>
      </c>
      <c r="F47" s="3" t="str">
        <f>IFERROR(VLOOKUP($C47,'_METADATA_TEMPLATE'!$B$2:$H$826,5,FALSE),"")</f>
        <v/>
      </c>
      <c r="G47" s="3" t="str">
        <f>IFERROR(VLOOKUP($C47,'_METADATA_TEMPLATE'!$B$2:$H$826,6,FALSE),"")</f>
        <v/>
      </c>
      <c r="H47" s="3" t="str">
        <f>IFERROR(VLOOKUP($C47,'_METADATA_TEMPLATE'!$B$2:$H$826,7,FALSE),"")</f>
        <v/>
      </c>
      <c r="I47" s="3" t="str">
        <f>IFERROR(VLOOKUP(C47,'_METADATA_DEFAULT'!$A:$B,2,FALSE),"")</f>
        <v/>
      </c>
    </row>
    <row r="48" ht="15.75" customHeight="1">
      <c r="A48" s="2" t="s">
        <v>78</v>
      </c>
      <c r="B48" s="2" t="s">
        <v>214</v>
      </c>
      <c r="C48" s="2" t="s">
        <v>214</v>
      </c>
      <c r="D48" s="2" t="str">
        <f>IFERROR(VLOOKUP($C48,'_METADATA_TEMPLATE'!$B$2:$H$826,2,FALSE),"")</f>
        <v/>
      </c>
      <c r="E48" s="2" t="str">
        <f>IFERROR(VLOOKUP($C48,'_METADATA_TEMPLATE'!$B$2:$H$826,4,FALSE),"")</f>
        <v/>
      </c>
      <c r="F48" s="2" t="str">
        <f>IFERROR(VLOOKUP($C48,'_METADATA_TEMPLATE'!$B$2:$H$826,5,FALSE),"")</f>
        <v/>
      </c>
      <c r="G48" s="2" t="str">
        <f>IFERROR(VLOOKUP($C48,'_METADATA_TEMPLATE'!$B$2:$H$826,6,FALSE),"")</f>
        <v/>
      </c>
      <c r="H48" s="2" t="str">
        <f>IFERROR(VLOOKUP($C48,'_METADATA_TEMPLATE'!$B$2:$H$826,7,FALSE),"")</f>
        <v/>
      </c>
      <c r="I48" s="2" t="str">
        <f>IFERROR(VLOOKUP(C48,'_METADATA_DEFAULT'!$A:$B,2,FALSE),"")</f>
        <v/>
      </c>
    </row>
    <row r="49" ht="15.75" customHeight="1">
      <c r="A49" s="3" t="s">
        <v>78</v>
      </c>
      <c r="B49" s="3" t="s">
        <v>216</v>
      </c>
      <c r="C49" s="3" t="s">
        <v>216</v>
      </c>
      <c r="D49" s="3" t="str">
        <f>IFERROR(VLOOKUP($C49,'_METADATA_TEMPLATE'!$B$2:$H$826,2,FALSE),"")</f>
        <v/>
      </c>
      <c r="E49" s="3" t="str">
        <f>IFERROR(VLOOKUP($C49,'_METADATA_TEMPLATE'!$B$2:$H$826,4,FALSE),"")</f>
        <v/>
      </c>
      <c r="F49" s="3" t="str">
        <f>IFERROR(VLOOKUP($C49,'_METADATA_TEMPLATE'!$B$2:$H$826,5,FALSE),"")</f>
        <v/>
      </c>
      <c r="G49" s="3" t="str">
        <f>IFERROR(VLOOKUP($C49,'_METADATA_TEMPLATE'!$B$2:$H$826,6,FALSE),"")</f>
        <v/>
      </c>
      <c r="H49" s="3" t="str">
        <f>IFERROR(VLOOKUP($C49,'_METADATA_TEMPLATE'!$B$2:$H$826,7,FALSE),"")</f>
        <v/>
      </c>
      <c r="I49" s="3" t="str">
        <f>IFERROR(VLOOKUP(C49,'_METADATA_DEFAULT'!$A:$B,2,FALSE),"")</f>
        <v/>
      </c>
    </row>
    <row r="50" ht="15.75" customHeight="1">
      <c r="A50" s="2" t="s">
        <v>78</v>
      </c>
      <c r="B50" s="2" t="s">
        <v>218</v>
      </c>
      <c r="C50" s="2" t="s">
        <v>218</v>
      </c>
      <c r="D50" s="2" t="str">
        <f>IFERROR(VLOOKUP($C50,'_METADATA_TEMPLATE'!$B$2:$H$826,2,FALSE),"")</f>
        <v/>
      </c>
      <c r="E50" s="2" t="str">
        <f>IFERROR(VLOOKUP($C50,'_METADATA_TEMPLATE'!$B$2:$H$826,4,FALSE),"")</f>
        <v/>
      </c>
      <c r="F50" s="2" t="str">
        <f>IFERROR(VLOOKUP($C50,'_METADATA_TEMPLATE'!$B$2:$H$826,5,FALSE),"")</f>
        <v/>
      </c>
      <c r="G50" s="2" t="str">
        <f>IFERROR(VLOOKUP($C50,'_METADATA_TEMPLATE'!$B$2:$H$826,6,FALSE),"")</f>
        <v/>
      </c>
      <c r="H50" s="2" t="str">
        <f>IFERROR(VLOOKUP($C50,'_METADATA_TEMPLATE'!$B$2:$H$826,7,FALSE),"")</f>
        <v/>
      </c>
      <c r="I50" s="2" t="str">
        <f>IFERROR(VLOOKUP(C50,'_METADATA_DEFAULT'!$A:$B,2,FALSE),"")</f>
        <v/>
      </c>
    </row>
    <row r="51" ht="15.75" customHeight="1">
      <c r="A51" s="3" t="s">
        <v>78</v>
      </c>
      <c r="B51" s="3" t="s">
        <v>221</v>
      </c>
      <c r="C51" s="3" t="s">
        <v>221</v>
      </c>
      <c r="D51" s="3" t="str">
        <f>IFERROR(VLOOKUP($C51,'_METADATA_TEMPLATE'!$B$2:$H$826,2,FALSE),"")</f>
        <v/>
      </c>
      <c r="E51" s="3" t="str">
        <f>IFERROR(VLOOKUP($C51,'_METADATA_TEMPLATE'!$B$2:$H$826,4,FALSE),"")</f>
        <v/>
      </c>
      <c r="F51" s="3" t="str">
        <f>IFERROR(VLOOKUP($C51,'_METADATA_TEMPLATE'!$B$2:$H$826,5,FALSE),"")</f>
        <v/>
      </c>
      <c r="G51" s="3" t="str">
        <f>IFERROR(VLOOKUP($C51,'_METADATA_TEMPLATE'!$B$2:$H$826,6,FALSE),"")</f>
        <v/>
      </c>
      <c r="H51" s="3" t="str">
        <f>IFERROR(VLOOKUP($C51,'_METADATA_TEMPLATE'!$B$2:$H$826,7,FALSE),"")</f>
        <v/>
      </c>
      <c r="I51" s="3" t="str">
        <f>IFERROR(VLOOKUP(C51,'_METADATA_DEFAULT'!$A:$B,2,FALSE),"")</f>
        <v/>
      </c>
    </row>
    <row r="52" ht="15.75" customHeight="1">
      <c r="A52" s="2" t="s">
        <v>78</v>
      </c>
      <c r="B52" s="2" t="s">
        <v>225</v>
      </c>
      <c r="C52" s="2" t="s">
        <v>225</v>
      </c>
      <c r="D52" s="2" t="str">
        <f>IFERROR(VLOOKUP($C52,'_METADATA_TEMPLATE'!$B$2:$H$826,2,FALSE),"")</f>
        <v/>
      </c>
      <c r="E52" s="2" t="str">
        <f>IFERROR(VLOOKUP($C52,'_METADATA_TEMPLATE'!$B$2:$H$826,4,FALSE),"")</f>
        <v/>
      </c>
      <c r="F52" s="2" t="str">
        <f>IFERROR(VLOOKUP($C52,'_METADATA_TEMPLATE'!$B$2:$H$826,5,FALSE),"")</f>
        <v/>
      </c>
      <c r="G52" s="2" t="str">
        <f>IFERROR(VLOOKUP($C52,'_METADATA_TEMPLATE'!$B$2:$H$826,6,FALSE),"")</f>
        <v/>
      </c>
      <c r="H52" s="2" t="str">
        <f>IFERROR(VLOOKUP($C52,'_METADATA_TEMPLATE'!$B$2:$H$826,7,FALSE),"")</f>
        <v/>
      </c>
      <c r="I52" s="2" t="str">
        <f>IFERROR(VLOOKUP(C52,'_METADATA_DEFAULT'!$A:$B,2,FALSE),"")</f>
        <v/>
      </c>
    </row>
    <row r="53" ht="15.75" customHeight="1">
      <c r="A53" s="3" t="s">
        <v>78</v>
      </c>
      <c r="B53" s="3" t="s">
        <v>227</v>
      </c>
      <c r="C53" s="3" t="s">
        <v>227</v>
      </c>
      <c r="D53" s="3" t="str">
        <f>IFERROR(VLOOKUP($C53,'_METADATA_TEMPLATE'!$B$2:$H$826,2,FALSE),"")</f>
        <v/>
      </c>
      <c r="E53" s="3" t="str">
        <f>IFERROR(VLOOKUP($C53,'_METADATA_TEMPLATE'!$B$2:$H$826,4,FALSE),"")</f>
        <v/>
      </c>
      <c r="F53" s="3" t="str">
        <f>IFERROR(VLOOKUP($C53,'_METADATA_TEMPLATE'!$B$2:$H$826,5,FALSE),"")</f>
        <v/>
      </c>
      <c r="G53" s="3" t="str">
        <f>IFERROR(VLOOKUP($C53,'_METADATA_TEMPLATE'!$B$2:$H$826,6,FALSE),"")</f>
        <v/>
      </c>
      <c r="H53" s="3" t="str">
        <f>IFERROR(VLOOKUP($C53,'_METADATA_TEMPLATE'!$B$2:$H$826,7,FALSE),"")</f>
        <v/>
      </c>
      <c r="I53" s="3" t="str">
        <f>IFERROR(VLOOKUP(C53,'_METADATA_DEFAULT'!$A:$B,2,FALSE),"")</f>
        <v/>
      </c>
    </row>
    <row r="54" ht="15.75" customHeight="1">
      <c r="A54" s="2" t="s">
        <v>78</v>
      </c>
      <c r="B54" s="2" t="s">
        <v>230</v>
      </c>
      <c r="C54" s="2" t="s">
        <v>230</v>
      </c>
      <c r="D54" s="2" t="str">
        <f>IFERROR(VLOOKUP($C54,'_METADATA_TEMPLATE'!$B$2:$H$826,2,FALSE),"")</f>
        <v/>
      </c>
      <c r="E54" s="2" t="str">
        <f>IFERROR(VLOOKUP($C54,'_METADATA_TEMPLATE'!$B$2:$H$826,4,FALSE),"")</f>
        <v/>
      </c>
      <c r="F54" s="2" t="str">
        <f>IFERROR(VLOOKUP($C54,'_METADATA_TEMPLATE'!$B$2:$H$826,5,FALSE),"")</f>
        <v/>
      </c>
      <c r="G54" s="2" t="str">
        <f>IFERROR(VLOOKUP($C54,'_METADATA_TEMPLATE'!$B$2:$H$826,6,FALSE),"")</f>
        <v/>
      </c>
      <c r="H54" s="2" t="str">
        <f>IFERROR(VLOOKUP($C54,'_METADATA_TEMPLATE'!$B$2:$H$826,7,FALSE),"")</f>
        <v/>
      </c>
      <c r="I54" s="2" t="str">
        <f>IFERROR(VLOOKUP(C54,'_METADATA_DEFAULT'!$A:$B,2,FALSE),"")</f>
        <v/>
      </c>
    </row>
    <row r="55" ht="15.75" customHeight="1">
      <c r="A55" s="3" t="s">
        <v>78</v>
      </c>
      <c r="B55" s="3" t="s">
        <v>234</v>
      </c>
      <c r="C55" s="3" t="s">
        <v>234</v>
      </c>
      <c r="D55" s="3" t="str">
        <f>IFERROR(VLOOKUP($C55,'_METADATA_TEMPLATE'!$B$2:$H$826,2,FALSE),"")</f>
        <v/>
      </c>
      <c r="E55" s="3" t="str">
        <f>IFERROR(VLOOKUP($C55,'_METADATA_TEMPLATE'!$B$2:$H$826,4,FALSE),"")</f>
        <v/>
      </c>
      <c r="F55" s="3" t="str">
        <f>IFERROR(VLOOKUP($C55,'_METADATA_TEMPLATE'!$B$2:$H$826,5,FALSE),"")</f>
        <v/>
      </c>
      <c r="G55" s="3" t="str">
        <f>IFERROR(VLOOKUP($C55,'_METADATA_TEMPLATE'!$B$2:$H$826,6,FALSE),"")</f>
        <v/>
      </c>
      <c r="H55" s="3" t="str">
        <f>IFERROR(VLOOKUP($C55,'_METADATA_TEMPLATE'!$B$2:$H$826,7,FALSE),"")</f>
        <v/>
      </c>
      <c r="I55" s="3" t="str">
        <f>IFERROR(VLOOKUP(C55,'_METADATA_DEFAULT'!$A:$B,2,FALSE),"")</f>
        <v/>
      </c>
    </row>
    <row r="56" ht="15.75" customHeight="1">
      <c r="A56" s="2" t="s">
        <v>78</v>
      </c>
      <c r="B56" s="2" t="s">
        <v>75</v>
      </c>
      <c r="C56" s="2" t="s">
        <v>75</v>
      </c>
      <c r="D56" s="2" t="str">
        <f>IFERROR(VLOOKUP($C56,'_METADATA_TEMPLATE'!$B$2:$H$826,2,FALSE),"")</f>
        <v/>
      </c>
      <c r="E56" s="2" t="str">
        <f>IFERROR(VLOOKUP($C56,'_METADATA_TEMPLATE'!$B$2:$H$826,4,FALSE),"")</f>
        <v/>
      </c>
      <c r="F56" s="2" t="str">
        <f>IFERROR(VLOOKUP($C56,'_METADATA_TEMPLATE'!$B$2:$H$826,5,FALSE),"")</f>
        <v/>
      </c>
      <c r="G56" s="2" t="str">
        <f>IFERROR(VLOOKUP($C56,'_METADATA_TEMPLATE'!$B$2:$H$826,6,FALSE),"")</f>
        <v/>
      </c>
      <c r="H56" s="2" t="str">
        <f>IFERROR(VLOOKUP($C56,'_METADATA_TEMPLATE'!$B$2:$H$826,7,FALSE),"")</f>
        <v/>
      </c>
      <c r="I56" s="2" t="str">
        <f>IFERROR(VLOOKUP(C56,'_METADATA_DEFAULT'!$A:$B,2,FALSE),"")</f>
        <v>ID Periode Survei</v>
      </c>
    </row>
    <row r="57" ht="15.75" customHeight="1">
      <c r="A57" s="3" t="s">
        <v>78</v>
      </c>
      <c r="B57" s="3" t="s">
        <v>240</v>
      </c>
      <c r="C57" s="3" t="s">
        <v>240</v>
      </c>
      <c r="D57" s="3" t="str">
        <f>IFERROR(VLOOKUP($C57,'_METADATA_TEMPLATE'!$B$2:$H$826,2,FALSE),"")</f>
        <v/>
      </c>
      <c r="E57" s="3" t="str">
        <f>IFERROR(VLOOKUP($C57,'_METADATA_TEMPLATE'!$B$2:$H$826,4,FALSE),"")</f>
        <v/>
      </c>
      <c r="F57" s="3" t="str">
        <f>IFERROR(VLOOKUP($C57,'_METADATA_TEMPLATE'!$B$2:$H$826,5,FALSE),"")</f>
        <v/>
      </c>
      <c r="G57" s="3" t="str">
        <f>IFERROR(VLOOKUP($C57,'_METADATA_TEMPLATE'!$B$2:$H$826,6,FALSE),"")</f>
        <v/>
      </c>
      <c r="H57" s="3" t="str">
        <f>IFERROR(VLOOKUP($C57,'_METADATA_TEMPLATE'!$B$2:$H$826,7,FALSE),"")</f>
        <v/>
      </c>
      <c r="I57" s="3" t="str">
        <f>IFERROR(VLOOKUP(C57,'_METADATA_DEFAULT'!$A:$B,2,FALSE),"")</f>
        <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96</v>
      </c>
      <c r="B2" s="2" t="s">
        <v>97</v>
      </c>
      <c r="C2" s="2" t="s">
        <v>97</v>
      </c>
      <c r="D2" s="2">
        <f>IFERROR(VLOOKUP($C2,'_METADATA_TEMPLATE'!$B$2:$H$826,2,FALSE),"")</f>
        <v>70</v>
      </c>
      <c r="E2" s="2" t="str">
        <f>IFERROR(VLOOKUP($C2,'_METADATA_TEMPLATE'!$B$2:$H$826,4,FALSE),"")</f>
        <v>SE2026 - L BLOK I</v>
      </c>
      <c r="F2" s="2" t="str">
        <f>IFERROR(VLOOKUP($C2,'_METADATA_TEMPLATE'!$B$2:$H$826,5,FALSE),"")</f>
        <v>6</v>
      </c>
      <c r="G2" s="2" t="str">
        <f>IFERROR(VLOOKUP($C2,'_METADATA_TEMPLATE'!$B$2:$H$826,6,FALSE),"")</f>
        <v>Nama anggota keluarga</v>
      </c>
      <c r="H2" s="2" t="str">
        <f>IFERROR(VLOOKUP($C2,'_METADATA_TEMPLATE'!$B$2:$H$826,7,FALSE),"")</f>
        <v>Variable</v>
      </c>
      <c r="I2" s="2" t="str">
        <f>IFERROR(VLOOKUP(C2,'_METADATA_DEFAULT'!$A:$B,2,FALSE),"")</f>
        <v/>
      </c>
    </row>
    <row r="3">
      <c r="A3" s="3" t="s">
        <v>96</v>
      </c>
      <c r="B3" s="3" t="s">
        <v>101</v>
      </c>
      <c r="C3" s="3" t="s">
        <v>101</v>
      </c>
      <c r="D3" s="3">
        <f>IFERROR(VLOOKUP($C3,'_METADATA_TEMPLATE'!$B$2:$H$826,2,FALSE),"")</f>
        <v>72</v>
      </c>
      <c r="E3" s="3" t="str">
        <f>IFERROR(VLOOKUP($C3,'_METADATA_TEMPLATE'!$B$2:$H$826,4,FALSE),"")</f>
        <v>SE2026 - L BLOK I</v>
      </c>
      <c r="F3" s="3" t="str">
        <f>IFERROR(VLOOKUP($C3,'_METADATA_TEMPLATE'!$B$2:$H$826,5,FALSE),"")</f>
        <v>7</v>
      </c>
      <c r="G3" s="3" t="str">
        <f>IFERROR(VLOOKUP($C3,'_METADATA_TEMPLATE'!$B$2:$H$826,6,FALSE),"")</f>
        <v>Nomor Induk Kependudukan (NIK) $NAME$ (Tulis sesuai yang tercantum di KK atau KTP paling mutakhir)</v>
      </c>
      <c r="H3" s="3" t="str">
        <f>IFERROR(VLOOKUP($C3,'_METADATA_TEMPLATE'!$B$2:$H$826,7,FALSE),"")</f>
        <v>Text Input</v>
      </c>
      <c r="I3" s="3" t="str">
        <f>IFERROR(VLOOKUP(C3,'_METADATA_DEFAULT'!$A:$B,2,FALSE),"")</f>
        <v/>
      </c>
    </row>
    <row r="4">
      <c r="A4" s="2" t="s">
        <v>96</v>
      </c>
      <c r="B4" s="2" t="s">
        <v>105</v>
      </c>
      <c r="C4" s="2" t="s">
        <v>106</v>
      </c>
      <c r="D4" s="2">
        <f>IFERROR(VLOOKUP($C4,'_METADATA_TEMPLATE'!$B$2:$H$826,2,FALSE),"")</f>
        <v>74</v>
      </c>
      <c r="E4" s="2" t="str">
        <f>IFERROR(VLOOKUP($C4,'_METADATA_TEMPLATE'!$B$2:$H$826,4,FALSE),"")</f>
        <v>SE2026 - L BLOK I</v>
      </c>
      <c r="F4" s="2" t="str">
        <f>IFERROR(VLOOKUP($C4,'_METADATA_TEMPLATE'!$B$2:$H$826,5,FALSE),"")</f>
        <v>8</v>
      </c>
      <c r="G4" s="2" t="str">
        <f>IFERROR(VLOOKUP($C4,'_METADATA_TEMPLATE'!$B$2:$H$826,6,FALSE),"")</f>
        <v>Hubungan $NAME$ dengan Kepala Keluarga</v>
      </c>
      <c r="H4" s="2" t="str">
        <f>IFERROR(VLOOKUP($C4,'_METADATA_TEMPLATE'!$B$2:$H$826,7,FALSE),"")</f>
        <v>Radio Group</v>
      </c>
      <c r="I4" s="2" t="str">
        <f>IFERROR(VLOOKUP(C4,'_METADATA_DEFAULT'!$A:$B,2,FALSE),"")</f>
        <v/>
      </c>
    </row>
    <row r="5">
      <c r="A5" s="3" t="s">
        <v>96</v>
      </c>
      <c r="B5" s="3" t="s">
        <v>112</v>
      </c>
      <c r="C5" s="3" t="s">
        <v>106</v>
      </c>
      <c r="D5" s="3">
        <f>IFERROR(VLOOKUP($C5,'_METADATA_TEMPLATE'!$B$2:$H$826,2,FALSE),"")</f>
        <v>74</v>
      </c>
      <c r="E5" s="3" t="str">
        <f>IFERROR(VLOOKUP($C5,'_METADATA_TEMPLATE'!$B$2:$H$826,4,FALSE),"")</f>
        <v>SE2026 - L BLOK I</v>
      </c>
      <c r="F5" s="3" t="str">
        <f>IFERROR(VLOOKUP($C5,'_METADATA_TEMPLATE'!$B$2:$H$826,5,FALSE),"")</f>
        <v>8</v>
      </c>
      <c r="G5" s="3" t="str">
        <f>IFERROR(VLOOKUP($C5,'_METADATA_TEMPLATE'!$B$2:$H$826,6,FALSE),"")</f>
        <v>Hubungan $NAME$ dengan Kepala Keluarga</v>
      </c>
      <c r="H5" s="3" t="str">
        <f>IFERROR(VLOOKUP($C5,'_METADATA_TEMPLATE'!$B$2:$H$826,7,FALSE),"")</f>
        <v>Radio Group</v>
      </c>
      <c r="I5" s="3" t="str">
        <f>IFERROR(VLOOKUP(C5,'_METADATA_DEFAULT'!$A:$B,2,FALSE),"")</f>
        <v/>
      </c>
    </row>
    <row r="6">
      <c r="A6" s="2" t="s">
        <v>96</v>
      </c>
      <c r="B6" s="2" t="s">
        <v>115</v>
      </c>
      <c r="C6" s="2" t="s">
        <v>116</v>
      </c>
      <c r="D6" s="2">
        <f>IFERROR(VLOOKUP($C6,'_METADATA_TEMPLATE'!$B$2:$H$826,2,FALSE),"")</f>
        <v>75</v>
      </c>
      <c r="E6" s="2" t="str">
        <f>IFERROR(VLOOKUP($C6,'_METADATA_TEMPLATE'!$B$2:$H$826,4,FALSE),"")</f>
        <v>SE2026 - L BLOK I</v>
      </c>
      <c r="F6" s="2" t="str">
        <f>IFERROR(VLOOKUP($C6,'_METADATA_TEMPLATE'!$B$2:$H$826,5,FALSE),"")</f>
        <v>9</v>
      </c>
      <c r="G6" s="2" t="str">
        <f>IFERROR(VLOOKUP($C6,'_METADATA_TEMPLATE'!$B$2:$H$826,6,FALSE),"")</f>
        <v>a. Keberadaan (status) anggota keluarga saat ini</v>
      </c>
      <c r="H6" s="2" t="str">
        <f>IFERROR(VLOOKUP($C6,'_METADATA_TEMPLATE'!$B$2:$H$826,7,FALSE),"")</f>
        <v>Radio Group</v>
      </c>
      <c r="I6" s="2" t="str">
        <f>IFERROR(VLOOKUP(C6,'_METADATA_DEFAULT'!$A:$B,2,FALSE),"")</f>
        <v/>
      </c>
    </row>
    <row r="7">
      <c r="A7" s="3" t="s">
        <v>96</v>
      </c>
      <c r="B7" s="3" t="s">
        <v>120</v>
      </c>
      <c r="C7" s="3" t="s">
        <v>116</v>
      </c>
      <c r="D7" s="3">
        <f>IFERROR(VLOOKUP($C7,'_METADATA_TEMPLATE'!$B$2:$H$826,2,FALSE),"")</f>
        <v>75</v>
      </c>
      <c r="E7" s="3" t="str">
        <f>IFERROR(VLOOKUP($C7,'_METADATA_TEMPLATE'!$B$2:$H$826,4,FALSE),"")</f>
        <v>SE2026 - L BLOK I</v>
      </c>
      <c r="F7" s="3" t="str">
        <f>IFERROR(VLOOKUP($C7,'_METADATA_TEMPLATE'!$B$2:$H$826,5,FALSE),"")</f>
        <v>9</v>
      </c>
      <c r="G7" s="3" t="str">
        <f>IFERROR(VLOOKUP($C7,'_METADATA_TEMPLATE'!$B$2:$H$826,6,FALSE),"")</f>
        <v>a. Keberadaan (status) anggota keluarga saat ini</v>
      </c>
      <c r="H7" s="3" t="str">
        <f>IFERROR(VLOOKUP($C7,'_METADATA_TEMPLATE'!$B$2:$H$826,7,FALSE),"")</f>
        <v>Radio Group</v>
      </c>
      <c r="I7" s="3" t="str">
        <f>IFERROR(VLOOKUP(C7,'_METADATA_DEFAULT'!$A:$B,2,FALSE),"")</f>
        <v/>
      </c>
    </row>
    <row r="8">
      <c r="A8" s="2" t="s">
        <v>96</v>
      </c>
      <c r="B8" s="2" t="s">
        <v>124</v>
      </c>
      <c r="C8" s="2" t="s">
        <v>125</v>
      </c>
      <c r="D8" s="2">
        <f>IFERROR(VLOOKUP($C8,'_METADATA_TEMPLATE'!$B$2:$H$826,2,FALSE),"")</f>
        <v>76</v>
      </c>
      <c r="E8" s="2" t="str">
        <f>IFERROR(VLOOKUP($C8,'_METADATA_TEMPLATE'!$B$2:$H$826,4,FALSE),"")</f>
        <v>SE2026 - L BLOK I</v>
      </c>
      <c r="F8" s="2" t="str">
        <f>IFERROR(VLOOKUP($C8,'_METADATA_TEMPLATE'!$B$2:$H$826,5,FALSE),"")</f>
        <v>9</v>
      </c>
      <c r="G8" s="2" t="str">
        <f>IFERROR(VLOOKUP($C8,'_METADATA_TEMPLATE'!$B$2:$H$826,6,FALSE),"")</f>
        <v>b. Alamat domisili:</v>
      </c>
      <c r="H8" s="2" t="str">
        <f>IFERROR(VLOOKUP($C8,'_METADATA_TEMPLATE'!$B$2:$H$826,7,FALSE),"")</f>
        <v>Radio Group</v>
      </c>
      <c r="I8" s="2" t="str">
        <f>IFERROR(VLOOKUP(C8,'_METADATA_DEFAULT'!$A:$B,2,FALSE),"")</f>
        <v/>
      </c>
    </row>
    <row r="9">
      <c r="A9" s="3" t="s">
        <v>96</v>
      </c>
      <c r="B9" s="3" t="s">
        <v>127</v>
      </c>
      <c r="C9" s="3" t="s">
        <v>125</v>
      </c>
      <c r="D9" s="3">
        <f>IFERROR(VLOOKUP($C9,'_METADATA_TEMPLATE'!$B$2:$H$826,2,FALSE),"")</f>
        <v>76</v>
      </c>
      <c r="E9" s="3" t="str">
        <f>IFERROR(VLOOKUP($C9,'_METADATA_TEMPLATE'!$B$2:$H$826,4,FALSE),"")</f>
        <v>SE2026 - L BLOK I</v>
      </c>
      <c r="F9" s="3" t="str">
        <f>IFERROR(VLOOKUP($C9,'_METADATA_TEMPLATE'!$B$2:$H$826,5,FALSE),"")</f>
        <v>9</v>
      </c>
      <c r="G9" s="3" t="str">
        <f>IFERROR(VLOOKUP($C9,'_METADATA_TEMPLATE'!$B$2:$H$826,6,FALSE),"")</f>
        <v>b. Alamat domisili:</v>
      </c>
      <c r="H9" s="3" t="str">
        <f>IFERROR(VLOOKUP($C9,'_METADATA_TEMPLATE'!$B$2:$H$826,7,FALSE),"")</f>
        <v>Radio Group</v>
      </c>
      <c r="I9" s="3" t="str">
        <f>IFERROR(VLOOKUP(C9,'_METADATA_DEFAULT'!$A:$B,2,FALSE),"")</f>
        <v/>
      </c>
    </row>
    <row r="10">
      <c r="A10" s="2" t="s">
        <v>96</v>
      </c>
      <c r="B10" s="2" t="s">
        <v>130</v>
      </c>
      <c r="C10" s="2" t="s">
        <v>131</v>
      </c>
      <c r="D10" s="2">
        <f>IFERROR(VLOOKUP($C10,'_METADATA_TEMPLATE'!$B$2:$H$826,2,FALSE),"")</f>
        <v>77</v>
      </c>
      <c r="E10" s="2" t="str">
        <f>IFERROR(VLOOKUP($C10,'_METADATA_TEMPLATE'!$B$2:$H$826,4,FALSE),"")</f>
        <v>SE2026 - L BLOK I</v>
      </c>
      <c r="F10" s="2" t="str">
        <f>IFERROR(VLOOKUP($C10,'_METADATA_TEMPLATE'!$B$2:$H$826,5,FALSE),"")</f>
        <v>a</v>
      </c>
      <c r="G10" s="2" t="str">
        <f>IFERROR(VLOOKUP($C10,'_METADATA_TEMPLATE'!$B$2:$H$826,6,FALSE),"")</f>
        <v>Provinsi</v>
      </c>
      <c r="H10" s="2" t="str">
        <f>IFERROR(VLOOKUP($C10,'_METADATA_TEMPLATE'!$B$2:$H$826,7,FALSE),"")</f>
        <v>Select</v>
      </c>
      <c r="I10" s="2" t="str">
        <f>IFERROR(VLOOKUP(C10,'_METADATA_DEFAULT'!$A:$B,2,FALSE),"")</f>
        <v/>
      </c>
    </row>
    <row r="11">
      <c r="A11" s="3" t="s">
        <v>96</v>
      </c>
      <c r="B11" s="3" t="s">
        <v>133</v>
      </c>
      <c r="C11" s="3" t="s">
        <v>131</v>
      </c>
      <c r="D11" s="3">
        <f>IFERROR(VLOOKUP($C11,'_METADATA_TEMPLATE'!$B$2:$H$826,2,FALSE),"")</f>
        <v>77</v>
      </c>
      <c r="E11" s="3" t="str">
        <f>IFERROR(VLOOKUP($C11,'_METADATA_TEMPLATE'!$B$2:$H$826,4,FALSE),"")</f>
        <v>SE2026 - L BLOK I</v>
      </c>
      <c r="F11" s="3" t="str">
        <f>IFERROR(VLOOKUP($C11,'_METADATA_TEMPLATE'!$B$2:$H$826,5,FALSE),"")</f>
        <v>a</v>
      </c>
      <c r="G11" s="3" t="str">
        <f>IFERROR(VLOOKUP($C11,'_METADATA_TEMPLATE'!$B$2:$H$826,6,FALSE),"")</f>
        <v>Provinsi</v>
      </c>
      <c r="H11" s="3" t="str">
        <f>IFERROR(VLOOKUP($C11,'_METADATA_TEMPLATE'!$B$2:$H$826,7,FALSE),"")</f>
        <v>Select</v>
      </c>
      <c r="I11" s="3" t="str">
        <f>IFERROR(VLOOKUP(C11,'_METADATA_DEFAULT'!$A:$B,2,FALSE),"")</f>
        <v/>
      </c>
    </row>
    <row r="12">
      <c r="A12" s="2" t="s">
        <v>96</v>
      </c>
      <c r="B12" s="2" t="s">
        <v>138</v>
      </c>
      <c r="C12" s="2" t="s">
        <v>139</v>
      </c>
      <c r="D12" s="2">
        <f>IFERROR(VLOOKUP($C12,'_METADATA_TEMPLATE'!$B$2:$H$826,2,FALSE),"")</f>
        <v>78</v>
      </c>
      <c r="E12" s="2" t="str">
        <f>IFERROR(VLOOKUP($C12,'_METADATA_TEMPLATE'!$B$2:$H$826,4,FALSE),"")</f>
        <v>SE2026 - L BLOK I</v>
      </c>
      <c r="F12" s="2" t="str">
        <f>IFERROR(VLOOKUP($C12,'_METADATA_TEMPLATE'!$B$2:$H$826,5,FALSE),"")</f>
        <v>b</v>
      </c>
      <c r="G12" s="2" t="str">
        <f>IFERROR(VLOOKUP($C12,'_METADATA_TEMPLATE'!$B$2:$H$826,6,FALSE),"")</f>
        <v>Kabupaten/Kota</v>
      </c>
      <c r="H12" s="2" t="str">
        <f>IFERROR(VLOOKUP($C12,'_METADATA_TEMPLATE'!$B$2:$H$826,7,FALSE),"")</f>
        <v>Select</v>
      </c>
      <c r="I12" s="2" t="str">
        <f>IFERROR(VLOOKUP(C12,'_METADATA_DEFAULT'!$A:$B,2,FALSE),"")</f>
        <v/>
      </c>
    </row>
    <row r="13">
      <c r="A13" s="3" t="s">
        <v>96</v>
      </c>
      <c r="B13" s="3" t="s">
        <v>142</v>
      </c>
      <c r="C13" s="3" t="s">
        <v>139</v>
      </c>
      <c r="D13" s="3">
        <f>IFERROR(VLOOKUP($C13,'_METADATA_TEMPLATE'!$B$2:$H$826,2,FALSE),"")</f>
        <v>78</v>
      </c>
      <c r="E13" s="3" t="str">
        <f>IFERROR(VLOOKUP($C13,'_METADATA_TEMPLATE'!$B$2:$H$826,4,FALSE),"")</f>
        <v>SE2026 - L BLOK I</v>
      </c>
      <c r="F13" s="3" t="str">
        <f>IFERROR(VLOOKUP($C13,'_METADATA_TEMPLATE'!$B$2:$H$826,5,FALSE),"")</f>
        <v>b</v>
      </c>
      <c r="G13" s="3" t="str">
        <f>IFERROR(VLOOKUP($C13,'_METADATA_TEMPLATE'!$B$2:$H$826,6,FALSE),"")</f>
        <v>Kabupaten/Kota</v>
      </c>
      <c r="H13" s="3" t="str">
        <f>IFERROR(VLOOKUP($C13,'_METADATA_TEMPLATE'!$B$2:$H$826,7,FALSE),"")</f>
        <v>Select</v>
      </c>
      <c r="I13" s="3" t="str">
        <f>IFERROR(VLOOKUP(C13,'_METADATA_DEFAULT'!$A:$B,2,FALSE),"")</f>
        <v/>
      </c>
    </row>
    <row r="14">
      <c r="A14" s="2" t="s">
        <v>96</v>
      </c>
      <c r="B14" s="2" t="s">
        <v>146</v>
      </c>
      <c r="C14" s="2" t="s">
        <v>147</v>
      </c>
      <c r="D14" s="2">
        <f>IFERROR(VLOOKUP($C14,'_METADATA_TEMPLATE'!$B$2:$H$826,2,FALSE),"")</f>
        <v>79</v>
      </c>
      <c r="E14" s="2" t="str">
        <f>IFERROR(VLOOKUP($C14,'_METADATA_TEMPLATE'!$B$2:$H$826,4,FALSE),"")</f>
        <v>SE2026 - L BLOK I</v>
      </c>
      <c r="F14" s="2" t="str">
        <f>IFERROR(VLOOKUP($C14,'_METADATA_TEMPLATE'!$B$2:$H$826,5,FALSE),"")</f>
        <v>10LN</v>
      </c>
      <c r="G14" s="2" t="str">
        <f>IFERROR(VLOOKUP($C14,'_METADATA_TEMPLATE'!$B$2:$H$826,6,FALSE),"")</f>
        <v>Negara domisili Individu (luar negeri)</v>
      </c>
      <c r="H14" s="2" t="str">
        <f>IFERROR(VLOOKUP($C14,'_METADATA_TEMPLATE'!$B$2:$H$826,7,FALSE),"")</f>
        <v>Select</v>
      </c>
      <c r="I14" s="2" t="str">
        <f>IFERROR(VLOOKUP(C14,'_METADATA_DEFAULT'!$A:$B,2,FALSE),"")</f>
        <v/>
      </c>
    </row>
    <row r="15">
      <c r="A15" s="3" t="s">
        <v>96</v>
      </c>
      <c r="B15" s="3" t="s">
        <v>150</v>
      </c>
      <c r="C15" s="3" t="s">
        <v>147</v>
      </c>
      <c r="D15" s="3">
        <f>IFERROR(VLOOKUP($C15,'_METADATA_TEMPLATE'!$B$2:$H$826,2,FALSE),"")</f>
        <v>79</v>
      </c>
      <c r="E15" s="3" t="str">
        <f>IFERROR(VLOOKUP($C15,'_METADATA_TEMPLATE'!$B$2:$H$826,4,FALSE),"")</f>
        <v>SE2026 - L BLOK I</v>
      </c>
      <c r="F15" s="3" t="str">
        <f>IFERROR(VLOOKUP($C15,'_METADATA_TEMPLATE'!$B$2:$H$826,5,FALSE),"")</f>
        <v>10LN</v>
      </c>
      <c r="G15" s="3" t="str">
        <f>IFERROR(VLOOKUP($C15,'_METADATA_TEMPLATE'!$B$2:$H$826,6,FALSE),"")</f>
        <v>Negara domisili Individu (luar negeri)</v>
      </c>
      <c r="H15" s="3" t="str">
        <f>IFERROR(VLOOKUP($C15,'_METADATA_TEMPLATE'!$B$2:$H$826,7,FALSE),"")</f>
        <v>Select</v>
      </c>
      <c r="I15" s="3" t="str">
        <f>IFERROR(VLOOKUP(C15,'_METADATA_DEFAULT'!$A:$B,2,FALSE),"")</f>
        <v/>
      </c>
    </row>
    <row r="16">
      <c r="A16" s="2" t="s">
        <v>96</v>
      </c>
      <c r="B16" s="2" t="s">
        <v>154</v>
      </c>
      <c r="C16" s="2" t="s">
        <v>155</v>
      </c>
      <c r="D16" s="2">
        <f>IFERROR(VLOOKUP($C16,'_METADATA_TEMPLATE'!$B$2:$H$826,2,FALSE),"")</f>
        <v>80</v>
      </c>
      <c r="E16" s="2" t="str">
        <f>IFERROR(VLOOKUP($C16,'_METADATA_TEMPLATE'!$B$2:$H$826,4,FALSE),"")</f>
        <v>SE2026 - L BLOK I</v>
      </c>
      <c r="F16" s="2" t="str">
        <f>IFERROR(VLOOKUP($C16,'_METADATA_TEMPLATE'!$B$2:$H$826,5,FALSE),"")</f>
        <v>11</v>
      </c>
      <c r="G16" s="2" t="str">
        <f>IFERROR(VLOOKUP($C16,'_METADATA_TEMPLATE'!$B$2:$H$826,6,FALSE),"")</f>
        <v>Apakah status perkawinan $NAME$</v>
      </c>
      <c r="H16" s="2" t="str">
        <f>IFERROR(VLOOKUP($C16,'_METADATA_TEMPLATE'!$B$2:$H$826,7,FALSE),"")</f>
        <v>Radio Group</v>
      </c>
      <c r="I16" s="2" t="str">
        <f>IFERROR(VLOOKUP(C16,'_METADATA_DEFAULT'!$A:$B,2,FALSE),"")</f>
        <v/>
      </c>
    </row>
    <row r="17">
      <c r="A17" s="3" t="s">
        <v>96</v>
      </c>
      <c r="B17" s="3" t="s">
        <v>158</v>
      </c>
      <c r="C17" s="3" t="s">
        <v>155</v>
      </c>
      <c r="D17" s="3">
        <f>IFERROR(VLOOKUP($C17,'_METADATA_TEMPLATE'!$B$2:$H$826,2,FALSE),"")</f>
        <v>80</v>
      </c>
      <c r="E17" s="3" t="str">
        <f>IFERROR(VLOOKUP($C17,'_METADATA_TEMPLATE'!$B$2:$H$826,4,FALSE),"")</f>
        <v>SE2026 - L BLOK I</v>
      </c>
      <c r="F17" s="3" t="str">
        <f>IFERROR(VLOOKUP($C17,'_METADATA_TEMPLATE'!$B$2:$H$826,5,FALSE),"")</f>
        <v>11</v>
      </c>
      <c r="G17" s="3" t="str">
        <f>IFERROR(VLOOKUP($C17,'_METADATA_TEMPLATE'!$B$2:$H$826,6,FALSE),"")</f>
        <v>Apakah status perkawinan $NAME$</v>
      </c>
      <c r="H17" s="3" t="str">
        <f>IFERROR(VLOOKUP($C17,'_METADATA_TEMPLATE'!$B$2:$H$826,7,FALSE),"")</f>
        <v>Radio Group</v>
      </c>
      <c r="I17" s="3" t="str">
        <f>IFERROR(VLOOKUP(C17,'_METADATA_DEFAULT'!$A:$B,2,FALSE),"")</f>
        <v/>
      </c>
    </row>
    <row r="18">
      <c r="A18" s="2" t="s">
        <v>96</v>
      </c>
      <c r="B18" s="2" t="s">
        <v>163</v>
      </c>
      <c r="C18" s="2" t="s">
        <v>164</v>
      </c>
      <c r="D18" s="2">
        <f>IFERROR(VLOOKUP($C18,'_METADATA_TEMPLATE'!$B$2:$H$826,2,FALSE),"")</f>
        <v>81</v>
      </c>
      <c r="E18" s="2" t="str">
        <f>IFERROR(VLOOKUP($C18,'_METADATA_TEMPLATE'!$B$2:$H$826,4,FALSE),"")</f>
        <v>SE2026 - L BLOK I</v>
      </c>
      <c r="F18" s="2" t="str">
        <f>IFERROR(VLOOKUP($C18,'_METADATA_TEMPLATE'!$B$2:$H$826,5,FALSE),"")</f>
        <v>12</v>
      </c>
      <c r="G18" s="2" t="str">
        <f>IFERROR(VLOOKUP($C18,'_METADATA_TEMPLATE'!$B$2:$H$826,6,FALSE),"")</f>
        <v>Jenis Kelamin $NAME$</v>
      </c>
      <c r="H18" s="2" t="str">
        <f>IFERROR(VLOOKUP($C18,'_METADATA_TEMPLATE'!$B$2:$H$826,7,FALSE),"")</f>
        <v>Radio Group</v>
      </c>
      <c r="I18" s="2" t="str">
        <f>IFERROR(VLOOKUP(C18,'_METADATA_DEFAULT'!$A:$B,2,FALSE),"")</f>
        <v/>
      </c>
    </row>
    <row r="19">
      <c r="A19" s="3" t="s">
        <v>96</v>
      </c>
      <c r="B19" s="3" t="s">
        <v>167</v>
      </c>
      <c r="C19" s="3" t="s">
        <v>164</v>
      </c>
      <c r="D19" s="3">
        <f>IFERROR(VLOOKUP($C19,'_METADATA_TEMPLATE'!$B$2:$H$826,2,FALSE),"")</f>
        <v>81</v>
      </c>
      <c r="E19" s="3" t="str">
        <f>IFERROR(VLOOKUP($C19,'_METADATA_TEMPLATE'!$B$2:$H$826,4,FALSE),"")</f>
        <v>SE2026 - L BLOK I</v>
      </c>
      <c r="F19" s="3" t="str">
        <f>IFERROR(VLOOKUP($C19,'_METADATA_TEMPLATE'!$B$2:$H$826,5,FALSE),"")</f>
        <v>12</v>
      </c>
      <c r="G19" s="3" t="str">
        <f>IFERROR(VLOOKUP($C19,'_METADATA_TEMPLATE'!$B$2:$H$826,6,FALSE),"")</f>
        <v>Jenis Kelamin $NAME$</v>
      </c>
      <c r="H19" s="3" t="str">
        <f>IFERROR(VLOOKUP($C19,'_METADATA_TEMPLATE'!$B$2:$H$826,7,FALSE),"")</f>
        <v>Radio Group</v>
      </c>
      <c r="I19" s="3" t="str">
        <f>IFERROR(VLOOKUP(C19,'_METADATA_DEFAULT'!$A:$B,2,FALSE),"")</f>
        <v/>
      </c>
    </row>
    <row r="20">
      <c r="A20" s="2" t="s">
        <v>96</v>
      </c>
      <c r="B20" s="2" t="s">
        <v>171</v>
      </c>
      <c r="C20" s="2" t="s">
        <v>171</v>
      </c>
      <c r="D20" s="2">
        <f>IFERROR(VLOOKUP($C20,'_METADATA_TEMPLATE'!$B$2:$H$826,2,FALSE),"")</f>
        <v>82</v>
      </c>
      <c r="E20" s="2" t="str">
        <f>IFERROR(VLOOKUP($C20,'_METADATA_TEMPLATE'!$B$2:$H$826,4,FALSE),"")</f>
        <v>SE2026 - L BLOK I</v>
      </c>
      <c r="F20" s="2" t="str">
        <f>IFERROR(VLOOKUP($C20,'_METADATA_TEMPLATE'!$B$2:$H$826,5,FALSE),"")</f>
        <v/>
      </c>
      <c r="G20" s="2" t="str">
        <f>IFERROR(VLOOKUP($C20,'_METADATA_TEMPLATE'!$B$2:$H$826,6,FALSE),"")</f>
        <v>• Tanggal Lahir</v>
      </c>
      <c r="H20" s="2" t="str">
        <f>IFERROR(VLOOKUP($C20,'_METADATA_TEMPLATE'!$B$2:$H$826,7,FALSE),"")</f>
        <v>Text Input</v>
      </c>
      <c r="I20" s="2" t="str">
        <f>IFERROR(VLOOKUP(C20,'_METADATA_DEFAULT'!$A:$B,2,FALSE),"")</f>
        <v/>
      </c>
    </row>
    <row r="21" ht="15.75" customHeight="1">
      <c r="A21" s="3" t="s">
        <v>96</v>
      </c>
      <c r="B21" s="3" t="s">
        <v>174</v>
      </c>
      <c r="C21" s="3" t="s">
        <v>175</v>
      </c>
      <c r="D21" s="3">
        <f>IFERROR(VLOOKUP($C21,'_METADATA_TEMPLATE'!$B$2:$H$826,2,FALSE),"")</f>
        <v>83</v>
      </c>
      <c r="E21" s="3" t="str">
        <f>IFERROR(VLOOKUP($C21,'_METADATA_TEMPLATE'!$B$2:$H$826,4,FALSE),"")</f>
        <v>SE2026 - L BLOK I</v>
      </c>
      <c r="F21" s="3" t="str">
        <f>IFERROR(VLOOKUP($C21,'_METADATA_TEMPLATE'!$B$2:$H$826,5,FALSE),"")</f>
        <v/>
      </c>
      <c r="G21" s="3" t="str">
        <f>IFERROR(VLOOKUP($C21,'_METADATA_TEMPLATE'!$B$2:$H$826,6,FALSE),"")</f>
        <v>• Bulan Lahir</v>
      </c>
      <c r="H21" s="3" t="str">
        <f>IFERROR(VLOOKUP($C21,'_METADATA_TEMPLATE'!$B$2:$H$826,7,FALSE),"")</f>
        <v>Select</v>
      </c>
      <c r="I21" s="3" t="str">
        <f>IFERROR(VLOOKUP(C21,'_METADATA_DEFAULT'!$A:$B,2,FALSE),"")</f>
        <v/>
      </c>
    </row>
    <row r="22" ht="15.75" customHeight="1">
      <c r="A22" s="2" t="s">
        <v>96</v>
      </c>
      <c r="B22" s="2" t="s">
        <v>179</v>
      </c>
      <c r="C22" s="2" t="s">
        <v>175</v>
      </c>
      <c r="D22" s="2">
        <f>IFERROR(VLOOKUP($C22,'_METADATA_TEMPLATE'!$B$2:$H$826,2,FALSE),"")</f>
        <v>83</v>
      </c>
      <c r="E22" s="2" t="str">
        <f>IFERROR(VLOOKUP($C22,'_METADATA_TEMPLATE'!$B$2:$H$826,4,FALSE),"")</f>
        <v>SE2026 - L BLOK I</v>
      </c>
      <c r="F22" s="2" t="str">
        <f>IFERROR(VLOOKUP($C22,'_METADATA_TEMPLATE'!$B$2:$H$826,5,FALSE),"")</f>
        <v/>
      </c>
      <c r="G22" s="2" t="str">
        <f>IFERROR(VLOOKUP($C22,'_METADATA_TEMPLATE'!$B$2:$H$826,6,FALSE),"")</f>
        <v>• Bulan Lahir</v>
      </c>
      <c r="H22" s="2" t="str">
        <f>IFERROR(VLOOKUP($C22,'_METADATA_TEMPLATE'!$B$2:$H$826,7,FALSE),"")</f>
        <v>Select</v>
      </c>
      <c r="I22" s="2" t="str">
        <f>IFERROR(VLOOKUP(C22,'_METADATA_DEFAULT'!$A:$B,2,FALSE),"")</f>
        <v/>
      </c>
    </row>
    <row r="23" ht="15.75" customHeight="1">
      <c r="A23" s="3" t="s">
        <v>96</v>
      </c>
      <c r="B23" s="3" t="s">
        <v>182</v>
      </c>
      <c r="C23" s="3" t="s">
        <v>182</v>
      </c>
      <c r="D23" s="3">
        <f>IFERROR(VLOOKUP($C23,'_METADATA_TEMPLATE'!$B$2:$H$826,2,FALSE),"")</f>
        <v>84</v>
      </c>
      <c r="E23" s="3" t="str">
        <f>IFERROR(VLOOKUP($C23,'_METADATA_TEMPLATE'!$B$2:$H$826,4,FALSE),"")</f>
        <v>SE2026 - L BLOK I</v>
      </c>
      <c r="F23" s="3" t="str">
        <f>IFERROR(VLOOKUP($C23,'_METADATA_TEMPLATE'!$B$2:$H$826,5,FALSE),"")</f>
        <v/>
      </c>
      <c r="G23" s="3" t="str">
        <f>IFERROR(VLOOKUP($C23,'_METADATA_TEMPLATE'!$B$2:$H$826,6,FALSE),"")</f>
        <v>• Tahun Lahir</v>
      </c>
      <c r="H23" s="3" t="str">
        <f>IFERROR(VLOOKUP($C23,'_METADATA_TEMPLATE'!$B$2:$H$826,7,FALSE),"")</f>
        <v>Masking</v>
      </c>
      <c r="I23" s="3" t="str">
        <f>IFERROR(VLOOKUP(C23,'_METADATA_DEFAULT'!$A:$B,2,FALSE),"")</f>
        <v/>
      </c>
    </row>
    <row r="24" ht="15.75" customHeight="1">
      <c r="A24" s="2" t="s">
        <v>96</v>
      </c>
      <c r="B24" s="2" t="s">
        <v>185</v>
      </c>
      <c r="C24" s="2" t="s">
        <v>185</v>
      </c>
      <c r="D24" s="2">
        <f>IFERROR(VLOOKUP($C24,'_METADATA_TEMPLATE'!$B$2:$H$826,2,FALSE),"")</f>
        <v>85</v>
      </c>
      <c r="E24" s="2" t="str">
        <f>IFERROR(VLOOKUP($C24,'_METADATA_TEMPLATE'!$B$2:$H$826,4,FALSE),"")</f>
        <v>SE2026 - L BLOK I</v>
      </c>
      <c r="F24" s="2" t="str">
        <f>IFERROR(VLOOKUP($C24,'_METADATA_TEMPLATE'!$B$2:$H$826,5,FALSE),"")</f>
        <v>13</v>
      </c>
      <c r="G24" s="2" t="str">
        <f>IFERROR(VLOOKUP($C24,'_METADATA_TEMPLATE'!$B$2:$H$826,6,FALSE),"")</f>
        <v>b. Umur $NAME$</v>
      </c>
      <c r="H24" s="2" t="str">
        <f>IFERROR(VLOOKUP($C24,'_METADATA_TEMPLATE'!$B$2:$H$826,7,FALSE),"")</f>
        <v>Number</v>
      </c>
      <c r="I24" s="2" t="str">
        <f>IFERROR(VLOOKUP(C24,'_METADATA_DEFAULT'!$A:$B,2,FALSE),"")</f>
        <v/>
      </c>
    </row>
    <row r="25" ht="15.75" customHeight="1">
      <c r="A25" s="3" t="s">
        <v>96</v>
      </c>
      <c r="B25" s="3" t="s">
        <v>187</v>
      </c>
      <c r="C25" s="3" t="s">
        <v>189</v>
      </c>
      <c r="D25" s="3">
        <f>IFERROR(VLOOKUP($C25,'_METADATA_TEMPLATE'!$B$2:$H$826,2,FALSE),"")</f>
        <v>86</v>
      </c>
      <c r="E25" s="3" t="str">
        <f>IFERROR(VLOOKUP($C25,'_METADATA_TEMPLATE'!$B$2:$H$826,4,FALSE),"")</f>
        <v>SE2026 - L BLOK I</v>
      </c>
      <c r="F25" s="3" t="str">
        <f>IFERROR(VLOOKUP($C25,'_METADATA_TEMPLATE'!$B$2:$H$826,5,FALSE),"")</f>
        <v/>
      </c>
      <c r="G25" s="3" t="str">
        <f>IFERROR(VLOOKUP($C25,'_METADATA_TEMPLATE'!$B$2:$H$826,6,FALSE),"")</f>
        <v>Apakah $NAME$ memiliki usaha$label_berikut? $daftar_usaha</v>
      </c>
      <c r="H25" s="3" t="str">
        <f>IFERROR(VLOOKUP($C25,'_METADATA_TEMPLATE'!$B$2:$H$826,7,FALSE),"")</f>
        <v>Radio Group</v>
      </c>
      <c r="I25" s="3" t="str">
        <f>IFERROR(VLOOKUP(C25,'_METADATA_DEFAULT'!$A:$B,2,FALSE),"")</f>
        <v/>
      </c>
    </row>
    <row r="26" ht="15.75" customHeight="1">
      <c r="A26" s="2" t="s">
        <v>96</v>
      </c>
      <c r="B26" s="2" t="s">
        <v>192</v>
      </c>
      <c r="C26" s="2" t="s">
        <v>189</v>
      </c>
      <c r="D26" s="2">
        <f>IFERROR(VLOOKUP($C26,'_METADATA_TEMPLATE'!$B$2:$H$826,2,FALSE),"")</f>
        <v>86</v>
      </c>
      <c r="E26" s="2" t="str">
        <f>IFERROR(VLOOKUP($C26,'_METADATA_TEMPLATE'!$B$2:$H$826,4,FALSE),"")</f>
        <v>SE2026 - L BLOK I</v>
      </c>
      <c r="F26" s="2" t="str">
        <f>IFERROR(VLOOKUP($C26,'_METADATA_TEMPLATE'!$B$2:$H$826,5,FALSE),"")</f>
        <v/>
      </c>
      <c r="G26" s="2" t="str">
        <f>IFERROR(VLOOKUP($C26,'_METADATA_TEMPLATE'!$B$2:$H$826,6,FALSE),"")</f>
        <v>Apakah $NAME$ memiliki usaha$label_berikut? $daftar_usaha</v>
      </c>
      <c r="H26" s="2" t="str">
        <f>IFERROR(VLOOKUP($C26,'_METADATA_TEMPLATE'!$B$2:$H$826,7,FALSE),"")</f>
        <v>Radio Group</v>
      </c>
      <c r="I26" s="2" t="str">
        <f>IFERROR(VLOOKUP(C26,'_METADATA_DEFAULT'!$A:$B,2,FALSE),"")</f>
        <v/>
      </c>
    </row>
    <row r="27" ht="15.75" customHeight="1">
      <c r="A27" s="3" t="s">
        <v>96</v>
      </c>
      <c r="B27" s="3" t="s">
        <v>195</v>
      </c>
      <c r="C27" s="3" t="s">
        <v>195</v>
      </c>
      <c r="D27" s="3">
        <f>IFERROR(VLOOKUP($C27,'_METADATA_TEMPLATE'!$B$2:$H$826,2,FALSE),"")</f>
        <v>552</v>
      </c>
      <c r="E27" s="3" t="str">
        <f>IFERROR(VLOOKUP($C27,'_METADATA_TEMPLATE'!$B$2:$H$826,4,FALSE),"")</f>
        <v/>
      </c>
      <c r="F27" s="3" t="str">
        <f>IFERROR(VLOOKUP($C27,'_METADATA_TEMPLATE'!$B$2:$H$826,5,FALSE),"")</f>
        <v/>
      </c>
      <c r="G27" s="3" t="str">
        <f>IFERROR(VLOOKUP($C27,'_METADATA_TEMPLATE'!$B$2:$H$826,6,FALSE),"")</f>
        <v>Apakah prelist art</v>
      </c>
      <c r="H27" s="3" t="str">
        <f>IFERROR(VLOOKUP($C27,'_METADATA_TEMPLATE'!$B$2:$H$826,7,FALSE),"")</f>
        <v>Variable</v>
      </c>
      <c r="I27" s="3" t="str">
        <f>IFERROR(VLOOKUP(C27,'_METADATA_DEFAULT'!$A:$B,2,FALSE),"")</f>
        <v/>
      </c>
    </row>
    <row r="28" ht="15.75" customHeight="1">
      <c r="A28" s="2" t="s">
        <v>96</v>
      </c>
      <c r="B28" s="2" t="s">
        <v>199</v>
      </c>
      <c r="C28" s="2" t="s">
        <v>199</v>
      </c>
      <c r="D28" s="2">
        <f>IFERROR(VLOOKUP($C28,'_METADATA_TEMPLATE'!$B$2:$H$826,2,FALSE),"")</f>
        <v>553</v>
      </c>
      <c r="E28" s="2" t="str">
        <f>IFERROR(VLOOKUP($C28,'_METADATA_TEMPLATE'!$B$2:$H$826,4,FALSE),"")</f>
        <v/>
      </c>
      <c r="F28" s="2" t="str">
        <f>IFERROR(VLOOKUP($C28,'_METADATA_TEMPLATE'!$B$2:$H$826,5,FALSE),"")</f>
        <v>5</v>
      </c>
      <c r="G28" s="2" t="str">
        <f>IFERROR(VLOOKUP($C28,'_METADATA_TEMPLATE'!$B$2:$H$826,6,FALSE),"")</f>
        <v>Nomor urut anggota keluarga</v>
      </c>
      <c r="H28" s="2" t="str">
        <f>IFERROR(VLOOKUP($C28,'_METADATA_TEMPLATE'!$B$2:$H$826,7,FALSE),"")</f>
        <v>Variable</v>
      </c>
      <c r="I28" s="2" t="str">
        <f>IFERROR(VLOOKUP(C28,'_METADATA_DEFAULT'!$A:$B,2,FALSE),"")</f>
        <v/>
      </c>
    </row>
    <row r="29" ht="15.75" customHeight="1">
      <c r="A29" s="3" t="s">
        <v>96</v>
      </c>
      <c r="B29" s="3" t="s">
        <v>200</v>
      </c>
      <c r="C29" s="3" t="s">
        <v>200</v>
      </c>
      <c r="D29" s="3">
        <f>IFERROR(VLOOKUP($C29,'_METADATA_TEMPLATE'!$B$2:$H$826,2,FALSE),"")</f>
        <v>564</v>
      </c>
      <c r="E29" s="3" t="str">
        <f>IFERROR(VLOOKUP($C29,'_METADATA_TEMPLATE'!$B$2:$H$826,4,FALSE),"")</f>
        <v/>
      </c>
      <c r="F29" s="3" t="str">
        <f>IFERROR(VLOOKUP($C29,'_METADATA_TEMPLATE'!$B$2:$H$826,5,FALSE),"")</f>
        <v/>
      </c>
      <c r="G29" s="3" t="str">
        <f>IFERROR(VLOOKUP($C29,'_METADATA_TEMPLATE'!$B$2:$H$826,6,FALSE),"")</f>
        <v>nik_dtsen_prelist</v>
      </c>
      <c r="H29" s="3" t="str">
        <f>IFERROR(VLOOKUP($C29,'_METADATA_TEMPLATE'!$B$2:$H$826,7,FALSE),"")</f>
        <v>Variable</v>
      </c>
      <c r="I29" s="3" t="str">
        <f>IFERROR(VLOOKUP(C29,'_METADATA_DEFAULT'!$A:$B,2,FALSE),"")</f>
        <v/>
      </c>
    </row>
    <row r="30" ht="15.75" customHeight="1">
      <c r="A30" s="2" t="s">
        <v>96</v>
      </c>
      <c r="B30" s="2" t="s">
        <v>203</v>
      </c>
      <c r="C30" s="2" t="s">
        <v>203</v>
      </c>
      <c r="D30" s="2">
        <f>IFERROR(VLOOKUP($C30,'_METADATA_TEMPLATE'!$B$2:$H$826,2,FALSE),"")</f>
        <v>566</v>
      </c>
      <c r="E30" s="2" t="str">
        <f>IFERROR(VLOOKUP($C30,'_METADATA_TEMPLATE'!$B$2:$H$826,4,FALSE),"")</f>
        <v/>
      </c>
      <c r="F30" s="2" t="str">
        <f>IFERROR(VLOOKUP($C30,'_METADATA_TEMPLATE'!$B$2:$H$826,5,FALSE),"")</f>
        <v/>
      </c>
      <c r="G30" s="2" t="str">
        <f>IFERROR(VLOOKUP($C30,'_METADATA_TEMPLATE'!$B$2:$H$826,6,FALSE),"")</f>
        <v>Hasil Pengecekkan NIK</v>
      </c>
      <c r="H30" s="2" t="str">
        <f>IFERROR(VLOOKUP($C30,'_METADATA_TEMPLATE'!$B$2:$H$826,7,FALSE),"")</f>
        <v>Variable</v>
      </c>
      <c r="I30" s="2" t="str">
        <f>IFERROR(VLOOKUP(C30,'_METADATA_DEFAULT'!$A:$B,2,FALSE),"")</f>
        <v/>
      </c>
    </row>
    <row r="31" ht="15.75" customHeight="1">
      <c r="A31" s="3" t="s">
        <v>96</v>
      </c>
      <c r="B31" s="3" t="s">
        <v>207</v>
      </c>
      <c r="C31" s="3" t="s">
        <v>207</v>
      </c>
      <c r="D31" s="3">
        <f>IFERROR(VLOOKUP($C31,'_METADATA_TEMPLATE'!$B$2:$H$826,2,FALSE),"")</f>
        <v>580</v>
      </c>
      <c r="E31" s="3" t="str">
        <f>IFERROR(VLOOKUP($C31,'_METADATA_TEMPLATE'!$B$2:$H$826,4,FALSE),"")</f>
        <v/>
      </c>
      <c r="F31" s="3" t="str">
        <f>IFERROR(VLOOKUP($C31,'_METADATA_TEMPLATE'!$B$2:$H$826,5,FALSE),"")</f>
        <v/>
      </c>
      <c r="G31" s="3" t="str">
        <f>IFERROR(VLOOKUP($C31,'_METADATA_TEMPLATE'!$B$2:$H$826,6,FALSE),"")</f>
        <v>jk_prelist</v>
      </c>
      <c r="H31" s="3" t="str">
        <f>IFERROR(VLOOKUP($C31,'_METADATA_TEMPLATE'!$B$2:$H$826,7,FALSE),"")</f>
        <v>Variable</v>
      </c>
      <c r="I31" s="3" t="str">
        <f>IFERROR(VLOOKUP(C31,'_METADATA_DEFAULT'!$A:$B,2,FALSE),"")</f>
        <v/>
      </c>
    </row>
    <row r="32" ht="15.75" customHeight="1">
      <c r="A32" s="2" t="s">
        <v>96</v>
      </c>
      <c r="B32" s="2" t="s">
        <v>12</v>
      </c>
      <c r="C32" s="2" t="s">
        <v>12</v>
      </c>
      <c r="D32" s="2" t="str">
        <f>IFERROR(VLOOKUP($C32,'_METADATA_TEMPLATE'!$B$2:$H$826,2,FALSE),"")</f>
        <v/>
      </c>
      <c r="E32" s="2" t="str">
        <f>IFERROR(VLOOKUP($C32,'_METADATA_TEMPLATE'!$B$2:$H$826,4,FALSE),"")</f>
        <v/>
      </c>
      <c r="F32" s="2" t="str">
        <f>IFERROR(VLOOKUP($C32,'_METADATA_TEMPLATE'!$B$2:$H$826,5,FALSE),"")</f>
        <v/>
      </c>
      <c r="G32" s="2" t="str">
        <f>IFERROR(VLOOKUP($C32,'_METADATA_TEMPLATE'!$B$2:$H$826,6,FALSE),"")</f>
        <v/>
      </c>
      <c r="H32" s="2" t="str">
        <f>IFERROR(VLOOKUP($C32,'_METADATA_TEMPLATE'!$B$2:$H$826,7,FALSE),"")</f>
        <v/>
      </c>
      <c r="I32" s="2" t="str">
        <f>IFERROR(VLOOKUP(C32,'_METADATA_DEFAULT'!$A:$B,2,FALSE),"")</f>
        <v>ID Assignment</v>
      </c>
    </row>
    <row r="33" ht="15.75" customHeight="1">
      <c r="A33" s="3" t="s">
        <v>96</v>
      </c>
      <c r="B33" s="3" t="s">
        <v>132</v>
      </c>
      <c r="C33" s="3" t="s">
        <v>132</v>
      </c>
      <c r="D33" s="3" t="str">
        <f>IFERROR(VLOOKUP($C33,'_METADATA_TEMPLATE'!$B$2:$H$826,2,FALSE),"")</f>
        <v/>
      </c>
      <c r="E33" s="3" t="str">
        <f>IFERROR(VLOOKUP($C33,'_METADATA_TEMPLATE'!$B$2:$H$826,4,FALSE),"")</f>
        <v/>
      </c>
      <c r="F33" s="3" t="str">
        <f>IFERROR(VLOOKUP($C33,'_METADATA_TEMPLATE'!$B$2:$H$826,5,FALSE),"")</f>
        <v/>
      </c>
      <c r="G33" s="3" t="str">
        <f>IFERROR(VLOOKUP($C33,'_METADATA_TEMPLATE'!$B$2:$H$826,6,FALSE),"")</f>
        <v/>
      </c>
      <c r="H33" s="3" t="str">
        <f>IFERROR(VLOOKUP($C33,'_METADATA_TEMPLATE'!$B$2:$H$826,7,FALSE),"")</f>
        <v/>
      </c>
      <c r="I33" s="3" t="str">
        <f>IFERROR(VLOOKUP(C33,'_METADATA_DEFAULT'!$A:$B,2,FALSE),"")</f>
        <v>ID Roster/Nested Level 1</v>
      </c>
    </row>
    <row r="34" ht="15.75" customHeight="1">
      <c r="A34" s="2" t="s">
        <v>96</v>
      </c>
      <c r="B34" s="2" t="s">
        <v>18</v>
      </c>
      <c r="C34" s="2" t="s">
        <v>18</v>
      </c>
      <c r="D34" s="2" t="str">
        <f>IFERROR(VLOOKUP($C34,'_METADATA_TEMPLATE'!$B$2:$H$826,2,FALSE),"")</f>
        <v/>
      </c>
      <c r="E34" s="2" t="str">
        <f>IFERROR(VLOOKUP($C34,'_METADATA_TEMPLATE'!$B$2:$H$826,4,FALSE),"")</f>
        <v/>
      </c>
      <c r="F34" s="2" t="str">
        <f>IFERROR(VLOOKUP($C34,'_METADATA_TEMPLATE'!$B$2:$H$826,5,FALSE),"")</f>
        <v/>
      </c>
      <c r="G34" s="2" t="str">
        <f>IFERROR(VLOOKUP($C34,'_METADATA_TEMPLATE'!$B$2:$H$826,6,FALSE),"")</f>
        <v/>
      </c>
      <c r="H34" s="2" t="str">
        <f>IFERROR(VLOOKUP($C34,'_METADATA_TEMPLATE'!$B$2:$H$826,7,FALSE),"")</f>
        <v/>
      </c>
      <c r="I34" s="2" t="str">
        <f>IFERROR(VLOOKUP(C34,'_METADATA_DEFAULT'!$A:$B,2,FALSE),"")</f>
        <v>Kode Lengkap Provinsi</v>
      </c>
    </row>
    <row r="35" ht="15.75" customHeight="1">
      <c r="A35" s="3" t="s">
        <v>96</v>
      </c>
      <c r="B35" s="3" t="s">
        <v>20</v>
      </c>
      <c r="C35" s="3" t="s">
        <v>20</v>
      </c>
      <c r="D35" s="3" t="str">
        <f>IFERROR(VLOOKUP($C35,'_METADATA_TEMPLATE'!$B$2:$H$826,2,FALSE),"")</f>
        <v/>
      </c>
      <c r="E35" s="3" t="str">
        <f>IFERROR(VLOOKUP($C35,'_METADATA_TEMPLATE'!$B$2:$H$826,4,FALSE),"")</f>
        <v/>
      </c>
      <c r="F35" s="3" t="str">
        <f>IFERROR(VLOOKUP($C35,'_METADATA_TEMPLATE'!$B$2:$H$826,5,FALSE),"")</f>
        <v/>
      </c>
      <c r="G35" s="3" t="str">
        <f>IFERROR(VLOOKUP($C35,'_METADATA_TEMPLATE'!$B$2:$H$826,6,FALSE),"")</f>
        <v/>
      </c>
      <c r="H35" s="3" t="str">
        <f>IFERROR(VLOOKUP($C35,'_METADATA_TEMPLATE'!$B$2:$H$826,7,FALSE),"")</f>
        <v/>
      </c>
      <c r="I35" s="3" t="str">
        <f>IFERROR(VLOOKUP(C35,'_METADATA_DEFAULT'!$A:$B,2,FALSE),"")</f>
        <v>Kode Lengkap Kabupaten/Kota</v>
      </c>
    </row>
    <row r="36" ht="15.75" customHeight="1">
      <c r="A36" s="2" t="s">
        <v>96</v>
      </c>
      <c r="B36" s="2" t="s">
        <v>43</v>
      </c>
      <c r="C36" s="2" t="s">
        <v>43</v>
      </c>
      <c r="D36" s="2" t="str">
        <f>IFERROR(VLOOKUP($C36,'_METADATA_TEMPLATE'!$B$2:$H$826,2,FALSE),"")</f>
        <v/>
      </c>
      <c r="E36" s="2" t="str">
        <f>IFERROR(VLOOKUP($C36,'_METADATA_TEMPLATE'!$B$2:$H$826,4,FALSE),"")</f>
        <v/>
      </c>
      <c r="F36" s="2" t="str">
        <f>IFERROR(VLOOKUP($C36,'_METADATA_TEMPLATE'!$B$2:$H$826,5,FALSE),"")</f>
        <v/>
      </c>
      <c r="G36" s="2" t="str">
        <f>IFERROR(VLOOKUP($C36,'_METADATA_TEMPLATE'!$B$2:$H$826,6,FALSE),"")</f>
        <v/>
      </c>
      <c r="H36" s="2" t="str">
        <f>IFERROR(VLOOKUP($C36,'_METADATA_TEMPLATE'!$B$2:$H$826,7,FALSE),"")</f>
        <v/>
      </c>
      <c r="I36" s="2" t="str">
        <f>IFERROR(VLOOKUP(C36,'_METADATA_DEFAULT'!$A:$B,2,FALSE),"")</f>
        <v>Tanggal Assignment Terakhir Diubah</v>
      </c>
    </row>
    <row r="37" ht="15.75" customHeight="1">
      <c r="A37" s="3" t="s">
        <v>96</v>
      </c>
      <c r="B37" s="3" t="s">
        <v>21</v>
      </c>
      <c r="C37" s="3" t="s">
        <v>21</v>
      </c>
      <c r="D37" s="3" t="str">
        <f>IFERROR(VLOOKUP($C37,'_METADATA_TEMPLATE'!$B$2:$H$826,2,FALSE),"")</f>
        <v/>
      </c>
      <c r="E37" s="3" t="str">
        <f>IFERROR(VLOOKUP($C37,'_METADATA_TEMPLATE'!$B$2:$H$826,4,FALSE),"")</f>
        <v/>
      </c>
      <c r="F37" s="3" t="str">
        <f>IFERROR(VLOOKUP($C37,'_METADATA_TEMPLATE'!$B$2:$H$826,5,FALSE),"")</f>
        <v/>
      </c>
      <c r="G37" s="3" t="str">
        <f>IFERROR(VLOOKUP($C37,'_METADATA_TEMPLATE'!$B$2:$H$826,6,FALSE),"")</f>
        <v/>
      </c>
      <c r="H37" s="3" t="str">
        <f>IFERROR(VLOOKUP($C37,'_METADATA_TEMPLATE'!$B$2:$H$826,7,FALSE),"")</f>
        <v/>
      </c>
      <c r="I37" s="3" t="str">
        <f>IFERROR(VLOOKUP(C37,'_METADATA_DEFAULT'!$A:$B,2,FALSE),"")</f>
        <v>ID Assignment + Timestamp</v>
      </c>
    </row>
    <row r="38" ht="15.75" customHeight="1">
      <c r="A38" s="2" t="s">
        <v>96</v>
      </c>
      <c r="B38" s="2" t="s">
        <v>153</v>
      </c>
      <c r="C38" s="2" t="s">
        <v>153</v>
      </c>
      <c r="D38" s="2" t="str">
        <f>IFERROR(VLOOKUP($C38,'_METADATA_TEMPLATE'!$B$2:$H$826,2,FALSE),"")</f>
        <v/>
      </c>
      <c r="E38" s="2" t="str">
        <f>IFERROR(VLOOKUP($C38,'_METADATA_TEMPLATE'!$B$2:$H$826,4,FALSE),"")</f>
        <v/>
      </c>
      <c r="F38" s="2" t="str">
        <f>IFERROR(VLOOKUP($C38,'_METADATA_TEMPLATE'!$B$2:$H$826,5,FALSE),"")</f>
        <v/>
      </c>
      <c r="G38" s="2" t="str">
        <f>IFERROR(VLOOKUP($C38,'_METADATA_TEMPLATE'!$B$2:$H$826,6,FALSE),"")</f>
        <v/>
      </c>
      <c r="H38" s="2" t="str">
        <f>IFERROR(VLOOKUP($C38,'_METADATA_TEMPLATE'!$B$2:$H$826,7,FALSE),"")</f>
        <v/>
      </c>
      <c r="I38" s="2" t="str">
        <f>IFERROR(VLOOKUP(C38,'_METADATA_DEFAULT'!$A:$B,2,FALSE),"")</f>
        <v>1 = Assignment Tambahan, 0 = Assignment Prelist</v>
      </c>
    </row>
    <row r="39" ht="15.75" customHeight="1">
      <c r="A39" s="3" t="s">
        <v>96</v>
      </c>
      <c r="B39" s="3" t="s">
        <v>42</v>
      </c>
      <c r="C39" s="3" t="s">
        <v>42</v>
      </c>
      <c r="D39" s="3" t="str">
        <f>IFERROR(VLOOKUP($C39,'_METADATA_TEMPLATE'!$B$2:$H$826,2,FALSE),"")</f>
        <v/>
      </c>
      <c r="E39" s="3" t="str">
        <f>IFERROR(VLOOKUP($C39,'_METADATA_TEMPLATE'!$B$2:$H$826,4,FALSE),"")</f>
        <v/>
      </c>
      <c r="F39" s="3" t="str">
        <f>IFERROR(VLOOKUP($C39,'_METADATA_TEMPLATE'!$B$2:$H$826,5,FALSE),"")</f>
        <v/>
      </c>
      <c r="G39" s="3" t="str">
        <f>IFERROR(VLOOKUP($C39,'_METADATA_TEMPLATE'!$B$2:$H$826,6,FALSE),"")</f>
        <v/>
      </c>
      <c r="H39" s="3" t="str">
        <f>IFERROR(VLOOKUP($C39,'_METADATA_TEMPLATE'!$B$2:$H$826,7,FALSE),"")</f>
        <v/>
      </c>
      <c r="I39" s="3" t="str">
        <f>IFERROR(VLOOKUP(C39,'_METADATA_DEFAULT'!$A:$B,2,FALSE),"")</f>
        <v>Status Assignment</v>
      </c>
    </row>
    <row r="40" ht="15.75" customHeight="1">
      <c r="A40" s="2" t="s">
        <v>96</v>
      </c>
      <c r="B40" s="2" t="s">
        <v>47</v>
      </c>
      <c r="C40" s="2" t="s">
        <v>47</v>
      </c>
      <c r="D40" s="2" t="str">
        <f>IFERROR(VLOOKUP($C40,'_METADATA_TEMPLATE'!$B$2:$H$826,2,FALSE),"")</f>
        <v/>
      </c>
      <c r="E40" s="2" t="str">
        <f>IFERROR(VLOOKUP($C40,'_METADATA_TEMPLATE'!$B$2:$H$826,4,FALSE),"")</f>
        <v/>
      </c>
      <c r="F40" s="2" t="str">
        <f>IFERROR(VLOOKUP($C40,'_METADATA_TEMPLATE'!$B$2:$H$826,5,FALSE),"")</f>
        <v/>
      </c>
      <c r="G40" s="2" t="str">
        <f>IFERROR(VLOOKUP($C40,'_METADATA_TEMPLATE'!$B$2:$H$826,6,FALSE),"")</f>
        <v/>
      </c>
      <c r="H40" s="2" t="str">
        <f>IFERROR(VLOOKUP($C40,'_METADATA_TEMPLATE'!$B$2:$H$826,7,FALSE),"")</f>
        <v/>
      </c>
      <c r="I40" s="2" t="str">
        <f>IFERROR(VLOOKUP(C40,'_METADATA_DEFAULT'!$A:$B,2,FALSE),"")</f>
        <v>ID Status Assignment</v>
      </c>
    </row>
    <row r="41" ht="15.75" customHeight="1">
      <c r="A41" s="3" t="s">
        <v>96</v>
      </c>
      <c r="B41" s="3" t="s">
        <v>26</v>
      </c>
      <c r="C41" s="3" t="s">
        <v>26</v>
      </c>
      <c r="D41" s="3" t="str">
        <f>IFERROR(VLOOKUP($C41,'_METADATA_TEMPLATE'!$B$2:$H$826,2,FALSE),"")</f>
        <v/>
      </c>
      <c r="E41" s="3" t="str">
        <f>IFERROR(VLOOKUP($C41,'_METADATA_TEMPLATE'!$B$2:$H$826,4,FALSE),"")</f>
        <v/>
      </c>
      <c r="F41" s="3" t="str">
        <f>IFERROR(VLOOKUP($C41,'_METADATA_TEMPLATE'!$B$2:$H$826,5,FALSE),"")</f>
        <v/>
      </c>
      <c r="G41" s="3" t="str">
        <f>IFERROR(VLOOKUP($C41,'_METADATA_TEMPLATE'!$B$2:$H$826,6,FALSE),"")</f>
        <v/>
      </c>
      <c r="H41" s="3" t="str">
        <f>IFERROR(VLOOKUP($C41,'_METADATA_TEMPLATE'!$B$2:$H$826,7,FALSE),"")</f>
        <v/>
      </c>
      <c r="I41" s="3" t="str">
        <f>IFERROR(VLOOKUP(C41,'_METADATA_DEFAULT'!$A:$B,2,FALSE),"")</f>
        <v>1 = Aktif, 0 = Dihapus</v>
      </c>
    </row>
    <row r="42" ht="15.75" customHeight="1">
      <c r="A42" s="2" t="s">
        <v>96</v>
      </c>
      <c r="B42" s="2" t="s">
        <v>137</v>
      </c>
      <c r="C42" s="2" t="s">
        <v>137</v>
      </c>
      <c r="D42" s="2" t="str">
        <f>IFERROR(VLOOKUP($C42,'_METADATA_TEMPLATE'!$B$2:$H$826,2,FALSE),"")</f>
        <v/>
      </c>
      <c r="E42" s="2" t="str">
        <f>IFERROR(VLOOKUP($C42,'_METADATA_TEMPLATE'!$B$2:$H$826,4,FALSE),"")</f>
        <v/>
      </c>
      <c r="F42" s="2" t="str">
        <f>IFERROR(VLOOKUP($C42,'_METADATA_TEMPLATE'!$B$2:$H$826,5,FALSE),"")</f>
        <v/>
      </c>
      <c r="G42" s="2" t="str">
        <f>IFERROR(VLOOKUP($C42,'_METADATA_TEMPLATE'!$B$2:$H$826,6,FALSE),"")</f>
        <v/>
      </c>
      <c r="H42" s="2" t="str">
        <f>IFERROR(VLOOKUP($C42,'_METADATA_TEMPLATE'!$B$2:$H$826,7,FALSE),"")</f>
        <v/>
      </c>
      <c r="I42" s="2" t="str">
        <f>IFERROR(VLOOKUP(C42,'_METADATA_DEFAULT'!$A:$B,2,FALSE),"")</f>
        <v>Kode Provinsi</v>
      </c>
    </row>
    <row r="43" ht="15.75" customHeight="1">
      <c r="A43" s="3" t="s">
        <v>96</v>
      </c>
      <c r="B43" s="3" t="s">
        <v>141</v>
      </c>
      <c r="C43" s="3" t="s">
        <v>141</v>
      </c>
      <c r="D43" s="3" t="str">
        <f>IFERROR(VLOOKUP($C43,'_METADATA_TEMPLATE'!$B$2:$H$826,2,FALSE),"")</f>
        <v/>
      </c>
      <c r="E43" s="3" t="str">
        <f>IFERROR(VLOOKUP($C43,'_METADATA_TEMPLATE'!$B$2:$H$826,4,FALSE),"")</f>
        <v/>
      </c>
      <c r="F43" s="3" t="str">
        <f>IFERROR(VLOOKUP($C43,'_METADATA_TEMPLATE'!$B$2:$H$826,5,FALSE),"")</f>
        <v/>
      </c>
      <c r="G43" s="3" t="str">
        <f>IFERROR(VLOOKUP($C43,'_METADATA_TEMPLATE'!$B$2:$H$826,6,FALSE),"")</f>
        <v/>
      </c>
      <c r="H43" s="3" t="str">
        <f>IFERROR(VLOOKUP($C43,'_METADATA_TEMPLATE'!$B$2:$H$826,7,FALSE),"")</f>
        <v/>
      </c>
      <c r="I43" s="3" t="str">
        <f>IFERROR(VLOOKUP(C43,'_METADATA_DEFAULT'!$A:$B,2,FALSE),"")</f>
        <v>Provinsi</v>
      </c>
    </row>
    <row r="44" ht="15.75" customHeight="1">
      <c r="A44" s="2" t="s">
        <v>96</v>
      </c>
      <c r="B44" s="2" t="s">
        <v>145</v>
      </c>
      <c r="C44" s="2" t="s">
        <v>145</v>
      </c>
      <c r="D44" s="2" t="str">
        <f>IFERROR(VLOOKUP($C44,'_METADATA_TEMPLATE'!$B$2:$H$826,2,FALSE),"")</f>
        <v/>
      </c>
      <c r="E44" s="2" t="str">
        <f>IFERROR(VLOOKUP($C44,'_METADATA_TEMPLATE'!$B$2:$H$826,4,FALSE),"")</f>
        <v/>
      </c>
      <c r="F44" s="2" t="str">
        <f>IFERROR(VLOOKUP($C44,'_METADATA_TEMPLATE'!$B$2:$H$826,5,FALSE),"")</f>
        <v/>
      </c>
      <c r="G44" s="2" t="str">
        <f>IFERROR(VLOOKUP($C44,'_METADATA_TEMPLATE'!$B$2:$H$826,6,FALSE),"")</f>
        <v/>
      </c>
      <c r="H44" s="2" t="str">
        <f>IFERROR(VLOOKUP($C44,'_METADATA_TEMPLATE'!$B$2:$H$826,7,FALSE),"")</f>
        <v/>
      </c>
      <c r="I44" s="2" t="str">
        <f>IFERROR(VLOOKUP(C44,'_METADATA_DEFAULT'!$A:$B,2,FALSE),"")</f>
        <v/>
      </c>
    </row>
    <row r="45" ht="15.75" customHeight="1">
      <c r="A45" s="3" t="s">
        <v>96</v>
      </c>
      <c r="B45" s="3" t="s">
        <v>149</v>
      </c>
      <c r="C45" s="3" t="s">
        <v>149</v>
      </c>
      <c r="D45" s="3" t="str">
        <f>IFERROR(VLOOKUP($C45,'_METADATA_TEMPLATE'!$B$2:$H$826,2,FALSE),"")</f>
        <v/>
      </c>
      <c r="E45" s="3" t="str">
        <f>IFERROR(VLOOKUP($C45,'_METADATA_TEMPLATE'!$B$2:$H$826,4,FALSE),"")</f>
        <v/>
      </c>
      <c r="F45" s="3" t="str">
        <f>IFERROR(VLOOKUP($C45,'_METADATA_TEMPLATE'!$B$2:$H$826,5,FALSE),"")</f>
        <v/>
      </c>
      <c r="G45" s="3" t="str">
        <f>IFERROR(VLOOKUP($C45,'_METADATA_TEMPLATE'!$B$2:$H$826,6,FALSE),"")</f>
        <v/>
      </c>
      <c r="H45" s="3" t="str">
        <f>IFERROR(VLOOKUP($C45,'_METADATA_TEMPLATE'!$B$2:$H$826,7,FALSE),"")</f>
        <v/>
      </c>
      <c r="I45" s="3" t="str">
        <f>IFERROR(VLOOKUP(C45,'_METADATA_DEFAULT'!$A:$B,2,FALSE),"")</f>
        <v/>
      </c>
    </row>
    <row r="46" ht="15.75" customHeight="1">
      <c r="A46" s="2" t="s">
        <v>96</v>
      </c>
      <c r="B46" s="2" t="s">
        <v>157</v>
      </c>
      <c r="C46" s="2" t="s">
        <v>157</v>
      </c>
      <c r="D46" s="2" t="str">
        <f>IFERROR(VLOOKUP($C46,'_METADATA_TEMPLATE'!$B$2:$H$826,2,FALSE),"")</f>
        <v/>
      </c>
      <c r="E46" s="2" t="str">
        <f>IFERROR(VLOOKUP($C46,'_METADATA_TEMPLATE'!$B$2:$H$826,4,FALSE),"")</f>
        <v/>
      </c>
      <c r="F46" s="2" t="str">
        <f>IFERROR(VLOOKUP($C46,'_METADATA_TEMPLATE'!$B$2:$H$826,5,FALSE),"")</f>
        <v/>
      </c>
      <c r="G46" s="2" t="str">
        <f>IFERROR(VLOOKUP($C46,'_METADATA_TEMPLATE'!$B$2:$H$826,6,FALSE),"")</f>
        <v/>
      </c>
      <c r="H46" s="2" t="str">
        <f>IFERROR(VLOOKUP($C46,'_METADATA_TEMPLATE'!$B$2:$H$826,7,FALSE),"")</f>
        <v/>
      </c>
      <c r="I46" s="2" t="str">
        <f>IFERROR(VLOOKUP(C46,'_METADATA_DEFAULT'!$A:$B,2,FALSE),"")</f>
        <v/>
      </c>
    </row>
    <row r="47" ht="15.75" customHeight="1">
      <c r="A47" s="3" t="s">
        <v>96</v>
      </c>
      <c r="B47" s="3" t="s">
        <v>161</v>
      </c>
      <c r="C47" s="3" t="s">
        <v>161</v>
      </c>
      <c r="D47" s="3" t="str">
        <f>IFERROR(VLOOKUP($C47,'_METADATA_TEMPLATE'!$B$2:$H$826,2,FALSE),"")</f>
        <v/>
      </c>
      <c r="E47" s="3" t="str">
        <f>IFERROR(VLOOKUP($C47,'_METADATA_TEMPLATE'!$B$2:$H$826,4,FALSE),"")</f>
        <v/>
      </c>
      <c r="F47" s="3" t="str">
        <f>IFERROR(VLOOKUP($C47,'_METADATA_TEMPLATE'!$B$2:$H$826,5,FALSE),"")</f>
        <v/>
      </c>
      <c r="G47" s="3" t="str">
        <f>IFERROR(VLOOKUP($C47,'_METADATA_TEMPLATE'!$B$2:$H$826,6,FALSE),"")</f>
        <v/>
      </c>
      <c r="H47" s="3" t="str">
        <f>IFERROR(VLOOKUP($C47,'_METADATA_TEMPLATE'!$B$2:$H$826,7,FALSE),"")</f>
        <v/>
      </c>
      <c r="I47" s="3" t="str">
        <f>IFERROR(VLOOKUP(C47,'_METADATA_DEFAULT'!$A:$B,2,FALSE),"")</f>
        <v>Kode Kabupaten/Kota</v>
      </c>
    </row>
    <row r="48" ht="15.75" customHeight="1">
      <c r="A48" s="2" t="s">
        <v>96</v>
      </c>
      <c r="B48" s="2" t="s">
        <v>165</v>
      </c>
      <c r="C48" s="2" t="s">
        <v>165</v>
      </c>
      <c r="D48" s="2" t="str">
        <f>IFERROR(VLOOKUP($C48,'_METADATA_TEMPLATE'!$B$2:$H$826,2,FALSE),"")</f>
        <v/>
      </c>
      <c r="E48" s="2" t="str">
        <f>IFERROR(VLOOKUP($C48,'_METADATA_TEMPLATE'!$B$2:$H$826,4,FALSE),"")</f>
        <v/>
      </c>
      <c r="F48" s="2" t="str">
        <f>IFERROR(VLOOKUP($C48,'_METADATA_TEMPLATE'!$B$2:$H$826,5,FALSE),"")</f>
        <v/>
      </c>
      <c r="G48" s="2" t="str">
        <f>IFERROR(VLOOKUP($C48,'_METADATA_TEMPLATE'!$B$2:$H$826,6,FALSE),"")</f>
        <v/>
      </c>
      <c r="H48" s="2" t="str">
        <f>IFERROR(VLOOKUP($C48,'_METADATA_TEMPLATE'!$B$2:$H$826,7,FALSE),"")</f>
        <v/>
      </c>
      <c r="I48" s="2" t="str">
        <f>IFERROR(VLOOKUP(C48,'_METADATA_DEFAULT'!$A:$B,2,FALSE),"")</f>
        <v>Kabupaten/Kota</v>
      </c>
    </row>
    <row r="49" ht="15.75" customHeight="1">
      <c r="A49" s="3" t="s">
        <v>96</v>
      </c>
      <c r="B49" s="3" t="s">
        <v>168</v>
      </c>
      <c r="C49" s="3" t="s">
        <v>168</v>
      </c>
      <c r="D49" s="3" t="str">
        <f>IFERROR(VLOOKUP($C49,'_METADATA_TEMPLATE'!$B$2:$H$826,2,FALSE),"")</f>
        <v/>
      </c>
      <c r="E49" s="3" t="str">
        <f>IFERROR(VLOOKUP($C49,'_METADATA_TEMPLATE'!$B$2:$H$826,4,FALSE),"")</f>
        <v/>
      </c>
      <c r="F49" s="3" t="str">
        <f>IFERROR(VLOOKUP($C49,'_METADATA_TEMPLATE'!$B$2:$H$826,5,FALSE),"")</f>
        <v/>
      </c>
      <c r="G49" s="3" t="str">
        <f>IFERROR(VLOOKUP($C49,'_METADATA_TEMPLATE'!$B$2:$H$826,6,FALSE),"")</f>
        <v/>
      </c>
      <c r="H49" s="3" t="str">
        <f>IFERROR(VLOOKUP($C49,'_METADATA_TEMPLATE'!$B$2:$H$826,7,FALSE),"")</f>
        <v/>
      </c>
      <c r="I49" s="3" t="str">
        <f>IFERROR(VLOOKUP(C49,'_METADATA_DEFAULT'!$A:$B,2,FALSE),"")</f>
        <v>Kode Kecamatan</v>
      </c>
    </row>
    <row r="50" ht="15.75" customHeight="1">
      <c r="A50" s="2" t="s">
        <v>96</v>
      </c>
      <c r="B50" s="2" t="s">
        <v>172</v>
      </c>
      <c r="C50" s="2" t="s">
        <v>172</v>
      </c>
      <c r="D50" s="2" t="str">
        <f>IFERROR(VLOOKUP($C50,'_METADATA_TEMPLATE'!$B$2:$H$826,2,FALSE),"")</f>
        <v/>
      </c>
      <c r="E50" s="2" t="str">
        <f>IFERROR(VLOOKUP($C50,'_METADATA_TEMPLATE'!$B$2:$H$826,4,FALSE),"")</f>
        <v/>
      </c>
      <c r="F50" s="2" t="str">
        <f>IFERROR(VLOOKUP($C50,'_METADATA_TEMPLATE'!$B$2:$H$826,5,FALSE),"")</f>
        <v/>
      </c>
      <c r="G50" s="2" t="str">
        <f>IFERROR(VLOOKUP($C50,'_METADATA_TEMPLATE'!$B$2:$H$826,6,FALSE),"")</f>
        <v/>
      </c>
      <c r="H50" s="2" t="str">
        <f>IFERROR(VLOOKUP($C50,'_METADATA_TEMPLATE'!$B$2:$H$826,7,FALSE),"")</f>
        <v/>
      </c>
      <c r="I50" s="2" t="str">
        <f>IFERROR(VLOOKUP(C50,'_METADATA_DEFAULT'!$A:$B,2,FALSE),"")</f>
        <v>Kode Lengkap Kecamatan</v>
      </c>
    </row>
    <row r="51" ht="15.75" customHeight="1">
      <c r="A51" s="3" t="s">
        <v>96</v>
      </c>
      <c r="B51" s="3" t="s">
        <v>176</v>
      </c>
      <c r="C51" s="3" t="s">
        <v>176</v>
      </c>
      <c r="D51" s="3" t="str">
        <f>IFERROR(VLOOKUP($C51,'_METADATA_TEMPLATE'!$B$2:$H$826,2,FALSE),"")</f>
        <v/>
      </c>
      <c r="E51" s="3" t="str">
        <f>IFERROR(VLOOKUP($C51,'_METADATA_TEMPLATE'!$B$2:$H$826,4,FALSE),"")</f>
        <v/>
      </c>
      <c r="F51" s="3" t="str">
        <f>IFERROR(VLOOKUP($C51,'_METADATA_TEMPLATE'!$B$2:$H$826,5,FALSE),"")</f>
        <v/>
      </c>
      <c r="G51" s="3" t="str">
        <f>IFERROR(VLOOKUP($C51,'_METADATA_TEMPLATE'!$B$2:$H$826,6,FALSE),"")</f>
        <v/>
      </c>
      <c r="H51" s="3" t="str">
        <f>IFERROR(VLOOKUP($C51,'_METADATA_TEMPLATE'!$B$2:$H$826,7,FALSE),"")</f>
        <v/>
      </c>
      <c r="I51" s="3" t="str">
        <f>IFERROR(VLOOKUP(C51,'_METADATA_DEFAULT'!$A:$B,2,FALSE),"")</f>
        <v>Kecamatan</v>
      </c>
    </row>
    <row r="52" ht="15.75" customHeight="1">
      <c r="A52" s="2" t="s">
        <v>96</v>
      </c>
      <c r="B52" s="2" t="s">
        <v>181</v>
      </c>
      <c r="C52" s="2" t="s">
        <v>181</v>
      </c>
      <c r="D52" s="2" t="str">
        <f>IFERROR(VLOOKUP($C52,'_METADATA_TEMPLATE'!$B$2:$H$826,2,FALSE),"")</f>
        <v/>
      </c>
      <c r="E52" s="2" t="str">
        <f>IFERROR(VLOOKUP($C52,'_METADATA_TEMPLATE'!$B$2:$H$826,4,FALSE),"")</f>
        <v/>
      </c>
      <c r="F52" s="2" t="str">
        <f>IFERROR(VLOOKUP($C52,'_METADATA_TEMPLATE'!$B$2:$H$826,5,FALSE),"")</f>
        <v/>
      </c>
      <c r="G52" s="2" t="str">
        <f>IFERROR(VLOOKUP($C52,'_METADATA_TEMPLATE'!$B$2:$H$826,6,FALSE),"")</f>
        <v/>
      </c>
      <c r="H52" s="2" t="str">
        <f>IFERROR(VLOOKUP($C52,'_METADATA_TEMPLATE'!$B$2:$H$826,7,FALSE),"")</f>
        <v/>
      </c>
      <c r="I52" s="2" t="str">
        <f>IFERROR(VLOOKUP(C52,'_METADATA_DEFAULT'!$A:$B,2,FALSE),"")</f>
        <v>Kode Kelurahan/Desa</v>
      </c>
    </row>
    <row r="53" ht="15.75" customHeight="1">
      <c r="A53" s="3" t="s">
        <v>96</v>
      </c>
      <c r="B53" s="3" t="s">
        <v>184</v>
      </c>
      <c r="C53" s="3" t="s">
        <v>184</v>
      </c>
      <c r="D53" s="3" t="str">
        <f>IFERROR(VLOOKUP($C53,'_METADATA_TEMPLATE'!$B$2:$H$826,2,FALSE),"")</f>
        <v/>
      </c>
      <c r="E53" s="3" t="str">
        <f>IFERROR(VLOOKUP($C53,'_METADATA_TEMPLATE'!$B$2:$H$826,4,FALSE),"")</f>
        <v/>
      </c>
      <c r="F53" s="3" t="str">
        <f>IFERROR(VLOOKUP($C53,'_METADATA_TEMPLATE'!$B$2:$H$826,5,FALSE),"")</f>
        <v/>
      </c>
      <c r="G53" s="3" t="str">
        <f>IFERROR(VLOOKUP($C53,'_METADATA_TEMPLATE'!$B$2:$H$826,6,FALSE),"")</f>
        <v/>
      </c>
      <c r="H53" s="3" t="str">
        <f>IFERROR(VLOOKUP($C53,'_METADATA_TEMPLATE'!$B$2:$H$826,7,FALSE),"")</f>
        <v/>
      </c>
      <c r="I53" s="3" t="str">
        <f>IFERROR(VLOOKUP(C53,'_METADATA_DEFAULT'!$A:$B,2,FALSE),"")</f>
        <v>Kode Lengkap Kelurahan/Desa</v>
      </c>
    </row>
    <row r="54" ht="15.75" customHeight="1">
      <c r="A54" s="2" t="s">
        <v>96</v>
      </c>
      <c r="B54" s="2" t="s">
        <v>188</v>
      </c>
      <c r="C54" s="2" t="s">
        <v>188</v>
      </c>
      <c r="D54" s="2" t="str">
        <f>IFERROR(VLOOKUP($C54,'_METADATA_TEMPLATE'!$B$2:$H$826,2,FALSE),"")</f>
        <v/>
      </c>
      <c r="E54" s="2" t="str">
        <f>IFERROR(VLOOKUP($C54,'_METADATA_TEMPLATE'!$B$2:$H$826,4,FALSE),"")</f>
        <v/>
      </c>
      <c r="F54" s="2" t="str">
        <f>IFERROR(VLOOKUP($C54,'_METADATA_TEMPLATE'!$B$2:$H$826,5,FALSE),"")</f>
        <v/>
      </c>
      <c r="G54" s="2" t="str">
        <f>IFERROR(VLOOKUP($C54,'_METADATA_TEMPLATE'!$B$2:$H$826,6,FALSE),"")</f>
        <v/>
      </c>
      <c r="H54" s="2" t="str">
        <f>IFERROR(VLOOKUP($C54,'_METADATA_TEMPLATE'!$B$2:$H$826,7,FALSE),"")</f>
        <v/>
      </c>
      <c r="I54" s="2" t="str">
        <f>IFERROR(VLOOKUP(C54,'_METADATA_DEFAULT'!$A:$B,2,FALSE),"")</f>
        <v>Kelurahan/Desa</v>
      </c>
    </row>
    <row r="55" ht="15.75" customHeight="1">
      <c r="A55" s="3" t="s">
        <v>96</v>
      </c>
      <c r="B55" s="3" t="s">
        <v>191</v>
      </c>
      <c r="C55" s="3" t="s">
        <v>191</v>
      </c>
      <c r="D55" s="3" t="str">
        <f>IFERROR(VLOOKUP($C55,'_METADATA_TEMPLATE'!$B$2:$H$826,2,FALSE),"")</f>
        <v/>
      </c>
      <c r="E55" s="3" t="str">
        <f>IFERROR(VLOOKUP($C55,'_METADATA_TEMPLATE'!$B$2:$H$826,4,FALSE),"")</f>
        <v/>
      </c>
      <c r="F55" s="3" t="str">
        <f>IFERROR(VLOOKUP($C55,'_METADATA_TEMPLATE'!$B$2:$H$826,5,FALSE),"")</f>
        <v/>
      </c>
      <c r="G55" s="3" t="str">
        <f>IFERROR(VLOOKUP($C55,'_METADATA_TEMPLATE'!$B$2:$H$826,6,FALSE),"")</f>
        <v/>
      </c>
      <c r="H55" s="3" t="str">
        <f>IFERROR(VLOOKUP($C55,'_METADATA_TEMPLATE'!$B$2:$H$826,7,FALSE),"")</f>
        <v/>
      </c>
      <c r="I55" s="3" t="str">
        <f>IFERROR(VLOOKUP(C55,'_METADATA_DEFAULT'!$A:$B,2,FALSE),"")</f>
        <v>Kode SLS</v>
      </c>
    </row>
    <row r="56" ht="15.75" customHeight="1">
      <c r="A56" s="2" t="s">
        <v>96</v>
      </c>
      <c r="B56" s="2" t="s">
        <v>194</v>
      </c>
      <c r="C56" s="2" t="s">
        <v>194</v>
      </c>
      <c r="D56" s="2" t="str">
        <f>IFERROR(VLOOKUP($C56,'_METADATA_TEMPLATE'!$B$2:$H$826,2,FALSE),"")</f>
        <v/>
      </c>
      <c r="E56" s="2" t="str">
        <f>IFERROR(VLOOKUP($C56,'_METADATA_TEMPLATE'!$B$2:$H$826,4,FALSE),"")</f>
        <v/>
      </c>
      <c r="F56" s="2" t="str">
        <f>IFERROR(VLOOKUP($C56,'_METADATA_TEMPLATE'!$B$2:$H$826,5,FALSE),"")</f>
        <v/>
      </c>
      <c r="G56" s="2" t="str">
        <f>IFERROR(VLOOKUP($C56,'_METADATA_TEMPLATE'!$B$2:$H$826,6,FALSE),"")</f>
        <v/>
      </c>
      <c r="H56" s="2" t="str">
        <f>IFERROR(VLOOKUP($C56,'_METADATA_TEMPLATE'!$B$2:$H$826,7,FALSE),"")</f>
        <v/>
      </c>
      <c r="I56" s="2" t="str">
        <f>IFERROR(VLOOKUP(C56,'_METADATA_DEFAULT'!$A:$B,2,FALSE),"")</f>
        <v>Kode Lengkap SLS</v>
      </c>
    </row>
    <row r="57" ht="15.75" customHeight="1">
      <c r="A57" s="3" t="s">
        <v>96</v>
      </c>
      <c r="B57" s="3" t="s">
        <v>197</v>
      </c>
      <c r="C57" s="3" t="s">
        <v>197</v>
      </c>
      <c r="D57" s="3" t="str">
        <f>IFERROR(VLOOKUP($C57,'_METADATA_TEMPLATE'!$B$2:$H$826,2,FALSE),"")</f>
        <v/>
      </c>
      <c r="E57" s="3" t="str">
        <f>IFERROR(VLOOKUP($C57,'_METADATA_TEMPLATE'!$B$2:$H$826,4,FALSE),"")</f>
        <v/>
      </c>
      <c r="F57" s="3" t="str">
        <f>IFERROR(VLOOKUP($C57,'_METADATA_TEMPLATE'!$B$2:$H$826,5,FALSE),"")</f>
        <v/>
      </c>
      <c r="G57" s="3" t="str">
        <f>IFERROR(VLOOKUP($C57,'_METADATA_TEMPLATE'!$B$2:$H$826,6,FALSE),"")</f>
        <v/>
      </c>
      <c r="H57" s="3" t="str">
        <f>IFERROR(VLOOKUP($C57,'_METADATA_TEMPLATE'!$B$2:$H$826,7,FALSE),"")</f>
        <v/>
      </c>
      <c r="I57" s="3" t="str">
        <f>IFERROR(VLOOKUP(C57,'_METADATA_DEFAULT'!$A:$B,2,FALSE),"")</f>
        <v>SLS</v>
      </c>
    </row>
    <row r="58" ht="15.75" customHeight="1">
      <c r="A58" s="2" t="s">
        <v>96</v>
      </c>
      <c r="B58" s="2" t="s">
        <v>202</v>
      </c>
      <c r="C58" s="2" t="s">
        <v>202</v>
      </c>
      <c r="D58" s="2" t="str">
        <f>IFERROR(VLOOKUP($C58,'_METADATA_TEMPLATE'!$B$2:$H$826,2,FALSE),"")</f>
        <v/>
      </c>
      <c r="E58" s="2" t="str">
        <f>IFERROR(VLOOKUP($C58,'_METADATA_TEMPLATE'!$B$2:$H$826,4,FALSE),"")</f>
        <v/>
      </c>
      <c r="F58" s="2" t="str">
        <f>IFERROR(VLOOKUP($C58,'_METADATA_TEMPLATE'!$B$2:$H$826,5,FALSE),"")</f>
        <v/>
      </c>
      <c r="G58" s="2" t="str">
        <f>IFERROR(VLOOKUP($C58,'_METADATA_TEMPLATE'!$B$2:$H$826,6,FALSE),"")</f>
        <v/>
      </c>
      <c r="H58" s="2" t="str">
        <f>IFERROR(VLOOKUP($C58,'_METADATA_TEMPLATE'!$B$2:$H$826,7,FALSE),"")</f>
        <v/>
      </c>
      <c r="I58" s="2" t="str">
        <f>IFERROR(VLOOKUP(C58,'_METADATA_DEFAULT'!$A:$B,2,FALSE),"")</f>
        <v>Kode Sub-SLS</v>
      </c>
    </row>
    <row r="59" ht="15.75" customHeight="1">
      <c r="A59" s="3" t="s">
        <v>96</v>
      </c>
      <c r="B59" s="3" t="s">
        <v>206</v>
      </c>
      <c r="C59" s="3" t="s">
        <v>206</v>
      </c>
      <c r="D59" s="3" t="str">
        <f>IFERROR(VLOOKUP($C59,'_METADATA_TEMPLATE'!$B$2:$H$826,2,FALSE),"")</f>
        <v/>
      </c>
      <c r="E59" s="3" t="str">
        <f>IFERROR(VLOOKUP($C59,'_METADATA_TEMPLATE'!$B$2:$H$826,4,FALSE),"")</f>
        <v/>
      </c>
      <c r="F59" s="3" t="str">
        <f>IFERROR(VLOOKUP($C59,'_METADATA_TEMPLATE'!$B$2:$H$826,5,FALSE),"")</f>
        <v/>
      </c>
      <c r="G59" s="3" t="str">
        <f>IFERROR(VLOOKUP($C59,'_METADATA_TEMPLATE'!$B$2:$H$826,6,FALSE),"")</f>
        <v/>
      </c>
      <c r="H59" s="3" t="str">
        <f>IFERROR(VLOOKUP($C59,'_METADATA_TEMPLATE'!$B$2:$H$826,7,FALSE),"")</f>
        <v/>
      </c>
      <c r="I59" s="3" t="str">
        <f>IFERROR(VLOOKUP(C59,'_METADATA_DEFAULT'!$A:$B,2,FALSE),"")</f>
        <v>Kode Lengkap Sub-SLS</v>
      </c>
    </row>
    <row r="60" ht="15.75" customHeight="1">
      <c r="A60" s="2" t="s">
        <v>96</v>
      </c>
      <c r="B60" s="2" t="s">
        <v>209</v>
      </c>
      <c r="C60" s="2" t="s">
        <v>209</v>
      </c>
      <c r="D60" s="2" t="str">
        <f>IFERROR(VLOOKUP($C60,'_METADATA_TEMPLATE'!$B$2:$H$826,2,FALSE),"")</f>
        <v/>
      </c>
      <c r="E60" s="2" t="str">
        <f>IFERROR(VLOOKUP($C60,'_METADATA_TEMPLATE'!$B$2:$H$826,4,FALSE),"")</f>
        <v/>
      </c>
      <c r="F60" s="2" t="str">
        <f>IFERROR(VLOOKUP($C60,'_METADATA_TEMPLATE'!$B$2:$H$826,5,FALSE),"")</f>
        <v/>
      </c>
      <c r="G60" s="2" t="str">
        <f>IFERROR(VLOOKUP($C60,'_METADATA_TEMPLATE'!$B$2:$H$826,6,FALSE),"")</f>
        <v/>
      </c>
      <c r="H60" s="2" t="str">
        <f>IFERROR(VLOOKUP($C60,'_METADATA_TEMPLATE'!$B$2:$H$826,7,FALSE),"")</f>
        <v/>
      </c>
      <c r="I60" s="2" t="str">
        <f>IFERROR(VLOOKUP(C60,'_METADATA_DEFAULT'!$A:$B,2,FALSE),"")</f>
        <v>Sub-SLS</v>
      </c>
    </row>
    <row r="61" ht="15.75" customHeight="1">
      <c r="A61" s="3" t="s">
        <v>96</v>
      </c>
      <c r="B61" s="3" t="s">
        <v>211</v>
      </c>
      <c r="C61" s="3" t="s">
        <v>211</v>
      </c>
      <c r="D61" s="3" t="str">
        <f>IFERROR(VLOOKUP($C61,'_METADATA_TEMPLATE'!$B$2:$H$826,2,FALSE),"")</f>
        <v/>
      </c>
      <c r="E61" s="3" t="str">
        <f>IFERROR(VLOOKUP($C61,'_METADATA_TEMPLATE'!$B$2:$H$826,4,FALSE),"")</f>
        <v/>
      </c>
      <c r="F61" s="3" t="str">
        <f>IFERROR(VLOOKUP($C61,'_METADATA_TEMPLATE'!$B$2:$H$826,5,FALSE),"")</f>
        <v/>
      </c>
      <c r="G61" s="3" t="str">
        <f>IFERROR(VLOOKUP($C61,'_METADATA_TEMPLATE'!$B$2:$H$826,6,FALSE),"")</f>
        <v/>
      </c>
      <c r="H61" s="3" t="str">
        <f>IFERROR(VLOOKUP($C61,'_METADATA_TEMPLATE'!$B$2:$H$826,7,FALSE),"")</f>
        <v/>
      </c>
      <c r="I61" s="3" t="str">
        <f>IFERROR(VLOOKUP(C61,'_METADATA_DEFAULT'!$A:$B,2,FALSE),"")</f>
        <v/>
      </c>
    </row>
    <row r="62" ht="15.75" customHeight="1">
      <c r="A62" s="2" t="s">
        <v>96</v>
      </c>
      <c r="B62" s="2" t="s">
        <v>214</v>
      </c>
      <c r="C62" s="2" t="s">
        <v>214</v>
      </c>
      <c r="D62" s="2" t="str">
        <f>IFERROR(VLOOKUP($C62,'_METADATA_TEMPLATE'!$B$2:$H$826,2,FALSE),"")</f>
        <v/>
      </c>
      <c r="E62" s="2" t="str">
        <f>IFERROR(VLOOKUP($C62,'_METADATA_TEMPLATE'!$B$2:$H$826,4,FALSE),"")</f>
        <v/>
      </c>
      <c r="F62" s="2" t="str">
        <f>IFERROR(VLOOKUP($C62,'_METADATA_TEMPLATE'!$B$2:$H$826,5,FALSE),"")</f>
        <v/>
      </c>
      <c r="G62" s="2" t="str">
        <f>IFERROR(VLOOKUP($C62,'_METADATA_TEMPLATE'!$B$2:$H$826,6,FALSE),"")</f>
        <v/>
      </c>
      <c r="H62" s="2" t="str">
        <f>IFERROR(VLOOKUP($C62,'_METADATA_TEMPLATE'!$B$2:$H$826,7,FALSE),"")</f>
        <v/>
      </c>
      <c r="I62" s="2" t="str">
        <f>IFERROR(VLOOKUP(C62,'_METADATA_DEFAULT'!$A:$B,2,FALSE),"")</f>
        <v/>
      </c>
    </row>
    <row r="63" ht="15.75" customHeight="1">
      <c r="A63" s="3" t="s">
        <v>96</v>
      </c>
      <c r="B63" s="3" t="s">
        <v>216</v>
      </c>
      <c r="C63" s="3" t="s">
        <v>216</v>
      </c>
      <c r="D63" s="3" t="str">
        <f>IFERROR(VLOOKUP($C63,'_METADATA_TEMPLATE'!$B$2:$H$826,2,FALSE),"")</f>
        <v/>
      </c>
      <c r="E63" s="3" t="str">
        <f>IFERROR(VLOOKUP($C63,'_METADATA_TEMPLATE'!$B$2:$H$826,4,FALSE),"")</f>
        <v/>
      </c>
      <c r="F63" s="3" t="str">
        <f>IFERROR(VLOOKUP($C63,'_METADATA_TEMPLATE'!$B$2:$H$826,5,FALSE),"")</f>
        <v/>
      </c>
      <c r="G63" s="3" t="str">
        <f>IFERROR(VLOOKUP($C63,'_METADATA_TEMPLATE'!$B$2:$H$826,6,FALSE),"")</f>
        <v/>
      </c>
      <c r="H63" s="3" t="str">
        <f>IFERROR(VLOOKUP($C63,'_METADATA_TEMPLATE'!$B$2:$H$826,7,FALSE),"")</f>
        <v/>
      </c>
      <c r="I63" s="3" t="str">
        <f>IFERROR(VLOOKUP(C63,'_METADATA_DEFAULT'!$A:$B,2,FALSE),"")</f>
        <v/>
      </c>
    </row>
    <row r="64" ht="15.75" customHeight="1">
      <c r="A64" s="2" t="s">
        <v>96</v>
      </c>
      <c r="B64" s="2" t="s">
        <v>218</v>
      </c>
      <c r="C64" s="2" t="s">
        <v>218</v>
      </c>
      <c r="D64" s="2" t="str">
        <f>IFERROR(VLOOKUP($C64,'_METADATA_TEMPLATE'!$B$2:$H$826,2,FALSE),"")</f>
        <v/>
      </c>
      <c r="E64" s="2" t="str">
        <f>IFERROR(VLOOKUP($C64,'_METADATA_TEMPLATE'!$B$2:$H$826,4,FALSE),"")</f>
        <v/>
      </c>
      <c r="F64" s="2" t="str">
        <f>IFERROR(VLOOKUP($C64,'_METADATA_TEMPLATE'!$B$2:$H$826,5,FALSE),"")</f>
        <v/>
      </c>
      <c r="G64" s="2" t="str">
        <f>IFERROR(VLOOKUP($C64,'_METADATA_TEMPLATE'!$B$2:$H$826,6,FALSE),"")</f>
        <v/>
      </c>
      <c r="H64" s="2" t="str">
        <f>IFERROR(VLOOKUP($C64,'_METADATA_TEMPLATE'!$B$2:$H$826,7,FALSE),"")</f>
        <v/>
      </c>
      <c r="I64" s="2" t="str">
        <f>IFERROR(VLOOKUP(C64,'_METADATA_DEFAULT'!$A:$B,2,FALSE),"")</f>
        <v/>
      </c>
    </row>
    <row r="65" ht="15.75" customHeight="1">
      <c r="A65" s="3" t="s">
        <v>96</v>
      </c>
      <c r="B65" s="3" t="s">
        <v>221</v>
      </c>
      <c r="C65" s="3" t="s">
        <v>221</v>
      </c>
      <c r="D65" s="3" t="str">
        <f>IFERROR(VLOOKUP($C65,'_METADATA_TEMPLATE'!$B$2:$H$826,2,FALSE),"")</f>
        <v/>
      </c>
      <c r="E65" s="3" t="str">
        <f>IFERROR(VLOOKUP($C65,'_METADATA_TEMPLATE'!$B$2:$H$826,4,FALSE),"")</f>
        <v/>
      </c>
      <c r="F65" s="3" t="str">
        <f>IFERROR(VLOOKUP($C65,'_METADATA_TEMPLATE'!$B$2:$H$826,5,FALSE),"")</f>
        <v/>
      </c>
      <c r="G65" s="3" t="str">
        <f>IFERROR(VLOOKUP($C65,'_METADATA_TEMPLATE'!$B$2:$H$826,6,FALSE),"")</f>
        <v/>
      </c>
      <c r="H65" s="3" t="str">
        <f>IFERROR(VLOOKUP($C65,'_METADATA_TEMPLATE'!$B$2:$H$826,7,FALSE),"")</f>
        <v/>
      </c>
      <c r="I65" s="3" t="str">
        <f>IFERROR(VLOOKUP(C65,'_METADATA_DEFAULT'!$A:$B,2,FALSE),"")</f>
        <v/>
      </c>
    </row>
    <row r="66" ht="15.75" customHeight="1">
      <c r="A66" s="2" t="s">
        <v>96</v>
      </c>
      <c r="B66" s="2" t="s">
        <v>225</v>
      </c>
      <c r="C66" s="2" t="s">
        <v>225</v>
      </c>
      <c r="D66" s="2" t="str">
        <f>IFERROR(VLOOKUP($C66,'_METADATA_TEMPLATE'!$B$2:$H$826,2,FALSE),"")</f>
        <v/>
      </c>
      <c r="E66" s="2" t="str">
        <f>IFERROR(VLOOKUP($C66,'_METADATA_TEMPLATE'!$B$2:$H$826,4,FALSE),"")</f>
        <v/>
      </c>
      <c r="F66" s="2" t="str">
        <f>IFERROR(VLOOKUP($C66,'_METADATA_TEMPLATE'!$B$2:$H$826,5,FALSE),"")</f>
        <v/>
      </c>
      <c r="G66" s="2" t="str">
        <f>IFERROR(VLOOKUP($C66,'_METADATA_TEMPLATE'!$B$2:$H$826,6,FALSE),"")</f>
        <v/>
      </c>
      <c r="H66" s="2" t="str">
        <f>IFERROR(VLOOKUP($C66,'_METADATA_TEMPLATE'!$B$2:$H$826,7,FALSE),"")</f>
        <v/>
      </c>
      <c r="I66" s="2" t="str">
        <f>IFERROR(VLOOKUP(C66,'_METADATA_DEFAULT'!$A:$B,2,FALSE),"")</f>
        <v/>
      </c>
    </row>
    <row r="67" ht="15.75" customHeight="1">
      <c r="A67" s="3" t="s">
        <v>96</v>
      </c>
      <c r="B67" s="3" t="s">
        <v>227</v>
      </c>
      <c r="C67" s="3" t="s">
        <v>227</v>
      </c>
      <c r="D67" s="3" t="str">
        <f>IFERROR(VLOOKUP($C67,'_METADATA_TEMPLATE'!$B$2:$H$826,2,FALSE),"")</f>
        <v/>
      </c>
      <c r="E67" s="3" t="str">
        <f>IFERROR(VLOOKUP($C67,'_METADATA_TEMPLATE'!$B$2:$H$826,4,FALSE),"")</f>
        <v/>
      </c>
      <c r="F67" s="3" t="str">
        <f>IFERROR(VLOOKUP($C67,'_METADATA_TEMPLATE'!$B$2:$H$826,5,FALSE),"")</f>
        <v/>
      </c>
      <c r="G67" s="3" t="str">
        <f>IFERROR(VLOOKUP($C67,'_METADATA_TEMPLATE'!$B$2:$H$826,6,FALSE),"")</f>
        <v/>
      </c>
      <c r="H67" s="3" t="str">
        <f>IFERROR(VLOOKUP($C67,'_METADATA_TEMPLATE'!$B$2:$H$826,7,FALSE),"")</f>
        <v/>
      </c>
      <c r="I67" s="3" t="str">
        <f>IFERROR(VLOOKUP(C67,'_METADATA_DEFAULT'!$A:$B,2,FALSE),"")</f>
        <v/>
      </c>
    </row>
    <row r="68" ht="15.75" customHeight="1">
      <c r="A68" s="2" t="s">
        <v>96</v>
      </c>
      <c r="B68" s="2" t="s">
        <v>230</v>
      </c>
      <c r="C68" s="2" t="s">
        <v>230</v>
      </c>
      <c r="D68" s="2" t="str">
        <f>IFERROR(VLOOKUP($C68,'_METADATA_TEMPLATE'!$B$2:$H$826,2,FALSE),"")</f>
        <v/>
      </c>
      <c r="E68" s="2" t="str">
        <f>IFERROR(VLOOKUP($C68,'_METADATA_TEMPLATE'!$B$2:$H$826,4,FALSE),"")</f>
        <v/>
      </c>
      <c r="F68" s="2" t="str">
        <f>IFERROR(VLOOKUP($C68,'_METADATA_TEMPLATE'!$B$2:$H$826,5,FALSE),"")</f>
        <v/>
      </c>
      <c r="G68" s="2" t="str">
        <f>IFERROR(VLOOKUP($C68,'_METADATA_TEMPLATE'!$B$2:$H$826,6,FALSE),"")</f>
        <v/>
      </c>
      <c r="H68" s="2" t="str">
        <f>IFERROR(VLOOKUP($C68,'_METADATA_TEMPLATE'!$B$2:$H$826,7,FALSE),"")</f>
        <v/>
      </c>
      <c r="I68" s="2" t="str">
        <f>IFERROR(VLOOKUP(C68,'_METADATA_DEFAULT'!$A:$B,2,FALSE),"")</f>
        <v/>
      </c>
    </row>
    <row r="69" ht="15.75" customHeight="1">
      <c r="A69" s="3" t="s">
        <v>96</v>
      </c>
      <c r="B69" s="3" t="s">
        <v>234</v>
      </c>
      <c r="C69" s="3" t="s">
        <v>234</v>
      </c>
      <c r="D69" s="3" t="str">
        <f>IFERROR(VLOOKUP($C69,'_METADATA_TEMPLATE'!$B$2:$H$826,2,FALSE),"")</f>
        <v/>
      </c>
      <c r="E69" s="3" t="str">
        <f>IFERROR(VLOOKUP($C69,'_METADATA_TEMPLATE'!$B$2:$H$826,4,FALSE),"")</f>
        <v/>
      </c>
      <c r="F69" s="3" t="str">
        <f>IFERROR(VLOOKUP($C69,'_METADATA_TEMPLATE'!$B$2:$H$826,5,FALSE),"")</f>
        <v/>
      </c>
      <c r="G69" s="3" t="str">
        <f>IFERROR(VLOOKUP($C69,'_METADATA_TEMPLATE'!$B$2:$H$826,6,FALSE),"")</f>
        <v/>
      </c>
      <c r="H69" s="3" t="str">
        <f>IFERROR(VLOOKUP($C69,'_METADATA_TEMPLATE'!$B$2:$H$826,7,FALSE),"")</f>
        <v/>
      </c>
      <c r="I69" s="3" t="str">
        <f>IFERROR(VLOOKUP(C69,'_METADATA_DEFAULT'!$A:$B,2,FALSE),"")</f>
        <v/>
      </c>
    </row>
    <row r="70" ht="15.75" customHeight="1">
      <c r="A70" s="2" t="s">
        <v>96</v>
      </c>
      <c r="B70" s="2" t="s">
        <v>75</v>
      </c>
      <c r="C70" s="2" t="s">
        <v>75</v>
      </c>
      <c r="D70" s="2" t="str">
        <f>IFERROR(VLOOKUP($C70,'_METADATA_TEMPLATE'!$B$2:$H$826,2,FALSE),"")</f>
        <v/>
      </c>
      <c r="E70" s="2" t="str">
        <f>IFERROR(VLOOKUP($C70,'_METADATA_TEMPLATE'!$B$2:$H$826,4,FALSE),"")</f>
        <v/>
      </c>
      <c r="F70" s="2" t="str">
        <f>IFERROR(VLOOKUP($C70,'_METADATA_TEMPLATE'!$B$2:$H$826,5,FALSE),"")</f>
        <v/>
      </c>
      <c r="G70" s="2" t="str">
        <f>IFERROR(VLOOKUP($C70,'_METADATA_TEMPLATE'!$B$2:$H$826,6,FALSE),"")</f>
        <v/>
      </c>
      <c r="H70" s="2" t="str">
        <f>IFERROR(VLOOKUP($C70,'_METADATA_TEMPLATE'!$B$2:$H$826,7,FALSE),"")</f>
        <v/>
      </c>
      <c r="I70" s="2" t="str">
        <f>IFERROR(VLOOKUP(C70,'_METADATA_DEFAULT'!$A:$B,2,FALSE),"")</f>
        <v>ID Periode Survei</v>
      </c>
    </row>
    <row r="71" ht="15.75" customHeight="1">
      <c r="A71" s="3" t="s">
        <v>96</v>
      </c>
      <c r="B71" s="3" t="s">
        <v>240</v>
      </c>
      <c r="C71" s="3" t="s">
        <v>240</v>
      </c>
      <c r="D71" s="3" t="str">
        <f>IFERROR(VLOOKUP($C71,'_METADATA_TEMPLATE'!$B$2:$H$826,2,FALSE),"")</f>
        <v/>
      </c>
      <c r="E71" s="3" t="str">
        <f>IFERROR(VLOOKUP($C71,'_METADATA_TEMPLATE'!$B$2:$H$826,4,FALSE),"")</f>
        <v/>
      </c>
      <c r="F71" s="3" t="str">
        <f>IFERROR(VLOOKUP($C71,'_METADATA_TEMPLATE'!$B$2:$H$826,5,FALSE),"")</f>
        <v/>
      </c>
      <c r="G71" s="3" t="str">
        <f>IFERROR(VLOOKUP($C71,'_METADATA_TEMPLATE'!$B$2:$H$826,6,FALSE),"")</f>
        <v/>
      </c>
      <c r="H71" s="3" t="str">
        <f>IFERROR(VLOOKUP($C71,'_METADATA_TEMPLATE'!$B$2:$H$826,7,FALSE),"")</f>
        <v/>
      </c>
      <c r="I71" s="3" t="str">
        <f>IFERROR(VLOOKUP(C71,'_METADATA_DEFAULT'!$A:$B,2,FALSE),"")</f>
        <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134</v>
      </c>
      <c r="B2" s="2" t="s">
        <v>135</v>
      </c>
      <c r="C2" s="2" t="s">
        <v>135</v>
      </c>
      <c r="D2" s="2">
        <f>IFERROR(VLOOKUP($C2,'_METADATA_TEMPLATE'!$B$2:$H$826,2,FALSE),"")</f>
        <v>270</v>
      </c>
      <c r="E2" s="2" t="str">
        <f>IFERROR(VLOOKUP($C2,'_METADATA_TEMPLATE'!$B$2:$H$826,4,FALSE),"")</f>
        <v>SE2026 - L BLOK III</v>
      </c>
      <c r="F2" s="2" t="str">
        <f>IFERROR(VLOOKUP($C2,'_METADATA_TEMPLATE'!$B$2:$H$826,5,FALSE),"")</f>
        <v/>
      </c>
      <c r="G2" s="2" t="str">
        <f>IFERROR(VLOOKUP($C2,'_METADATA_TEMPLATE'!$B$2:$H$826,6,FALSE),"")</f>
        <v>Nomor urut anggota keluarga</v>
      </c>
      <c r="H2" s="2" t="str">
        <f>IFERROR(VLOOKUP($C2,'_METADATA_TEMPLATE'!$B$2:$H$826,7,FALSE),"")</f>
        <v>Variable</v>
      </c>
      <c r="I2" s="2" t="str">
        <f>IFERROR(VLOOKUP(C2,'_METADATA_DEFAULT'!$A:$B,2,FALSE),"")</f>
        <v/>
      </c>
    </row>
    <row r="3">
      <c r="A3" s="3" t="s">
        <v>134</v>
      </c>
      <c r="B3" s="3" t="s">
        <v>140</v>
      </c>
      <c r="C3" s="3" t="s">
        <v>140</v>
      </c>
      <c r="D3" s="3">
        <f>IFERROR(VLOOKUP($C3,'_METADATA_TEMPLATE'!$B$2:$H$826,2,FALSE),"")</f>
        <v>271</v>
      </c>
      <c r="E3" s="3" t="str">
        <f>IFERROR(VLOOKUP($C3,'_METADATA_TEMPLATE'!$B$2:$H$826,4,FALSE),"")</f>
        <v>SE2026 - L BLOK III</v>
      </c>
      <c r="F3" s="3" t="str">
        <f>IFERROR(VLOOKUP($C3,'_METADATA_TEMPLATE'!$B$2:$H$826,5,FALSE),"")</f>
        <v/>
      </c>
      <c r="G3" s="3" t="str">
        <f>IFERROR(VLOOKUP($C3,'_METADATA_TEMPLATE'!$B$2:$H$826,6,FALSE),"")</f>
        <v>Nama anggota keluarga</v>
      </c>
      <c r="H3" s="3" t="str">
        <f>IFERROR(VLOOKUP($C3,'_METADATA_TEMPLATE'!$B$2:$H$826,7,FALSE),"")</f>
        <v>Variable</v>
      </c>
      <c r="I3" s="3" t="str">
        <f>IFERROR(VLOOKUP(C3,'_METADATA_DEFAULT'!$A:$B,2,FALSE),"")</f>
        <v/>
      </c>
    </row>
    <row r="4">
      <c r="A4" s="2" t="s">
        <v>134</v>
      </c>
      <c r="B4" s="2" t="s">
        <v>143</v>
      </c>
      <c r="C4" s="2" t="s">
        <v>144</v>
      </c>
      <c r="D4" s="2">
        <f>IFERROR(VLOOKUP($C4,'_METADATA_TEMPLATE'!$B$2:$H$826,2,FALSE),"")</f>
        <v>272</v>
      </c>
      <c r="E4" s="2" t="str">
        <f>IFERROR(VLOOKUP($C4,'_METADATA_TEMPLATE'!$B$2:$H$826,4,FALSE),"")</f>
        <v>SE2026 - L BLOK III</v>
      </c>
      <c r="F4" s="2" t="str">
        <f>IFERROR(VLOOKUP($C4,'_METADATA_TEMPLATE'!$B$2:$H$826,5,FALSE),"")</f>
        <v>14</v>
      </c>
      <c r="G4" s="2" t="str">
        <f>IFERROR(VLOOKUP($C4,'_METADATA_TEMPLATE'!$B$2:$H$826,6,FALSE),"")</f>
        <v>Partisipasi sekolah $NAME$</v>
      </c>
      <c r="H4" s="2" t="str">
        <f>IFERROR(VLOOKUP($C4,'_METADATA_TEMPLATE'!$B$2:$H$826,7,FALSE),"")</f>
        <v>Radio Group</v>
      </c>
      <c r="I4" s="2" t="str">
        <f>IFERROR(VLOOKUP(C4,'_METADATA_DEFAULT'!$A:$B,2,FALSE),"")</f>
        <v/>
      </c>
    </row>
    <row r="5">
      <c r="A5" s="3" t="s">
        <v>134</v>
      </c>
      <c r="B5" s="3" t="s">
        <v>148</v>
      </c>
      <c r="C5" s="3" t="s">
        <v>144</v>
      </c>
      <c r="D5" s="3">
        <f>IFERROR(VLOOKUP($C5,'_METADATA_TEMPLATE'!$B$2:$H$826,2,FALSE),"")</f>
        <v>272</v>
      </c>
      <c r="E5" s="3" t="str">
        <f>IFERROR(VLOOKUP($C5,'_METADATA_TEMPLATE'!$B$2:$H$826,4,FALSE),"")</f>
        <v>SE2026 - L BLOK III</v>
      </c>
      <c r="F5" s="3" t="str">
        <f>IFERROR(VLOOKUP($C5,'_METADATA_TEMPLATE'!$B$2:$H$826,5,FALSE),"")</f>
        <v>14</v>
      </c>
      <c r="G5" s="3" t="str">
        <f>IFERROR(VLOOKUP($C5,'_METADATA_TEMPLATE'!$B$2:$H$826,6,FALSE),"")</f>
        <v>Partisipasi sekolah $NAME$</v>
      </c>
      <c r="H5" s="3" t="str">
        <f>IFERROR(VLOOKUP($C5,'_METADATA_TEMPLATE'!$B$2:$H$826,7,FALSE),"")</f>
        <v>Radio Group</v>
      </c>
      <c r="I5" s="3" t="str">
        <f>IFERROR(VLOOKUP(C5,'_METADATA_DEFAULT'!$A:$B,2,FALSE),"")</f>
        <v/>
      </c>
    </row>
    <row r="6">
      <c r="A6" s="2" t="s">
        <v>134</v>
      </c>
      <c r="B6" s="2" t="s">
        <v>151</v>
      </c>
      <c r="C6" s="2" t="s">
        <v>152</v>
      </c>
      <c r="D6" s="2">
        <f>IFERROR(VLOOKUP($C6,'_METADATA_TEMPLATE'!$B$2:$H$826,2,FALSE),"")</f>
        <v>273</v>
      </c>
      <c r="E6" s="2" t="str">
        <f>IFERROR(VLOOKUP($C6,'_METADATA_TEMPLATE'!$B$2:$H$826,4,FALSE),"")</f>
        <v>SE2026 - L BLOK III</v>
      </c>
      <c r="F6" s="2" t="str">
        <f>IFERROR(VLOOKUP($C6,'_METADATA_TEMPLATE'!$B$2:$H$826,5,FALSE),"")</f>
        <v>15</v>
      </c>
      <c r="G6" s="2" t="str">
        <f>IFERROR(VLOOKUP($C6,'_METADATA_TEMPLATE'!$B$2:$H$826,6,FALSE),"")</f>
        <v>Ijazah/STTB tertinggi yang dimiliki $NAME$ (usia 5 tahun ke atas) Ijazah/STTB tertinggi di prelist: $ijazah</v>
      </c>
      <c r="H6" s="2" t="str">
        <f>IFERROR(VLOOKUP($C6,'_METADATA_TEMPLATE'!$B$2:$H$826,7,FALSE),"")</f>
        <v>Radio Group</v>
      </c>
      <c r="I6" s="2" t="str">
        <f>IFERROR(VLOOKUP(C6,'_METADATA_DEFAULT'!$A:$B,2,FALSE),"")</f>
        <v/>
      </c>
    </row>
    <row r="7">
      <c r="A7" s="3" t="s">
        <v>134</v>
      </c>
      <c r="B7" s="3" t="s">
        <v>156</v>
      </c>
      <c r="C7" s="3" t="s">
        <v>152</v>
      </c>
      <c r="D7" s="3">
        <f>IFERROR(VLOOKUP($C7,'_METADATA_TEMPLATE'!$B$2:$H$826,2,FALSE),"")</f>
        <v>273</v>
      </c>
      <c r="E7" s="3" t="str">
        <f>IFERROR(VLOOKUP($C7,'_METADATA_TEMPLATE'!$B$2:$H$826,4,FALSE),"")</f>
        <v>SE2026 - L BLOK III</v>
      </c>
      <c r="F7" s="3" t="str">
        <f>IFERROR(VLOOKUP($C7,'_METADATA_TEMPLATE'!$B$2:$H$826,5,FALSE),"")</f>
        <v>15</v>
      </c>
      <c r="G7" s="3" t="str">
        <f>IFERROR(VLOOKUP($C7,'_METADATA_TEMPLATE'!$B$2:$H$826,6,FALSE),"")</f>
        <v>Ijazah/STTB tertinggi yang dimiliki $NAME$ (usia 5 tahun ke atas) Ijazah/STTB tertinggi di prelist: $ijazah</v>
      </c>
      <c r="H7" s="3" t="str">
        <f>IFERROR(VLOOKUP($C7,'_METADATA_TEMPLATE'!$B$2:$H$826,7,FALSE),"")</f>
        <v>Radio Group</v>
      </c>
      <c r="I7" s="3" t="str">
        <f>IFERROR(VLOOKUP(C7,'_METADATA_DEFAULT'!$A:$B,2,FALSE),"")</f>
        <v/>
      </c>
    </row>
    <row r="8">
      <c r="A8" s="2" t="s">
        <v>134</v>
      </c>
      <c r="B8" s="2" t="s">
        <v>159</v>
      </c>
      <c r="C8" s="2" t="s">
        <v>160</v>
      </c>
      <c r="D8" s="2">
        <f>IFERROR(VLOOKUP($C8,'_METADATA_TEMPLATE'!$B$2:$H$826,2,FALSE),"")</f>
        <v>274</v>
      </c>
      <c r="E8" s="2" t="str">
        <f>IFERROR(VLOOKUP($C8,'_METADATA_TEMPLATE'!$B$2:$H$826,4,FALSE),"")</f>
        <v>SE2026 - L BLOK III</v>
      </c>
      <c r="F8" s="2" t="str">
        <f>IFERROR(VLOOKUP($C8,'_METADATA_TEMPLATE'!$B$2:$H$826,5,FALSE),"")</f>
        <v>16</v>
      </c>
      <c r="G8" s="2" t="str">
        <f>IFERROR(VLOOKUP($C8,'_METADATA_TEMPLATE'!$B$2:$H$826,6,FALSE),"")</f>
        <v>Profesi Pekerjaan Utama $NAME$ (usia 10 tahun ke atas)</v>
      </c>
      <c r="H8" s="2" t="str">
        <f>IFERROR(VLOOKUP($C8,'_METADATA_TEMPLATE'!$B$2:$H$826,7,FALSE),"")</f>
        <v>Select</v>
      </c>
      <c r="I8" s="2" t="str">
        <f>IFERROR(VLOOKUP(C8,'_METADATA_DEFAULT'!$A:$B,2,FALSE),"")</f>
        <v/>
      </c>
    </row>
    <row r="9">
      <c r="A9" s="3" t="s">
        <v>134</v>
      </c>
      <c r="B9" s="3" t="s">
        <v>162</v>
      </c>
      <c r="C9" s="3" t="s">
        <v>160</v>
      </c>
      <c r="D9" s="3">
        <f>IFERROR(VLOOKUP($C9,'_METADATA_TEMPLATE'!$B$2:$H$826,2,FALSE),"")</f>
        <v>274</v>
      </c>
      <c r="E9" s="3" t="str">
        <f>IFERROR(VLOOKUP($C9,'_METADATA_TEMPLATE'!$B$2:$H$826,4,FALSE),"")</f>
        <v>SE2026 - L BLOK III</v>
      </c>
      <c r="F9" s="3" t="str">
        <f>IFERROR(VLOOKUP($C9,'_METADATA_TEMPLATE'!$B$2:$H$826,5,FALSE),"")</f>
        <v>16</v>
      </c>
      <c r="G9" s="3" t="str">
        <f>IFERROR(VLOOKUP($C9,'_METADATA_TEMPLATE'!$B$2:$H$826,6,FALSE),"")</f>
        <v>Profesi Pekerjaan Utama $NAME$ (usia 10 tahun ke atas)</v>
      </c>
      <c r="H9" s="3" t="str">
        <f>IFERROR(VLOOKUP($C9,'_METADATA_TEMPLATE'!$B$2:$H$826,7,FALSE),"")</f>
        <v>Select</v>
      </c>
      <c r="I9" s="3" t="str">
        <f>IFERROR(VLOOKUP(C9,'_METADATA_DEFAULT'!$A:$B,2,FALSE),"")</f>
        <v/>
      </c>
    </row>
    <row r="10">
      <c r="A10" s="2" t="s">
        <v>134</v>
      </c>
      <c r="B10" s="2" t="s">
        <v>166</v>
      </c>
      <c r="C10" s="2" t="s">
        <v>166</v>
      </c>
      <c r="D10" s="2">
        <f>IFERROR(VLOOKUP($C10,'_METADATA_TEMPLATE'!$B$2:$H$826,2,FALSE),"")</f>
        <v>275</v>
      </c>
      <c r="E10" s="2" t="str">
        <f>IFERROR(VLOOKUP($C10,'_METADATA_TEMPLATE'!$B$2:$H$826,4,FALSE),"")</f>
        <v>SE2026 - L BLOK III</v>
      </c>
      <c r="F10" s="2" t="str">
        <f>IFERROR(VLOOKUP($C10,'_METADATA_TEMPLATE'!$B$2:$H$826,5,FALSE),"")</f>
        <v/>
      </c>
      <c r="G10" s="2" t="str">
        <f>IFERROR(VLOOKUP($C10,'_METADATA_TEMPLATE'!$B$2:$H$826,6,FALSE),"")</f>
        <v>Profesi Pekerjaan Utama lainnya:</v>
      </c>
      <c r="H10" s="2" t="str">
        <f>IFERROR(VLOOKUP($C10,'_METADATA_TEMPLATE'!$B$2:$H$826,7,FALSE),"")</f>
        <v>Text Input</v>
      </c>
      <c r="I10" s="2" t="str">
        <f>IFERROR(VLOOKUP(C10,'_METADATA_DEFAULT'!$A:$B,2,FALSE),"")</f>
        <v/>
      </c>
    </row>
    <row r="11">
      <c r="A11" s="3" t="s">
        <v>134</v>
      </c>
      <c r="B11" s="3" t="s">
        <v>169</v>
      </c>
      <c r="C11" s="3" t="s">
        <v>170</v>
      </c>
      <c r="D11" s="3">
        <f>IFERROR(VLOOKUP($C11,'_METADATA_TEMPLATE'!$B$2:$H$826,2,FALSE),"")</f>
        <v>276</v>
      </c>
      <c r="E11" s="3" t="str">
        <f>IFERROR(VLOOKUP($C11,'_METADATA_TEMPLATE'!$B$2:$H$826,4,FALSE),"")</f>
        <v>SE2026 - L BLOK III</v>
      </c>
      <c r="F11" s="3" t="str">
        <f>IFERROR(VLOOKUP($C11,'_METADATA_TEMPLATE'!$B$2:$H$826,5,FALSE),"")</f>
        <v>17</v>
      </c>
      <c r="G11" s="3" t="str">
        <f>IFERROR(VLOOKUP($C11,'_METADATA_TEMPLATE'!$B$2:$H$826,6,FALSE),"")</f>
        <v>Status Kedudukan Dalam Pekerjaan Utama $NAME$</v>
      </c>
      <c r="H11" s="3" t="str">
        <f>IFERROR(VLOOKUP($C11,'_METADATA_TEMPLATE'!$B$2:$H$826,7,FALSE),"")</f>
        <v>Radio Group</v>
      </c>
      <c r="I11" s="3" t="str">
        <f>IFERROR(VLOOKUP(C11,'_METADATA_DEFAULT'!$A:$B,2,FALSE),"")</f>
        <v/>
      </c>
    </row>
    <row r="12">
      <c r="A12" s="2" t="s">
        <v>134</v>
      </c>
      <c r="B12" s="2" t="s">
        <v>173</v>
      </c>
      <c r="C12" s="2" t="s">
        <v>170</v>
      </c>
      <c r="D12" s="2">
        <f>IFERROR(VLOOKUP($C12,'_METADATA_TEMPLATE'!$B$2:$H$826,2,FALSE),"")</f>
        <v>276</v>
      </c>
      <c r="E12" s="2" t="str">
        <f>IFERROR(VLOOKUP($C12,'_METADATA_TEMPLATE'!$B$2:$H$826,4,FALSE),"")</f>
        <v>SE2026 - L BLOK III</v>
      </c>
      <c r="F12" s="2" t="str">
        <f>IFERROR(VLOOKUP($C12,'_METADATA_TEMPLATE'!$B$2:$H$826,5,FALSE),"")</f>
        <v>17</v>
      </c>
      <c r="G12" s="2" t="str">
        <f>IFERROR(VLOOKUP($C12,'_METADATA_TEMPLATE'!$B$2:$H$826,6,FALSE),"")</f>
        <v>Status Kedudukan Dalam Pekerjaan Utama $NAME$</v>
      </c>
      <c r="H12" s="2" t="str">
        <f>IFERROR(VLOOKUP($C12,'_METADATA_TEMPLATE'!$B$2:$H$826,7,FALSE),"")</f>
        <v>Radio Group</v>
      </c>
      <c r="I12" s="2" t="str">
        <f>IFERROR(VLOOKUP(C12,'_METADATA_DEFAULT'!$A:$B,2,FALSE),"")</f>
        <v/>
      </c>
    </row>
    <row r="13">
      <c r="A13" s="3" t="s">
        <v>134</v>
      </c>
      <c r="B13" s="3" t="s">
        <v>177</v>
      </c>
      <c r="C13" s="3" t="s">
        <v>178</v>
      </c>
      <c r="D13" s="3">
        <f>IFERROR(VLOOKUP($C13,'_METADATA_TEMPLATE'!$B$2:$H$826,2,FALSE),"")</f>
        <v>277</v>
      </c>
      <c r="E13" s="3" t="str">
        <f>IFERROR(VLOOKUP($C13,'_METADATA_TEMPLATE'!$B$2:$H$826,4,FALSE),"")</f>
        <v>SE2026 - L BLOK III</v>
      </c>
      <c r="F13" s="3" t="str">
        <f>IFERROR(VLOOKUP($C13,'_METADATA_TEMPLATE'!$B$2:$H$826,5,FALSE),"")</f>
        <v>18</v>
      </c>
      <c r="G13" s="3" t="str">
        <f>IFERROR(VLOOKUP($C13,'_METADATA_TEMPLATE'!$B$2:$H$826,6,FALSE),"")</f>
        <v>a. Pendapatan dari pekerjaan baik berupa uang maupun barang/jasa (gaji, tunjangan, uang makan, honor, lembur, dll)</v>
      </c>
      <c r="H13" s="3" t="str">
        <f>IFERROR(VLOOKUP($C13,'_METADATA_TEMPLATE'!$B$2:$H$826,7,FALSE),"")</f>
        <v>Radio Group</v>
      </c>
      <c r="I13" s="3" t="str">
        <f>IFERROR(VLOOKUP(C13,'_METADATA_DEFAULT'!$A:$B,2,FALSE),"")</f>
        <v/>
      </c>
    </row>
    <row r="14">
      <c r="A14" s="2" t="s">
        <v>134</v>
      </c>
      <c r="B14" s="2" t="s">
        <v>180</v>
      </c>
      <c r="C14" s="2" t="s">
        <v>178</v>
      </c>
      <c r="D14" s="2">
        <f>IFERROR(VLOOKUP($C14,'_METADATA_TEMPLATE'!$B$2:$H$826,2,FALSE),"")</f>
        <v>277</v>
      </c>
      <c r="E14" s="2" t="str">
        <f>IFERROR(VLOOKUP($C14,'_METADATA_TEMPLATE'!$B$2:$H$826,4,FALSE),"")</f>
        <v>SE2026 - L BLOK III</v>
      </c>
      <c r="F14" s="2" t="str">
        <f>IFERROR(VLOOKUP($C14,'_METADATA_TEMPLATE'!$B$2:$H$826,5,FALSE),"")</f>
        <v>18</v>
      </c>
      <c r="G14" s="2" t="str">
        <f>IFERROR(VLOOKUP($C14,'_METADATA_TEMPLATE'!$B$2:$H$826,6,FALSE),"")</f>
        <v>a. Pendapatan dari pekerjaan baik berupa uang maupun barang/jasa (gaji, tunjangan, uang makan, honor, lembur, dll)</v>
      </c>
      <c r="H14" s="2" t="str">
        <f>IFERROR(VLOOKUP($C14,'_METADATA_TEMPLATE'!$B$2:$H$826,7,FALSE),"")</f>
        <v>Radio Group</v>
      </c>
      <c r="I14" s="2" t="str">
        <f>IFERROR(VLOOKUP(C14,'_METADATA_DEFAULT'!$A:$B,2,FALSE),"")</f>
        <v/>
      </c>
    </row>
    <row r="15">
      <c r="A15" s="3" t="s">
        <v>134</v>
      </c>
      <c r="B15" s="3" t="s">
        <v>183</v>
      </c>
      <c r="C15" s="3" t="s">
        <v>183</v>
      </c>
      <c r="D15" s="3">
        <f>IFERROR(VLOOKUP($C15,'_METADATA_TEMPLATE'!$B$2:$H$826,2,FALSE),"")</f>
        <v>278</v>
      </c>
      <c r="E15" s="3" t="str">
        <f>IFERROR(VLOOKUP($C15,'_METADATA_TEMPLATE'!$B$2:$H$826,4,FALSE),"")</f>
        <v>SE2026 - L BLOK III</v>
      </c>
      <c r="F15" s="3" t="str">
        <f>IFERROR(VLOOKUP($C15,'_METADATA_TEMPLATE'!$B$2:$H$826,5,FALSE),"")</f>
        <v>a</v>
      </c>
      <c r="G15" s="3" t="str">
        <f>IFERROR(VLOOKUP($C15,'_METADATA_TEMPLATE'!$B$2:$H$826,6,FALSE),"")</f>
        <v>Upah/Gaji</v>
      </c>
      <c r="H15" s="3" t="str">
        <f>IFERROR(VLOOKUP($C15,'_METADATA_TEMPLATE'!$B$2:$H$826,7,FALSE),"")</f>
        <v>Currency</v>
      </c>
      <c r="I15" s="3" t="str">
        <f>IFERROR(VLOOKUP(C15,'_METADATA_DEFAULT'!$A:$B,2,FALSE),"")</f>
        <v/>
      </c>
    </row>
    <row r="16">
      <c r="A16" s="2" t="s">
        <v>134</v>
      </c>
      <c r="B16" s="2" t="s">
        <v>186</v>
      </c>
      <c r="C16" s="2" t="s">
        <v>186</v>
      </c>
      <c r="D16" s="2">
        <f>IFERROR(VLOOKUP($C16,'_METADATA_TEMPLATE'!$B$2:$H$826,2,FALSE),"")</f>
        <v>279</v>
      </c>
      <c r="E16" s="2" t="str">
        <f>IFERROR(VLOOKUP($C16,'_METADATA_TEMPLATE'!$B$2:$H$826,4,FALSE),"")</f>
        <v>SE2026 - L BLOK III</v>
      </c>
      <c r="F16" s="2" t="str">
        <f>IFERROR(VLOOKUP($C16,'_METADATA_TEMPLATE'!$B$2:$H$826,5,FALSE),"")</f>
        <v>b</v>
      </c>
      <c r="G16" s="2" t="str">
        <f>IFERROR(VLOOKUP($C16,'_METADATA_TEMPLATE'!$B$2:$H$826,6,FALSE),"")</f>
        <v>Tunjangan</v>
      </c>
      <c r="H16" s="2" t="str">
        <f>IFERROR(VLOOKUP($C16,'_METADATA_TEMPLATE'!$B$2:$H$826,7,FALSE),"")</f>
        <v>Currency</v>
      </c>
      <c r="I16" s="2" t="str">
        <f>IFERROR(VLOOKUP(C16,'_METADATA_DEFAULT'!$A:$B,2,FALSE),"")</f>
        <v/>
      </c>
    </row>
    <row r="17">
      <c r="A17" s="3" t="s">
        <v>134</v>
      </c>
      <c r="B17" s="3" t="s">
        <v>190</v>
      </c>
      <c r="C17" s="3" t="s">
        <v>190</v>
      </c>
      <c r="D17" s="3">
        <f>IFERROR(VLOOKUP($C17,'_METADATA_TEMPLATE'!$B$2:$H$826,2,FALSE),"")</f>
        <v>280</v>
      </c>
      <c r="E17" s="3" t="str">
        <f>IFERROR(VLOOKUP($C17,'_METADATA_TEMPLATE'!$B$2:$H$826,4,FALSE),"")</f>
        <v>SE2026 - L BLOK III</v>
      </c>
      <c r="F17" s="3" t="str">
        <f>IFERROR(VLOOKUP($C17,'_METADATA_TEMPLATE'!$B$2:$H$826,5,FALSE),"")</f>
        <v>c</v>
      </c>
      <c r="G17" s="3" t="str">
        <f>IFERROR(VLOOKUP($C17,'_METADATA_TEMPLATE'!$B$2:$H$826,6,FALSE),"")</f>
        <v>Uang Makan</v>
      </c>
      <c r="H17" s="3" t="str">
        <f>IFERROR(VLOOKUP($C17,'_METADATA_TEMPLATE'!$B$2:$H$826,7,FALSE),"")</f>
        <v>Currency</v>
      </c>
      <c r="I17" s="3" t="str">
        <f>IFERROR(VLOOKUP(C17,'_METADATA_DEFAULT'!$A:$B,2,FALSE),"")</f>
        <v/>
      </c>
    </row>
    <row r="18">
      <c r="A18" s="2" t="s">
        <v>134</v>
      </c>
      <c r="B18" s="2" t="s">
        <v>193</v>
      </c>
      <c r="C18" s="2" t="s">
        <v>193</v>
      </c>
      <c r="D18" s="2">
        <f>IFERROR(VLOOKUP($C18,'_METADATA_TEMPLATE'!$B$2:$H$826,2,FALSE),"")</f>
        <v>281</v>
      </c>
      <c r="E18" s="2" t="str">
        <f>IFERROR(VLOOKUP($C18,'_METADATA_TEMPLATE'!$B$2:$H$826,4,FALSE),"")</f>
        <v>SE2026 - L BLOK III</v>
      </c>
      <c r="F18" s="2" t="str">
        <f>IFERROR(VLOOKUP($C18,'_METADATA_TEMPLATE'!$B$2:$H$826,5,FALSE),"")</f>
        <v>d</v>
      </c>
      <c r="G18" s="2" t="str">
        <f>IFERROR(VLOOKUP($C18,'_METADATA_TEMPLATE'!$B$2:$H$826,6,FALSE),"")</f>
        <v>Honor</v>
      </c>
      <c r="H18" s="2" t="str">
        <f>IFERROR(VLOOKUP($C18,'_METADATA_TEMPLATE'!$B$2:$H$826,7,FALSE),"")</f>
        <v>Currency</v>
      </c>
      <c r="I18" s="2" t="str">
        <f>IFERROR(VLOOKUP(C18,'_METADATA_DEFAULT'!$A:$B,2,FALSE),"")</f>
        <v/>
      </c>
    </row>
    <row r="19">
      <c r="A19" s="3" t="s">
        <v>134</v>
      </c>
      <c r="B19" s="3" t="s">
        <v>196</v>
      </c>
      <c r="C19" s="3" t="s">
        <v>196</v>
      </c>
      <c r="D19" s="3">
        <f>IFERROR(VLOOKUP($C19,'_METADATA_TEMPLATE'!$B$2:$H$826,2,FALSE),"")</f>
        <v>282</v>
      </c>
      <c r="E19" s="3" t="str">
        <f>IFERROR(VLOOKUP($C19,'_METADATA_TEMPLATE'!$B$2:$H$826,4,FALSE),"")</f>
        <v>SE2026 - L BLOK III</v>
      </c>
      <c r="F19" s="3" t="str">
        <f>IFERROR(VLOOKUP($C19,'_METADATA_TEMPLATE'!$B$2:$H$826,5,FALSE),"")</f>
        <v>e</v>
      </c>
      <c r="G19" s="3" t="str">
        <f>IFERROR(VLOOKUP($C19,'_METADATA_TEMPLATE'!$B$2:$H$826,6,FALSE),"")</f>
        <v>Lembur</v>
      </c>
      <c r="H19" s="3" t="str">
        <f>IFERROR(VLOOKUP($C19,'_METADATA_TEMPLATE'!$B$2:$H$826,7,FALSE),"")</f>
        <v>Currency</v>
      </c>
      <c r="I19" s="3" t="str">
        <f>IFERROR(VLOOKUP(C19,'_METADATA_DEFAULT'!$A:$B,2,FALSE),"")</f>
        <v/>
      </c>
    </row>
    <row r="20">
      <c r="A20" s="2" t="s">
        <v>134</v>
      </c>
      <c r="B20" s="2" t="s">
        <v>198</v>
      </c>
      <c r="C20" s="2" t="s">
        <v>198</v>
      </c>
      <c r="D20" s="2">
        <f>IFERROR(VLOOKUP($C20,'_METADATA_TEMPLATE'!$B$2:$H$826,2,FALSE),"")</f>
        <v>283</v>
      </c>
      <c r="E20" s="2" t="str">
        <f>IFERROR(VLOOKUP($C20,'_METADATA_TEMPLATE'!$B$2:$H$826,4,FALSE),"")</f>
        <v>SE2026 - L BLOK III</v>
      </c>
      <c r="F20" s="2" t="str">
        <f>IFERROR(VLOOKUP($C20,'_METADATA_TEMPLATE'!$B$2:$H$826,5,FALSE),"")</f>
        <v>f</v>
      </c>
      <c r="G20" s="2" t="str">
        <f>IFERROR(VLOOKUP($C20,'_METADATA_TEMPLATE'!$B$2:$H$826,6,FALSE),"")</f>
        <v>Lainnya</v>
      </c>
      <c r="H20" s="2" t="str">
        <f>IFERROR(VLOOKUP($C20,'_METADATA_TEMPLATE'!$B$2:$H$826,7,FALSE),"")</f>
        <v>Currency</v>
      </c>
      <c r="I20" s="2" t="str">
        <f>IFERROR(VLOOKUP(C20,'_METADATA_DEFAULT'!$A:$B,2,FALSE),"")</f>
        <v/>
      </c>
    </row>
    <row r="21" ht="15.75" customHeight="1">
      <c r="A21" s="3" t="s">
        <v>134</v>
      </c>
      <c r="B21" s="3" t="s">
        <v>201</v>
      </c>
      <c r="C21" s="3" t="s">
        <v>201</v>
      </c>
      <c r="D21" s="3">
        <f>IFERROR(VLOOKUP($C21,'_METADATA_TEMPLATE'!$B$2:$H$826,2,FALSE),"")</f>
        <v>284</v>
      </c>
      <c r="E21" s="3" t="str">
        <f>IFERROR(VLOOKUP($C21,'_METADATA_TEMPLATE'!$B$2:$H$826,4,FALSE),"")</f>
        <v>SE2026 - L BLOK III</v>
      </c>
      <c r="F21" s="3" t="str">
        <f>IFERROR(VLOOKUP($C21,'_METADATA_TEMPLATE'!$B$2:$H$826,5,FALSE),"")</f>
        <v>18</v>
      </c>
      <c r="G21" s="3" t="str">
        <f>IFERROR(VLOOKUP($C21,'_METADATA_TEMPLATE'!$B$2:$H$826,6,FALSE),"")</f>
        <v>a1. Total Pendapatan (a+b+c+d+e+f)</v>
      </c>
      <c r="H21" s="3" t="str">
        <f>IFERROR(VLOOKUP($C21,'_METADATA_TEMPLATE'!$B$2:$H$826,7,FALSE),"")</f>
        <v>Variable</v>
      </c>
      <c r="I21" s="3" t="str">
        <f>IFERROR(VLOOKUP(C21,'_METADATA_DEFAULT'!$A:$B,2,FALSE),"")</f>
        <v/>
      </c>
    </row>
    <row r="22" ht="15.75" customHeight="1">
      <c r="A22" s="2" t="s">
        <v>134</v>
      </c>
      <c r="B22" s="2" t="s">
        <v>204</v>
      </c>
      <c r="C22" s="2" t="s">
        <v>205</v>
      </c>
      <c r="D22" s="2">
        <f>IFERROR(VLOOKUP($C22,'_METADATA_TEMPLATE'!$B$2:$H$826,2,FALSE),"")</f>
        <v>286</v>
      </c>
      <c r="E22" s="2" t="str">
        <f>IFERROR(VLOOKUP($C22,'_METADATA_TEMPLATE'!$B$2:$H$826,4,FALSE),"")</f>
        <v>SE2026 - L BLOK III</v>
      </c>
      <c r="F22" s="2" t="str">
        <f>IFERROR(VLOOKUP($C22,'_METADATA_TEMPLATE'!$B$2:$H$826,5,FALSE),"")</f>
        <v>18</v>
      </c>
      <c r="G22" s="2" t="str">
        <f>IFERROR(VLOOKUP($C22,'_METADATA_TEMPLATE'!$B$2:$H$826,6,FALSE),"")</f>
        <v>b. Pendapatan dari usaha, baik offline (warung, kos-kosan, dll) maupun online (affiliate, online shop, endorse, youtuber, dll ) :</v>
      </c>
      <c r="H22" s="2" t="str">
        <f>IFERROR(VLOOKUP($C22,'_METADATA_TEMPLATE'!$B$2:$H$826,7,FALSE),"")</f>
        <v>Radio Group</v>
      </c>
      <c r="I22" s="2" t="str">
        <f>IFERROR(VLOOKUP(C22,'_METADATA_DEFAULT'!$A:$B,2,FALSE),"")</f>
        <v/>
      </c>
    </row>
    <row r="23" ht="15.75" customHeight="1">
      <c r="A23" s="3" t="s">
        <v>134</v>
      </c>
      <c r="B23" s="3" t="s">
        <v>208</v>
      </c>
      <c r="C23" s="3" t="s">
        <v>205</v>
      </c>
      <c r="D23" s="3">
        <f>IFERROR(VLOOKUP($C23,'_METADATA_TEMPLATE'!$B$2:$H$826,2,FALSE),"")</f>
        <v>286</v>
      </c>
      <c r="E23" s="3" t="str">
        <f>IFERROR(VLOOKUP($C23,'_METADATA_TEMPLATE'!$B$2:$H$826,4,FALSE),"")</f>
        <v>SE2026 - L BLOK III</v>
      </c>
      <c r="F23" s="3" t="str">
        <f>IFERROR(VLOOKUP($C23,'_METADATA_TEMPLATE'!$B$2:$H$826,5,FALSE),"")</f>
        <v>18</v>
      </c>
      <c r="G23" s="3" t="str">
        <f>IFERROR(VLOOKUP($C23,'_METADATA_TEMPLATE'!$B$2:$H$826,6,FALSE),"")</f>
        <v>b. Pendapatan dari usaha, baik offline (warung, kos-kosan, dll) maupun online (affiliate, online shop, endorse, youtuber, dll ) :</v>
      </c>
      <c r="H23" s="3" t="str">
        <f>IFERROR(VLOOKUP($C23,'_METADATA_TEMPLATE'!$B$2:$H$826,7,FALSE),"")</f>
        <v>Radio Group</v>
      </c>
      <c r="I23" s="3" t="str">
        <f>IFERROR(VLOOKUP(C23,'_METADATA_DEFAULT'!$A:$B,2,FALSE),"")</f>
        <v/>
      </c>
    </row>
    <row r="24" ht="15.75" customHeight="1">
      <c r="A24" s="2" t="s">
        <v>134</v>
      </c>
      <c r="B24" s="2" t="s">
        <v>210</v>
      </c>
      <c r="C24" s="2" t="s">
        <v>210</v>
      </c>
      <c r="D24" s="2">
        <f>IFERROR(VLOOKUP($C24,'_METADATA_TEMPLATE'!$B$2:$H$826,2,FALSE),"")</f>
        <v>287</v>
      </c>
      <c r="E24" s="2" t="str">
        <f>IFERROR(VLOOKUP($C24,'_METADATA_TEMPLATE'!$B$2:$H$826,4,FALSE),"")</f>
        <v>SE2026 - L BLOK III</v>
      </c>
      <c r="F24" s="2" t="str">
        <f>IFERROR(VLOOKUP($C24,'_METADATA_TEMPLATE'!$B$2:$H$826,5,FALSE),"")</f>
        <v>18</v>
      </c>
      <c r="G24" s="2" t="str">
        <f>IFERROR(VLOOKUP($C24,'_METADATA_TEMPLATE'!$B$2:$H$826,6,FALSE),"")</f>
        <v>b1. Total Pendapatan</v>
      </c>
      <c r="H24" s="2" t="str">
        <f>IFERROR(VLOOKUP($C24,'_METADATA_TEMPLATE'!$B$2:$H$826,7,FALSE),"")</f>
        <v>Currency</v>
      </c>
      <c r="I24" s="2" t="str">
        <f>IFERROR(VLOOKUP(C24,'_METADATA_DEFAULT'!$A:$B,2,FALSE),"")</f>
        <v/>
      </c>
    </row>
    <row r="25" ht="15.75" customHeight="1">
      <c r="A25" s="3" t="s">
        <v>134</v>
      </c>
      <c r="B25" s="3" t="s">
        <v>212</v>
      </c>
      <c r="C25" s="3" t="s">
        <v>213</v>
      </c>
      <c r="D25" s="3">
        <f>IFERROR(VLOOKUP($C25,'_METADATA_TEMPLATE'!$B$2:$H$826,2,FALSE),"")</f>
        <v>288</v>
      </c>
      <c r="E25" s="3" t="str">
        <f>IFERROR(VLOOKUP($C25,'_METADATA_TEMPLATE'!$B$2:$H$826,4,FALSE),"")</f>
        <v>SE2026 - L BLOK III</v>
      </c>
      <c r="F25" s="3" t="str">
        <f>IFERROR(VLOOKUP($C25,'_METADATA_TEMPLATE'!$B$2:$H$826,5,FALSE),"")</f>
        <v>18</v>
      </c>
      <c r="G25" s="3" t="str">
        <f>IFERROR(VLOOKUP($C25,'_METADATA_TEMPLATE'!$B$2:$H$826,6,FALSE),"")</f>
        <v>c. Penerimaan pendapatan lain (transfer/pemberian/passive income seperti pensiunan, kupon SBN, Obligasi, dll ):</v>
      </c>
      <c r="H25" s="3" t="str">
        <f>IFERROR(VLOOKUP($C25,'_METADATA_TEMPLATE'!$B$2:$H$826,7,FALSE),"")</f>
        <v>Radio Group</v>
      </c>
      <c r="I25" s="3" t="str">
        <f>IFERROR(VLOOKUP(C25,'_METADATA_DEFAULT'!$A:$B,2,FALSE),"")</f>
        <v/>
      </c>
    </row>
    <row r="26" ht="15.75" customHeight="1">
      <c r="A26" s="2" t="s">
        <v>134</v>
      </c>
      <c r="B26" s="2" t="s">
        <v>215</v>
      </c>
      <c r="C26" s="2" t="s">
        <v>213</v>
      </c>
      <c r="D26" s="2">
        <f>IFERROR(VLOOKUP($C26,'_METADATA_TEMPLATE'!$B$2:$H$826,2,FALSE),"")</f>
        <v>288</v>
      </c>
      <c r="E26" s="2" t="str">
        <f>IFERROR(VLOOKUP($C26,'_METADATA_TEMPLATE'!$B$2:$H$826,4,FALSE),"")</f>
        <v>SE2026 - L BLOK III</v>
      </c>
      <c r="F26" s="2" t="str">
        <f>IFERROR(VLOOKUP($C26,'_METADATA_TEMPLATE'!$B$2:$H$826,5,FALSE),"")</f>
        <v>18</v>
      </c>
      <c r="G26" s="2" t="str">
        <f>IFERROR(VLOOKUP($C26,'_METADATA_TEMPLATE'!$B$2:$H$826,6,FALSE),"")</f>
        <v>c. Penerimaan pendapatan lain (transfer/pemberian/passive income seperti pensiunan, kupon SBN, Obligasi, dll ):</v>
      </c>
      <c r="H26" s="2" t="str">
        <f>IFERROR(VLOOKUP($C26,'_METADATA_TEMPLATE'!$B$2:$H$826,7,FALSE),"")</f>
        <v>Radio Group</v>
      </c>
      <c r="I26" s="2" t="str">
        <f>IFERROR(VLOOKUP(C26,'_METADATA_DEFAULT'!$A:$B,2,FALSE),"")</f>
        <v/>
      </c>
    </row>
    <row r="27" ht="15.75" customHeight="1">
      <c r="A27" s="3" t="s">
        <v>134</v>
      </c>
      <c r="B27" s="3" t="s">
        <v>217</v>
      </c>
      <c r="C27" s="3" t="s">
        <v>217</v>
      </c>
      <c r="D27" s="3">
        <f>IFERROR(VLOOKUP($C27,'_METADATA_TEMPLATE'!$B$2:$H$826,2,FALSE),"")</f>
        <v>289</v>
      </c>
      <c r="E27" s="3" t="str">
        <f>IFERROR(VLOOKUP($C27,'_METADATA_TEMPLATE'!$B$2:$H$826,4,FALSE),"")</f>
        <v>SE2026 - L BLOK III</v>
      </c>
      <c r="F27" s="3" t="str">
        <f>IFERROR(VLOOKUP($C27,'_METADATA_TEMPLATE'!$B$2:$H$826,5,FALSE),"")</f>
        <v>18</v>
      </c>
      <c r="G27" s="3" t="str">
        <f>IFERROR(VLOOKUP($C27,'_METADATA_TEMPLATE'!$B$2:$H$826,6,FALSE),"")</f>
        <v>c1. Total Pendapatan</v>
      </c>
      <c r="H27" s="3" t="str">
        <f>IFERROR(VLOOKUP($C27,'_METADATA_TEMPLATE'!$B$2:$H$826,7,FALSE),"")</f>
        <v>Currency</v>
      </c>
      <c r="I27" s="3" t="str">
        <f>IFERROR(VLOOKUP(C27,'_METADATA_DEFAULT'!$A:$B,2,FALSE),"")</f>
        <v/>
      </c>
    </row>
    <row r="28" ht="15.75" customHeight="1">
      <c r="A28" s="2" t="s">
        <v>134</v>
      </c>
      <c r="B28" s="2" t="s">
        <v>219</v>
      </c>
      <c r="C28" s="2" t="s">
        <v>220</v>
      </c>
      <c r="D28" s="2">
        <f>IFERROR(VLOOKUP($C28,'_METADATA_TEMPLATE'!$B$2:$H$826,2,FALSE),"")</f>
        <v>290</v>
      </c>
      <c r="E28" s="2" t="str">
        <f>IFERROR(VLOOKUP($C28,'_METADATA_TEMPLATE'!$B$2:$H$826,4,FALSE),"")</f>
        <v>SE2026 - L BLOK III</v>
      </c>
      <c r="F28" s="2" t="str">
        <f>IFERROR(VLOOKUP($C28,'_METADATA_TEMPLATE'!$B$2:$H$826,5,FALSE),"")</f>
        <v>19</v>
      </c>
      <c r="G28" s="2" t="str">
        <f>IFERROR(VLOOKUP($C28,'_METADATA_TEMPLATE'!$B$2:$H$826,6,FALSE),"")</f>
        <v>Apakah $NAME$ memiliki rekening aktif atau dompet digital?</v>
      </c>
      <c r="H28" s="2" t="str">
        <f>IFERROR(VLOOKUP($C28,'_METADATA_TEMPLATE'!$B$2:$H$826,7,FALSE),"")</f>
        <v>Radio Group</v>
      </c>
      <c r="I28" s="2" t="str">
        <f>IFERROR(VLOOKUP(C28,'_METADATA_DEFAULT'!$A:$B,2,FALSE),"")</f>
        <v/>
      </c>
    </row>
    <row r="29" ht="15.75" customHeight="1">
      <c r="A29" s="3" t="s">
        <v>134</v>
      </c>
      <c r="B29" s="3" t="s">
        <v>222</v>
      </c>
      <c r="C29" s="3" t="s">
        <v>220</v>
      </c>
      <c r="D29" s="3">
        <f>IFERROR(VLOOKUP($C29,'_METADATA_TEMPLATE'!$B$2:$H$826,2,FALSE),"")</f>
        <v>290</v>
      </c>
      <c r="E29" s="3" t="str">
        <f>IFERROR(VLOOKUP($C29,'_METADATA_TEMPLATE'!$B$2:$H$826,4,FALSE),"")</f>
        <v>SE2026 - L BLOK III</v>
      </c>
      <c r="F29" s="3" t="str">
        <f>IFERROR(VLOOKUP($C29,'_METADATA_TEMPLATE'!$B$2:$H$826,5,FALSE),"")</f>
        <v>19</v>
      </c>
      <c r="G29" s="3" t="str">
        <f>IFERROR(VLOOKUP($C29,'_METADATA_TEMPLATE'!$B$2:$H$826,6,FALSE),"")</f>
        <v>Apakah $NAME$ memiliki rekening aktif atau dompet digital?</v>
      </c>
      <c r="H29" s="3" t="str">
        <f>IFERROR(VLOOKUP($C29,'_METADATA_TEMPLATE'!$B$2:$H$826,7,FALSE),"")</f>
        <v>Radio Group</v>
      </c>
      <c r="I29" s="3" t="str">
        <f>IFERROR(VLOOKUP(C29,'_METADATA_DEFAULT'!$A:$B,2,FALSE),"")</f>
        <v/>
      </c>
    </row>
    <row r="30" ht="15.75" customHeight="1">
      <c r="A30" s="2" t="s">
        <v>134</v>
      </c>
      <c r="B30" s="2" t="s">
        <v>223</v>
      </c>
      <c r="C30" s="2" t="s">
        <v>224</v>
      </c>
      <c r="D30" s="2">
        <f>IFERROR(VLOOKUP($C30,'_METADATA_TEMPLATE'!$B$2:$H$826,2,FALSE),"")</f>
        <v>292</v>
      </c>
      <c r="E30" s="2" t="str">
        <f>IFERROR(VLOOKUP($C30,'_METADATA_TEMPLATE'!$B$2:$H$826,4,FALSE),"")</f>
        <v>SE2026 - L BLOK III</v>
      </c>
      <c r="F30" s="2" t="str">
        <f>IFERROR(VLOOKUP($C30,'_METADATA_TEMPLATE'!$B$2:$H$826,5,FALSE),"")</f>
        <v>a</v>
      </c>
      <c r="G30" s="2" t="str">
        <f>IFERROR(VLOOKUP($C30,'_METADATA_TEMPLATE'!$B$2:$H$826,6,FALSE),"")</f>
        <v>Disabilitas Fisik</v>
      </c>
      <c r="H30" s="2" t="str">
        <f>IFERROR(VLOOKUP($C30,'_METADATA_TEMPLATE'!$B$2:$H$826,7,FALSE),"")</f>
        <v>Radio Group</v>
      </c>
      <c r="I30" s="2" t="str">
        <f>IFERROR(VLOOKUP(C30,'_METADATA_DEFAULT'!$A:$B,2,FALSE),"")</f>
        <v/>
      </c>
    </row>
    <row r="31" ht="15.75" customHeight="1">
      <c r="A31" s="3" t="s">
        <v>134</v>
      </c>
      <c r="B31" s="3" t="s">
        <v>226</v>
      </c>
      <c r="C31" s="3" t="s">
        <v>224</v>
      </c>
      <c r="D31" s="3">
        <f>IFERROR(VLOOKUP($C31,'_METADATA_TEMPLATE'!$B$2:$H$826,2,FALSE),"")</f>
        <v>292</v>
      </c>
      <c r="E31" s="3" t="str">
        <f>IFERROR(VLOOKUP($C31,'_METADATA_TEMPLATE'!$B$2:$H$826,4,FALSE),"")</f>
        <v>SE2026 - L BLOK III</v>
      </c>
      <c r="F31" s="3" t="str">
        <f>IFERROR(VLOOKUP($C31,'_METADATA_TEMPLATE'!$B$2:$H$826,5,FALSE),"")</f>
        <v>a</v>
      </c>
      <c r="G31" s="3" t="str">
        <f>IFERROR(VLOOKUP($C31,'_METADATA_TEMPLATE'!$B$2:$H$826,6,FALSE),"")</f>
        <v>Disabilitas Fisik</v>
      </c>
      <c r="H31" s="3" t="str">
        <f>IFERROR(VLOOKUP($C31,'_METADATA_TEMPLATE'!$B$2:$H$826,7,FALSE),"")</f>
        <v>Radio Group</v>
      </c>
      <c r="I31" s="3" t="str">
        <f>IFERROR(VLOOKUP(C31,'_METADATA_DEFAULT'!$A:$B,2,FALSE),"")</f>
        <v/>
      </c>
    </row>
    <row r="32" ht="15.75" customHeight="1">
      <c r="A32" s="2" t="s">
        <v>134</v>
      </c>
      <c r="B32" s="2" t="s">
        <v>228</v>
      </c>
      <c r="C32" s="2" t="s">
        <v>229</v>
      </c>
      <c r="D32" s="2">
        <f>IFERROR(VLOOKUP($C32,'_METADATA_TEMPLATE'!$B$2:$H$826,2,FALSE),"")</f>
        <v>293</v>
      </c>
      <c r="E32" s="2" t="str">
        <f>IFERROR(VLOOKUP($C32,'_METADATA_TEMPLATE'!$B$2:$H$826,4,FALSE),"")</f>
        <v>SE2026 - L BLOK III</v>
      </c>
      <c r="F32" s="2" t="str">
        <f>IFERROR(VLOOKUP($C32,'_METADATA_TEMPLATE'!$B$2:$H$826,5,FALSE),"")</f>
        <v>b</v>
      </c>
      <c r="G32" s="2" t="str">
        <f>IFERROR(VLOOKUP($C32,'_METADATA_TEMPLATE'!$B$2:$H$826,6,FALSE),"")</f>
        <v>Disabilitas Mental</v>
      </c>
      <c r="H32" s="2" t="str">
        <f>IFERROR(VLOOKUP($C32,'_METADATA_TEMPLATE'!$B$2:$H$826,7,FALSE),"")</f>
        <v>Radio Group</v>
      </c>
      <c r="I32" s="2" t="str">
        <f>IFERROR(VLOOKUP(C32,'_METADATA_DEFAULT'!$A:$B,2,FALSE),"")</f>
        <v/>
      </c>
    </row>
    <row r="33" ht="15.75" customHeight="1">
      <c r="A33" s="3" t="s">
        <v>134</v>
      </c>
      <c r="B33" s="3" t="s">
        <v>231</v>
      </c>
      <c r="C33" s="3" t="s">
        <v>229</v>
      </c>
      <c r="D33" s="3">
        <f>IFERROR(VLOOKUP($C33,'_METADATA_TEMPLATE'!$B$2:$H$826,2,FALSE),"")</f>
        <v>293</v>
      </c>
      <c r="E33" s="3" t="str">
        <f>IFERROR(VLOOKUP($C33,'_METADATA_TEMPLATE'!$B$2:$H$826,4,FALSE),"")</f>
        <v>SE2026 - L BLOK III</v>
      </c>
      <c r="F33" s="3" t="str">
        <f>IFERROR(VLOOKUP($C33,'_METADATA_TEMPLATE'!$B$2:$H$826,5,FALSE),"")</f>
        <v>b</v>
      </c>
      <c r="G33" s="3" t="str">
        <f>IFERROR(VLOOKUP($C33,'_METADATA_TEMPLATE'!$B$2:$H$826,6,FALSE),"")</f>
        <v>Disabilitas Mental</v>
      </c>
      <c r="H33" s="3" t="str">
        <f>IFERROR(VLOOKUP($C33,'_METADATA_TEMPLATE'!$B$2:$H$826,7,FALSE),"")</f>
        <v>Radio Group</v>
      </c>
      <c r="I33" s="3" t="str">
        <f>IFERROR(VLOOKUP(C33,'_METADATA_DEFAULT'!$A:$B,2,FALSE),"")</f>
        <v/>
      </c>
    </row>
    <row r="34" ht="15.75" customHeight="1">
      <c r="A34" s="2" t="s">
        <v>134</v>
      </c>
      <c r="B34" s="2" t="s">
        <v>232</v>
      </c>
      <c r="C34" s="2" t="s">
        <v>233</v>
      </c>
      <c r="D34" s="2">
        <f>IFERROR(VLOOKUP($C34,'_METADATA_TEMPLATE'!$B$2:$H$826,2,FALSE),"")</f>
        <v>294</v>
      </c>
      <c r="E34" s="2" t="str">
        <f>IFERROR(VLOOKUP($C34,'_METADATA_TEMPLATE'!$B$2:$H$826,4,FALSE),"")</f>
        <v>SE2026 - L BLOK III</v>
      </c>
      <c r="F34" s="2" t="str">
        <f>IFERROR(VLOOKUP($C34,'_METADATA_TEMPLATE'!$B$2:$H$826,5,FALSE),"")</f>
        <v>c</v>
      </c>
      <c r="G34" s="2" t="str">
        <f>IFERROR(VLOOKUP($C34,'_METADATA_TEMPLATE'!$B$2:$H$826,6,FALSE),"")</f>
        <v>Disabilitas Intelektual</v>
      </c>
      <c r="H34" s="2" t="str">
        <f>IFERROR(VLOOKUP($C34,'_METADATA_TEMPLATE'!$B$2:$H$826,7,FALSE),"")</f>
        <v>Radio Group</v>
      </c>
      <c r="I34" s="2" t="str">
        <f>IFERROR(VLOOKUP(C34,'_METADATA_DEFAULT'!$A:$B,2,FALSE),"")</f>
        <v/>
      </c>
    </row>
    <row r="35" ht="15.75" customHeight="1">
      <c r="A35" s="3" t="s">
        <v>134</v>
      </c>
      <c r="B35" s="3" t="s">
        <v>236</v>
      </c>
      <c r="C35" s="3" t="s">
        <v>233</v>
      </c>
      <c r="D35" s="3">
        <f>IFERROR(VLOOKUP($C35,'_METADATA_TEMPLATE'!$B$2:$H$826,2,FALSE),"")</f>
        <v>294</v>
      </c>
      <c r="E35" s="3" t="str">
        <f>IFERROR(VLOOKUP($C35,'_METADATA_TEMPLATE'!$B$2:$H$826,4,FALSE),"")</f>
        <v>SE2026 - L BLOK III</v>
      </c>
      <c r="F35" s="3" t="str">
        <f>IFERROR(VLOOKUP($C35,'_METADATA_TEMPLATE'!$B$2:$H$826,5,FALSE),"")</f>
        <v>c</v>
      </c>
      <c r="G35" s="3" t="str">
        <f>IFERROR(VLOOKUP($C35,'_METADATA_TEMPLATE'!$B$2:$H$826,6,FALSE),"")</f>
        <v>Disabilitas Intelektual</v>
      </c>
      <c r="H35" s="3" t="str">
        <f>IFERROR(VLOOKUP($C35,'_METADATA_TEMPLATE'!$B$2:$H$826,7,FALSE),"")</f>
        <v>Radio Group</v>
      </c>
      <c r="I35" s="3" t="str">
        <f>IFERROR(VLOOKUP(C35,'_METADATA_DEFAULT'!$A:$B,2,FALSE),"")</f>
        <v/>
      </c>
    </row>
    <row r="36" ht="15.75" customHeight="1">
      <c r="A36" s="2" t="s">
        <v>134</v>
      </c>
      <c r="B36" s="2" t="s">
        <v>237</v>
      </c>
      <c r="C36" s="2" t="s">
        <v>238</v>
      </c>
      <c r="D36" s="2">
        <f>IFERROR(VLOOKUP($C36,'_METADATA_TEMPLATE'!$B$2:$H$826,2,FALSE),"")</f>
        <v>295</v>
      </c>
      <c r="E36" s="2" t="str">
        <f>IFERROR(VLOOKUP($C36,'_METADATA_TEMPLATE'!$B$2:$H$826,4,FALSE),"")</f>
        <v>SE2026 - L BLOK III</v>
      </c>
      <c r="F36" s="2" t="str">
        <f>IFERROR(VLOOKUP($C36,'_METADATA_TEMPLATE'!$B$2:$H$826,5,FALSE),"")</f>
        <v>d</v>
      </c>
      <c r="G36" s="2" t="str">
        <f>IFERROR(VLOOKUP($C36,'_METADATA_TEMPLATE'!$B$2:$H$826,6,FALSE),"")</f>
        <v>Disabilitas Sensorik Netra</v>
      </c>
      <c r="H36" s="2" t="str">
        <f>IFERROR(VLOOKUP($C36,'_METADATA_TEMPLATE'!$B$2:$H$826,7,FALSE),"")</f>
        <v>Radio Group</v>
      </c>
      <c r="I36" s="2" t="str">
        <f>IFERROR(VLOOKUP(C36,'_METADATA_DEFAULT'!$A:$B,2,FALSE),"")</f>
        <v/>
      </c>
    </row>
    <row r="37" ht="15.75" customHeight="1">
      <c r="A37" s="3" t="s">
        <v>134</v>
      </c>
      <c r="B37" s="3" t="s">
        <v>241</v>
      </c>
      <c r="C37" s="3" t="s">
        <v>238</v>
      </c>
      <c r="D37" s="3">
        <f>IFERROR(VLOOKUP($C37,'_METADATA_TEMPLATE'!$B$2:$H$826,2,FALSE),"")</f>
        <v>295</v>
      </c>
      <c r="E37" s="3" t="str">
        <f>IFERROR(VLOOKUP($C37,'_METADATA_TEMPLATE'!$B$2:$H$826,4,FALSE),"")</f>
        <v>SE2026 - L BLOK III</v>
      </c>
      <c r="F37" s="3" t="str">
        <f>IFERROR(VLOOKUP($C37,'_METADATA_TEMPLATE'!$B$2:$H$826,5,FALSE),"")</f>
        <v>d</v>
      </c>
      <c r="G37" s="3" t="str">
        <f>IFERROR(VLOOKUP($C37,'_METADATA_TEMPLATE'!$B$2:$H$826,6,FALSE),"")</f>
        <v>Disabilitas Sensorik Netra</v>
      </c>
      <c r="H37" s="3" t="str">
        <f>IFERROR(VLOOKUP($C37,'_METADATA_TEMPLATE'!$B$2:$H$826,7,FALSE),"")</f>
        <v>Radio Group</v>
      </c>
      <c r="I37" s="3" t="str">
        <f>IFERROR(VLOOKUP(C37,'_METADATA_DEFAULT'!$A:$B,2,FALSE),"")</f>
        <v/>
      </c>
    </row>
    <row r="38" ht="15.75" customHeight="1">
      <c r="A38" s="2" t="s">
        <v>134</v>
      </c>
      <c r="B38" s="2" t="s">
        <v>243</v>
      </c>
      <c r="C38" s="2" t="s">
        <v>244</v>
      </c>
      <c r="D38" s="2">
        <f>IFERROR(VLOOKUP($C38,'_METADATA_TEMPLATE'!$B$2:$H$826,2,FALSE),"")</f>
        <v>296</v>
      </c>
      <c r="E38" s="2" t="str">
        <f>IFERROR(VLOOKUP($C38,'_METADATA_TEMPLATE'!$B$2:$H$826,4,FALSE),"")</f>
        <v>SE2026 - L BLOK III</v>
      </c>
      <c r="F38" s="2" t="str">
        <f>IFERROR(VLOOKUP($C38,'_METADATA_TEMPLATE'!$B$2:$H$826,5,FALSE),"")</f>
        <v>e</v>
      </c>
      <c r="G38" s="2" t="str">
        <f>IFERROR(VLOOKUP($C38,'_METADATA_TEMPLATE'!$B$2:$H$826,6,FALSE),"")</f>
        <v>Disabilitas Sensorik Rungu</v>
      </c>
      <c r="H38" s="2" t="str">
        <f>IFERROR(VLOOKUP($C38,'_METADATA_TEMPLATE'!$B$2:$H$826,7,FALSE),"")</f>
        <v>Radio Group</v>
      </c>
      <c r="I38" s="2" t="str">
        <f>IFERROR(VLOOKUP(C38,'_METADATA_DEFAULT'!$A:$B,2,FALSE),"")</f>
        <v/>
      </c>
    </row>
    <row r="39" ht="15.75" customHeight="1">
      <c r="A39" s="3" t="s">
        <v>134</v>
      </c>
      <c r="B39" s="3" t="s">
        <v>247</v>
      </c>
      <c r="C39" s="3" t="s">
        <v>244</v>
      </c>
      <c r="D39" s="3">
        <f>IFERROR(VLOOKUP($C39,'_METADATA_TEMPLATE'!$B$2:$H$826,2,FALSE),"")</f>
        <v>296</v>
      </c>
      <c r="E39" s="3" t="str">
        <f>IFERROR(VLOOKUP($C39,'_METADATA_TEMPLATE'!$B$2:$H$826,4,FALSE),"")</f>
        <v>SE2026 - L BLOK III</v>
      </c>
      <c r="F39" s="3" t="str">
        <f>IFERROR(VLOOKUP($C39,'_METADATA_TEMPLATE'!$B$2:$H$826,5,FALSE),"")</f>
        <v>e</v>
      </c>
      <c r="G39" s="3" t="str">
        <f>IFERROR(VLOOKUP($C39,'_METADATA_TEMPLATE'!$B$2:$H$826,6,FALSE),"")</f>
        <v>Disabilitas Sensorik Rungu</v>
      </c>
      <c r="H39" s="3" t="str">
        <f>IFERROR(VLOOKUP($C39,'_METADATA_TEMPLATE'!$B$2:$H$826,7,FALSE),"")</f>
        <v>Radio Group</v>
      </c>
      <c r="I39" s="3" t="str">
        <f>IFERROR(VLOOKUP(C39,'_METADATA_DEFAULT'!$A:$B,2,FALSE),"")</f>
        <v/>
      </c>
    </row>
    <row r="40" ht="15.75" customHeight="1">
      <c r="A40" s="2" t="s">
        <v>134</v>
      </c>
      <c r="B40" s="2" t="s">
        <v>249</v>
      </c>
      <c r="C40" s="2" t="s">
        <v>250</v>
      </c>
      <c r="D40" s="2">
        <f>IFERROR(VLOOKUP($C40,'_METADATA_TEMPLATE'!$B$2:$H$826,2,FALSE),"")</f>
        <v>297</v>
      </c>
      <c r="E40" s="2" t="str">
        <f>IFERROR(VLOOKUP($C40,'_METADATA_TEMPLATE'!$B$2:$H$826,4,FALSE),"")</f>
        <v>SE2026 - L BLOK III</v>
      </c>
      <c r="F40" s="2" t="str">
        <f>IFERROR(VLOOKUP($C40,'_METADATA_TEMPLATE'!$B$2:$H$826,5,FALSE),"")</f>
        <v>f</v>
      </c>
      <c r="G40" s="2" t="str">
        <f>IFERROR(VLOOKUP($C40,'_METADATA_TEMPLATE'!$B$2:$H$826,6,FALSE),"")</f>
        <v>Disabilitas Sensorik Wicara</v>
      </c>
      <c r="H40" s="2" t="str">
        <f>IFERROR(VLOOKUP($C40,'_METADATA_TEMPLATE'!$B$2:$H$826,7,FALSE),"")</f>
        <v>Radio Group</v>
      </c>
      <c r="I40" s="2" t="str">
        <f>IFERROR(VLOOKUP(C40,'_METADATA_DEFAULT'!$A:$B,2,FALSE),"")</f>
        <v/>
      </c>
    </row>
    <row r="41" ht="15.75" customHeight="1">
      <c r="A41" s="3" t="s">
        <v>134</v>
      </c>
      <c r="B41" s="3" t="s">
        <v>254</v>
      </c>
      <c r="C41" s="3" t="s">
        <v>250</v>
      </c>
      <c r="D41" s="3">
        <f>IFERROR(VLOOKUP($C41,'_METADATA_TEMPLATE'!$B$2:$H$826,2,FALSE),"")</f>
        <v>297</v>
      </c>
      <c r="E41" s="3" t="str">
        <f>IFERROR(VLOOKUP($C41,'_METADATA_TEMPLATE'!$B$2:$H$826,4,FALSE),"")</f>
        <v>SE2026 - L BLOK III</v>
      </c>
      <c r="F41" s="3" t="str">
        <f>IFERROR(VLOOKUP($C41,'_METADATA_TEMPLATE'!$B$2:$H$826,5,FALSE),"")</f>
        <v>f</v>
      </c>
      <c r="G41" s="3" t="str">
        <f>IFERROR(VLOOKUP($C41,'_METADATA_TEMPLATE'!$B$2:$H$826,6,FALSE),"")</f>
        <v>Disabilitas Sensorik Wicara</v>
      </c>
      <c r="H41" s="3" t="str">
        <f>IFERROR(VLOOKUP($C41,'_METADATA_TEMPLATE'!$B$2:$H$826,7,FALSE),"")</f>
        <v>Radio Group</v>
      </c>
      <c r="I41" s="3" t="str">
        <f>IFERROR(VLOOKUP(C41,'_METADATA_DEFAULT'!$A:$B,2,FALSE),"")</f>
        <v/>
      </c>
    </row>
    <row r="42" ht="15.75" customHeight="1">
      <c r="A42" s="2" t="s">
        <v>134</v>
      </c>
      <c r="B42" s="2" t="s">
        <v>258</v>
      </c>
      <c r="C42" s="2" t="s">
        <v>259</v>
      </c>
      <c r="D42" s="2">
        <f>IFERROR(VLOOKUP($C42,'_METADATA_TEMPLATE'!$B$2:$H$826,2,FALSE),"")</f>
        <v>299</v>
      </c>
      <c r="E42" s="2" t="str">
        <f>IFERROR(VLOOKUP($C42,'_METADATA_TEMPLATE'!$B$2:$H$826,4,FALSE),"")</f>
        <v>SE2026 - L BLOK III</v>
      </c>
      <c r="F42" s="2" t="str">
        <f>IFERROR(VLOOKUP($C42,'_METADATA_TEMPLATE'!$B$2:$H$826,5,FALSE),"")</f>
        <v>a</v>
      </c>
      <c r="G42" s="2" t="str">
        <f>IFERROR(VLOOKUP($C42,'_METADATA_TEMPLATE'!$B$2:$H$826,6,FALSE),"")</f>
        <v>Hipertensi (tekanan darah tinggi)</v>
      </c>
      <c r="H42" s="2" t="str">
        <f>IFERROR(VLOOKUP($C42,'_METADATA_TEMPLATE'!$B$2:$H$826,7,FALSE),"")</f>
        <v>Radio Group</v>
      </c>
      <c r="I42" s="2" t="str">
        <f>IFERROR(VLOOKUP(C42,'_METADATA_DEFAULT'!$A:$B,2,FALSE),"")</f>
        <v/>
      </c>
    </row>
    <row r="43" ht="15.75" customHeight="1">
      <c r="A43" s="3" t="s">
        <v>134</v>
      </c>
      <c r="B43" s="3" t="s">
        <v>262</v>
      </c>
      <c r="C43" s="3" t="s">
        <v>259</v>
      </c>
      <c r="D43" s="3">
        <f>IFERROR(VLOOKUP($C43,'_METADATA_TEMPLATE'!$B$2:$H$826,2,FALSE),"")</f>
        <v>299</v>
      </c>
      <c r="E43" s="3" t="str">
        <f>IFERROR(VLOOKUP($C43,'_METADATA_TEMPLATE'!$B$2:$H$826,4,FALSE),"")</f>
        <v>SE2026 - L BLOK III</v>
      </c>
      <c r="F43" s="3" t="str">
        <f>IFERROR(VLOOKUP($C43,'_METADATA_TEMPLATE'!$B$2:$H$826,5,FALSE),"")</f>
        <v>a</v>
      </c>
      <c r="G43" s="3" t="str">
        <f>IFERROR(VLOOKUP($C43,'_METADATA_TEMPLATE'!$B$2:$H$826,6,FALSE),"")</f>
        <v>Hipertensi (tekanan darah tinggi)</v>
      </c>
      <c r="H43" s="3" t="str">
        <f>IFERROR(VLOOKUP($C43,'_METADATA_TEMPLATE'!$B$2:$H$826,7,FALSE),"")</f>
        <v>Radio Group</v>
      </c>
      <c r="I43" s="3" t="str">
        <f>IFERROR(VLOOKUP(C43,'_METADATA_DEFAULT'!$A:$B,2,FALSE),"")</f>
        <v/>
      </c>
    </row>
    <row r="44" ht="15.75" customHeight="1">
      <c r="A44" s="2" t="s">
        <v>134</v>
      </c>
      <c r="B44" s="2" t="s">
        <v>266</v>
      </c>
      <c r="C44" s="2" t="s">
        <v>267</v>
      </c>
      <c r="D44" s="2">
        <f>IFERROR(VLOOKUP($C44,'_METADATA_TEMPLATE'!$B$2:$H$826,2,FALSE),"")</f>
        <v>300</v>
      </c>
      <c r="E44" s="2" t="str">
        <f>IFERROR(VLOOKUP($C44,'_METADATA_TEMPLATE'!$B$2:$H$826,4,FALSE),"")</f>
        <v>SE2026 - L BLOK III</v>
      </c>
      <c r="F44" s="2" t="str">
        <f>IFERROR(VLOOKUP($C44,'_METADATA_TEMPLATE'!$B$2:$H$826,5,FALSE),"")</f>
        <v>b</v>
      </c>
      <c r="G44" s="2" t="str">
        <f>IFERROR(VLOOKUP($C44,'_METADATA_TEMPLATE'!$B$2:$H$826,6,FALSE),"")</f>
        <v>Rematik</v>
      </c>
      <c r="H44" s="2" t="str">
        <f>IFERROR(VLOOKUP($C44,'_METADATA_TEMPLATE'!$B$2:$H$826,7,FALSE),"")</f>
        <v>Radio Group</v>
      </c>
      <c r="I44" s="2" t="str">
        <f>IFERROR(VLOOKUP(C44,'_METADATA_DEFAULT'!$A:$B,2,FALSE),"")</f>
        <v/>
      </c>
    </row>
    <row r="45" ht="15.75" customHeight="1">
      <c r="A45" s="3" t="s">
        <v>134</v>
      </c>
      <c r="B45" s="3" t="s">
        <v>270</v>
      </c>
      <c r="C45" s="3" t="s">
        <v>267</v>
      </c>
      <c r="D45" s="3">
        <f>IFERROR(VLOOKUP($C45,'_METADATA_TEMPLATE'!$B$2:$H$826,2,FALSE),"")</f>
        <v>300</v>
      </c>
      <c r="E45" s="3" t="str">
        <f>IFERROR(VLOOKUP($C45,'_METADATA_TEMPLATE'!$B$2:$H$826,4,FALSE),"")</f>
        <v>SE2026 - L BLOK III</v>
      </c>
      <c r="F45" s="3" t="str">
        <f>IFERROR(VLOOKUP($C45,'_METADATA_TEMPLATE'!$B$2:$H$826,5,FALSE),"")</f>
        <v>b</v>
      </c>
      <c r="G45" s="3" t="str">
        <f>IFERROR(VLOOKUP($C45,'_METADATA_TEMPLATE'!$B$2:$H$826,6,FALSE),"")</f>
        <v>Rematik</v>
      </c>
      <c r="H45" s="3" t="str">
        <f>IFERROR(VLOOKUP($C45,'_METADATA_TEMPLATE'!$B$2:$H$826,7,FALSE),"")</f>
        <v>Radio Group</v>
      </c>
      <c r="I45" s="3" t="str">
        <f>IFERROR(VLOOKUP(C45,'_METADATA_DEFAULT'!$A:$B,2,FALSE),"")</f>
        <v/>
      </c>
    </row>
    <row r="46" ht="15.75" customHeight="1">
      <c r="A46" s="2" t="s">
        <v>134</v>
      </c>
      <c r="B46" s="2" t="s">
        <v>274</v>
      </c>
      <c r="C46" s="2" t="s">
        <v>275</v>
      </c>
      <c r="D46" s="2">
        <f>IFERROR(VLOOKUP($C46,'_METADATA_TEMPLATE'!$B$2:$H$826,2,FALSE),"")</f>
        <v>301</v>
      </c>
      <c r="E46" s="2" t="str">
        <f>IFERROR(VLOOKUP($C46,'_METADATA_TEMPLATE'!$B$2:$H$826,4,FALSE),"")</f>
        <v>SE2026 - L BLOK III</v>
      </c>
      <c r="F46" s="2" t="str">
        <f>IFERROR(VLOOKUP($C46,'_METADATA_TEMPLATE'!$B$2:$H$826,5,FALSE),"")</f>
        <v>c</v>
      </c>
      <c r="G46" s="2" t="str">
        <f>IFERROR(VLOOKUP($C46,'_METADATA_TEMPLATE'!$B$2:$H$826,6,FALSE),"")</f>
        <v>Asma</v>
      </c>
      <c r="H46" s="2" t="str">
        <f>IFERROR(VLOOKUP($C46,'_METADATA_TEMPLATE'!$B$2:$H$826,7,FALSE),"")</f>
        <v>Radio Group</v>
      </c>
      <c r="I46" s="2" t="str">
        <f>IFERROR(VLOOKUP(C46,'_METADATA_DEFAULT'!$A:$B,2,FALSE),"")</f>
        <v/>
      </c>
    </row>
    <row r="47" ht="15.75" customHeight="1">
      <c r="A47" s="3" t="s">
        <v>134</v>
      </c>
      <c r="B47" s="3" t="s">
        <v>277</v>
      </c>
      <c r="C47" s="3" t="s">
        <v>275</v>
      </c>
      <c r="D47" s="3">
        <f>IFERROR(VLOOKUP($C47,'_METADATA_TEMPLATE'!$B$2:$H$826,2,FALSE),"")</f>
        <v>301</v>
      </c>
      <c r="E47" s="3" t="str">
        <f>IFERROR(VLOOKUP($C47,'_METADATA_TEMPLATE'!$B$2:$H$826,4,FALSE),"")</f>
        <v>SE2026 - L BLOK III</v>
      </c>
      <c r="F47" s="3" t="str">
        <f>IFERROR(VLOOKUP($C47,'_METADATA_TEMPLATE'!$B$2:$H$826,5,FALSE),"")</f>
        <v>c</v>
      </c>
      <c r="G47" s="3" t="str">
        <f>IFERROR(VLOOKUP($C47,'_METADATA_TEMPLATE'!$B$2:$H$826,6,FALSE),"")</f>
        <v>Asma</v>
      </c>
      <c r="H47" s="3" t="str">
        <f>IFERROR(VLOOKUP($C47,'_METADATA_TEMPLATE'!$B$2:$H$826,7,FALSE),"")</f>
        <v>Radio Group</v>
      </c>
      <c r="I47" s="3" t="str">
        <f>IFERROR(VLOOKUP(C47,'_METADATA_DEFAULT'!$A:$B,2,FALSE),"")</f>
        <v/>
      </c>
    </row>
    <row r="48" ht="15.75" customHeight="1">
      <c r="A48" s="2" t="s">
        <v>134</v>
      </c>
      <c r="B48" s="2" t="s">
        <v>279</v>
      </c>
      <c r="C48" s="2" t="s">
        <v>280</v>
      </c>
      <c r="D48" s="2">
        <f>IFERROR(VLOOKUP($C48,'_METADATA_TEMPLATE'!$B$2:$H$826,2,FALSE),"")</f>
        <v>302</v>
      </c>
      <c r="E48" s="2" t="str">
        <f>IFERROR(VLOOKUP($C48,'_METADATA_TEMPLATE'!$B$2:$H$826,4,FALSE),"")</f>
        <v>SE2026 - L BLOK III</v>
      </c>
      <c r="F48" s="2" t="str">
        <f>IFERROR(VLOOKUP($C48,'_METADATA_TEMPLATE'!$B$2:$H$826,5,FALSE),"")</f>
        <v>d</v>
      </c>
      <c r="G48" s="2" t="str">
        <f>IFERROR(VLOOKUP($C48,'_METADATA_TEMPLATE'!$B$2:$H$826,6,FALSE),"")</f>
        <v>Masalah jantung</v>
      </c>
      <c r="H48" s="2" t="str">
        <f>IFERROR(VLOOKUP($C48,'_METADATA_TEMPLATE'!$B$2:$H$826,7,FALSE),"")</f>
        <v>Radio Group</v>
      </c>
      <c r="I48" s="2" t="str">
        <f>IFERROR(VLOOKUP(C48,'_METADATA_DEFAULT'!$A:$B,2,FALSE),"")</f>
        <v/>
      </c>
    </row>
    <row r="49" ht="15.75" customHeight="1">
      <c r="A49" s="3" t="s">
        <v>134</v>
      </c>
      <c r="B49" s="3" t="s">
        <v>281</v>
      </c>
      <c r="C49" s="3" t="s">
        <v>280</v>
      </c>
      <c r="D49" s="3">
        <f>IFERROR(VLOOKUP($C49,'_METADATA_TEMPLATE'!$B$2:$H$826,2,FALSE),"")</f>
        <v>302</v>
      </c>
      <c r="E49" s="3" t="str">
        <f>IFERROR(VLOOKUP($C49,'_METADATA_TEMPLATE'!$B$2:$H$826,4,FALSE),"")</f>
        <v>SE2026 - L BLOK III</v>
      </c>
      <c r="F49" s="3" t="str">
        <f>IFERROR(VLOOKUP($C49,'_METADATA_TEMPLATE'!$B$2:$H$826,5,FALSE),"")</f>
        <v>d</v>
      </c>
      <c r="G49" s="3" t="str">
        <f>IFERROR(VLOOKUP($C49,'_METADATA_TEMPLATE'!$B$2:$H$826,6,FALSE),"")</f>
        <v>Masalah jantung</v>
      </c>
      <c r="H49" s="3" t="str">
        <f>IFERROR(VLOOKUP($C49,'_METADATA_TEMPLATE'!$B$2:$H$826,7,FALSE),"")</f>
        <v>Radio Group</v>
      </c>
      <c r="I49" s="3" t="str">
        <f>IFERROR(VLOOKUP(C49,'_METADATA_DEFAULT'!$A:$B,2,FALSE),"")</f>
        <v/>
      </c>
    </row>
    <row r="50" ht="15.75" customHeight="1">
      <c r="A50" s="2" t="s">
        <v>134</v>
      </c>
      <c r="B50" s="2" t="s">
        <v>282</v>
      </c>
      <c r="C50" s="2" t="s">
        <v>283</v>
      </c>
      <c r="D50" s="2">
        <f>IFERROR(VLOOKUP($C50,'_METADATA_TEMPLATE'!$B$2:$H$826,2,FALSE),"")</f>
        <v>303</v>
      </c>
      <c r="E50" s="2" t="str">
        <f>IFERROR(VLOOKUP($C50,'_METADATA_TEMPLATE'!$B$2:$H$826,4,FALSE),"")</f>
        <v>SE2026 - L BLOK III</v>
      </c>
      <c r="F50" s="2" t="str">
        <f>IFERROR(VLOOKUP($C50,'_METADATA_TEMPLATE'!$B$2:$H$826,5,FALSE),"")</f>
        <v>e</v>
      </c>
      <c r="G50" s="2" t="str">
        <f>IFERROR(VLOOKUP($C50,'_METADATA_TEMPLATE'!$B$2:$H$826,6,FALSE),"")</f>
        <v>Diabetes (kencing manis)</v>
      </c>
      <c r="H50" s="2" t="str">
        <f>IFERROR(VLOOKUP($C50,'_METADATA_TEMPLATE'!$B$2:$H$826,7,FALSE),"")</f>
        <v>Radio Group</v>
      </c>
      <c r="I50" s="2" t="str">
        <f>IFERROR(VLOOKUP(C50,'_METADATA_DEFAULT'!$A:$B,2,FALSE),"")</f>
        <v/>
      </c>
    </row>
    <row r="51" ht="15.75" customHeight="1">
      <c r="A51" s="3" t="s">
        <v>134</v>
      </c>
      <c r="B51" s="3" t="s">
        <v>285</v>
      </c>
      <c r="C51" s="3" t="s">
        <v>283</v>
      </c>
      <c r="D51" s="3">
        <f>IFERROR(VLOOKUP($C51,'_METADATA_TEMPLATE'!$B$2:$H$826,2,FALSE),"")</f>
        <v>303</v>
      </c>
      <c r="E51" s="3" t="str">
        <f>IFERROR(VLOOKUP($C51,'_METADATA_TEMPLATE'!$B$2:$H$826,4,FALSE),"")</f>
        <v>SE2026 - L BLOK III</v>
      </c>
      <c r="F51" s="3" t="str">
        <f>IFERROR(VLOOKUP($C51,'_METADATA_TEMPLATE'!$B$2:$H$826,5,FALSE),"")</f>
        <v>e</v>
      </c>
      <c r="G51" s="3" t="str">
        <f>IFERROR(VLOOKUP($C51,'_METADATA_TEMPLATE'!$B$2:$H$826,6,FALSE),"")</f>
        <v>Diabetes (kencing manis)</v>
      </c>
      <c r="H51" s="3" t="str">
        <f>IFERROR(VLOOKUP($C51,'_METADATA_TEMPLATE'!$B$2:$H$826,7,FALSE),"")</f>
        <v>Radio Group</v>
      </c>
      <c r="I51" s="3" t="str">
        <f>IFERROR(VLOOKUP(C51,'_METADATA_DEFAULT'!$A:$B,2,FALSE),"")</f>
        <v/>
      </c>
    </row>
    <row r="52" ht="15.75" customHeight="1">
      <c r="A52" s="2" t="s">
        <v>134</v>
      </c>
      <c r="B52" s="2" t="s">
        <v>286</v>
      </c>
      <c r="C52" s="2" t="s">
        <v>287</v>
      </c>
      <c r="D52" s="2">
        <f>IFERROR(VLOOKUP($C52,'_METADATA_TEMPLATE'!$B$2:$H$826,2,FALSE),"")</f>
        <v>304</v>
      </c>
      <c r="E52" s="2" t="str">
        <f>IFERROR(VLOOKUP($C52,'_METADATA_TEMPLATE'!$B$2:$H$826,4,FALSE),"")</f>
        <v>SE2026 - L BLOK III</v>
      </c>
      <c r="F52" s="2" t="str">
        <f>IFERROR(VLOOKUP($C52,'_METADATA_TEMPLATE'!$B$2:$H$826,5,FALSE),"")</f>
        <v>f</v>
      </c>
      <c r="G52" s="2" t="str">
        <f>IFERROR(VLOOKUP($C52,'_METADATA_TEMPLATE'!$B$2:$H$826,6,FALSE),"")</f>
        <v>Tuberkulosis (TBC)</v>
      </c>
      <c r="H52" s="2" t="str">
        <f>IFERROR(VLOOKUP($C52,'_METADATA_TEMPLATE'!$B$2:$H$826,7,FALSE),"")</f>
        <v>Radio Group</v>
      </c>
      <c r="I52" s="2" t="str">
        <f>IFERROR(VLOOKUP(C52,'_METADATA_DEFAULT'!$A:$B,2,FALSE),"")</f>
        <v/>
      </c>
    </row>
    <row r="53" ht="15.75" customHeight="1">
      <c r="A53" s="3" t="s">
        <v>134</v>
      </c>
      <c r="B53" s="3" t="s">
        <v>288</v>
      </c>
      <c r="C53" s="3" t="s">
        <v>287</v>
      </c>
      <c r="D53" s="3">
        <f>IFERROR(VLOOKUP($C53,'_METADATA_TEMPLATE'!$B$2:$H$826,2,FALSE),"")</f>
        <v>304</v>
      </c>
      <c r="E53" s="3" t="str">
        <f>IFERROR(VLOOKUP($C53,'_METADATA_TEMPLATE'!$B$2:$H$826,4,FALSE),"")</f>
        <v>SE2026 - L BLOK III</v>
      </c>
      <c r="F53" s="3" t="str">
        <f>IFERROR(VLOOKUP($C53,'_METADATA_TEMPLATE'!$B$2:$H$826,5,FALSE),"")</f>
        <v>f</v>
      </c>
      <c r="G53" s="3" t="str">
        <f>IFERROR(VLOOKUP($C53,'_METADATA_TEMPLATE'!$B$2:$H$826,6,FALSE),"")</f>
        <v>Tuberkulosis (TBC)</v>
      </c>
      <c r="H53" s="3" t="str">
        <f>IFERROR(VLOOKUP($C53,'_METADATA_TEMPLATE'!$B$2:$H$826,7,FALSE),"")</f>
        <v>Radio Group</v>
      </c>
      <c r="I53" s="3" t="str">
        <f>IFERROR(VLOOKUP(C53,'_METADATA_DEFAULT'!$A:$B,2,FALSE),"")</f>
        <v/>
      </c>
    </row>
    <row r="54" ht="15.75" customHeight="1">
      <c r="A54" s="2" t="s">
        <v>134</v>
      </c>
      <c r="B54" s="2" t="s">
        <v>289</v>
      </c>
      <c r="C54" s="2" t="s">
        <v>290</v>
      </c>
      <c r="D54" s="2">
        <f>IFERROR(VLOOKUP($C54,'_METADATA_TEMPLATE'!$B$2:$H$826,2,FALSE),"")</f>
        <v>305</v>
      </c>
      <c r="E54" s="2" t="str">
        <f>IFERROR(VLOOKUP($C54,'_METADATA_TEMPLATE'!$B$2:$H$826,4,FALSE),"")</f>
        <v>SE2026 - L BLOK III</v>
      </c>
      <c r="F54" s="2" t="str">
        <f>IFERROR(VLOOKUP($C54,'_METADATA_TEMPLATE'!$B$2:$H$826,5,FALSE),"")</f>
        <v>g</v>
      </c>
      <c r="G54" s="2" t="str">
        <f>IFERROR(VLOOKUP($C54,'_METADATA_TEMPLATE'!$B$2:$H$826,6,FALSE),"")</f>
        <v>Stroke</v>
      </c>
      <c r="H54" s="2" t="str">
        <f>IFERROR(VLOOKUP($C54,'_METADATA_TEMPLATE'!$B$2:$H$826,7,FALSE),"")</f>
        <v>Radio Group</v>
      </c>
      <c r="I54" s="2" t="str">
        <f>IFERROR(VLOOKUP(C54,'_METADATA_DEFAULT'!$A:$B,2,FALSE),"")</f>
        <v/>
      </c>
    </row>
    <row r="55" ht="15.75" customHeight="1">
      <c r="A55" s="3" t="s">
        <v>134</v>
      </c>
      <c r="B55" s="3" t="s">
        <v>291</v>
      </c>
      <c r="C55" s="3" t="s">
        <v>290</v>
      </c>
      <c r="D55" s="3">
        <f>IFERROR(VLOOKUP($C55,'_METADATA_TEMPLATE'!$B$2:$H$826,2,FALSE),"")</f>
        <v>305</v>
      </c>
      <c r="E55" s="3" t="str">
        <f>IFERROR(VLOOKUP($C55,'_METADATA_TEMPLATE'!$B$2:$H$826,4,FALSE),"")</f>
        <v>SE2026 - L BLOK III</v>
      </c>
      <c r="F55" s="3" t="str">
        <f>IFERROR(VLOOKUP($C55,'_METADATA_TEMPLATE'!$B$2:$H$826,5,FALSE),"")</f>
        <v>g</v>
      </c>
      <c r="G55" s="3" t="str">
        <f>IFERROR(VLOOKUP($C55,'_METADATA_TEMPLATE'!$B$2:$H$826,6,FALSE),"")</f>
        <v>Stroke</v>
      </c>
      <c r="H55" s="3" t="str">
        <f>IFERROR(VLOOKUP($C55,'_METADATA_TEMPLATE'!$B$2:$H$826,7,FALSE),"")</f>
        <v>Radio Group</v>
      </c>
      <c r="I55" s="3" t="str">
        <f>IFERROR(VLOOKUP(C55,'_METADATA_DEFAULT'!$A:$B,2,FALSE),"")</f>
        <v/>
      </c>
    </row>
    <row r="56" ht="15.75" customHeight="1">
      <c r="A56" s="2" t="s">
        <v>134</v>
      </c>
      <c r="B56" s="2" t="s">
        <v>292</v>
      </c>
      <c r="C56" s="2" t="s">
        <v>293</v>
      </c>
      <c r="D56" s="2">
        <f>IFERROR(VLOOKUP($C56,'_METADATA_TEMPLATE'!$B$2:$H$826,2,FALSE),"")</f>
        <v>306</v>
      </c>
      <c r="E56" s="2" t="str">
        <f>IFERROR(VLOOKUP($C56,'_METADATA_TEMPLATE'!$B$2:$H$826,4,FALSE),"")</f>
        <v>SE2026 - L BLOK III</v>
      </c>
      <c r="F56" s="2" t="str">
        <f>IFERROR(VLOOKUP($C56,'_METADATA_TEMPLATE'!$B$2:$H$826,5,FALSE),"")</f>
        <v>h</v>
      </c>
      <c r="G56" s="2" t="str">
        <f>IFERROR(VLOOKUP($C56,'_METADATA_TEMPLATE'!$B$2:$H$826,6,FALSE),"")</f>
        <v>Kanker atau tumor ganas</v>
      </c>
      <c r="H56" s="2" t="str">
        <f>IFERROR(VLOOKUP($C56,'_METADATA_TEMPLATE'!$B$2:$H$826,7,FALSE),"")</f>
        <v>Radio Group</v>
      </c>
      <c r="I56" s="2" t="str">
        <f>IFERROR(VLOOKUP(C56,'_METADATA_DEFAULT'!$A:$B,2,FALSE),"")</f>
        <v/>
      </c>
    </row>
    <row r="57" ht="15.75" customHeight="1">
      <c r="A57" s="3" t="s">
        <v>134</v>
      </c>
      <c r="B57" s="3" t="s">
        <v>294</v>
      </c>
      <c r="C57" s="3" t="s">
        <v>293</v>
      </c>
      <c r="D57" s="3">
        <f>IFERROR(VLOOKUP($C57,'_METADATA_TEMPLATE'!$B$2:$H$826,2,FALSE),"")</f>
        <v>306</v>
      </c>
      <c r="E57" s="3" t="str">
        <f>IFERROR(VLOOKUP($C57,'_METADATA_TEMPLATE'!$B$2:$H$826,4,FALSE),"")</f>
        <v>SE2026 - L BLOK III</v>
      </c>
      <c r="F57" s="3" t="str">
        <f>IFERROR(VLOOKUP($C57,'_METADATA_TEMPLATE'!$B$2:$H$826,5,FALSE),"")</f>
        <v>h</v>
      </c>
      <c r="G57" s="3" t="str">
        <f>IFERROR(VLOOKUP($C57,'_METADATA_TEMPLATE'!$B$2:$H$826,6,FALSE),"")</f>
        <v>Kanker atau tumor ganas</v>
      </c>
      <c r="H57" s="3" t="str">
        <f>IFERROR(VLOOKUP($C57,'_METADATA_TEMPLATE'!$B$2:$H$826,7,FALSE),"")</f>
        <v>Radio Group</v>
      </c>
      <c r="I57" s="3" t="str">
        <f>IFERROR(VLOOKUP(C57,'_METADATA_DEFAULT'!$A:$B,2,FALSE),"")</f>
        <v/>
      </c>
    </row>
    <row r="58" ht="15.75" customHeight="1">
      <c r="A58" s="2" t="s">
        <v>134</v>
      </c>
      <c r="B58" s="2" t="s">
        <v>297</v>
      </c>
      <c r="C58" s="2" t="s">
        <v>298</v>
      </c>
      <c r="D58" s="2">
        <f>IFERROR(VLOOKUP($C58,'_METADATA_TEMPLATE'!$B$2:$H$826,2,FALSE),"")</f>
        <v>307</v>
      </c>
      <c r="E58" s="2" t="str">
        <f>IFERROR(VLOOKUP($C58,'_METADATA_TEMPLATE'!$B$2:$H$826,4,FALSE),"")</f>
        <v>SE2026 - L BLOK III</v>
      </c>
      <c r="F58" s="2" t="str">
        <f>IFERROR(VLOOKUP($C58,'_METADATA_TEMPLATE'!$B$2:$H$826,5,FALSE),"")</f>
        <v>j</v>
      </c>
      <c r="G58" s="2" t="str">
        <f>IFERROR(VLOOKUP($C58,'_METADATA_TEMPLATE'!$B$2:$H$826,6,FALSE),"")</f>
        <v>Hemofilia</v>
      </c>
      <c r="H58" s="2" t="str">
        <f>IFERROR(VLOOKUP($C58,'_METADATA_TEMPLATE'!$B$2:$H$826,7,FALSE),"")</f>
        <v>Radio Group</v>
      </c>
      <c r="I58" s="2" t="str">
        <f>IFERROR(VLOOKUP(C58,'_METADATA_DEFAULT'!$A:$B,2,FALSE),"")</f>
        <v/>
      </c>
    </row>
    <row r="59" ht="15.75" customHeight="1">
      <c r="A59" s="3" t="s">
        <v>134</v>
      </c>
      <c r="B59" s="3" t="s">
        <v>299</v>
      </c>
      <c r="C59" s="3" t="s">
        <v>298</v>
      </c>
      <c r="D59" s="3">
        <f>IFERROR(VLOOKUP($C59,'_METADATA_TEMPLATE'!$B$2:$H$826,2,FALSE),"")</f>
        <v>307</v>
      </c>
      <c r="E59" s="3" t="str">
        <f>IFERROR(VLOOKUP($C59,'_METADATA_TEMPLATE'!$B$2:$H$826,4,FALSE),"")</f>
        <v>SE2026 - L BLOK III</v>
      </c>
      <c r="F59" s="3" t="str">
        <f>IFERROR(VLOOKUP($C59,'_METADATA_TEMPLATE'!$B$2:$H$826,5,FALSE),"")</f>
        <v>j</v>
      </c>
      <c r="G59" s="3" t="str">
        <f>IFERROR(VLOOKUP($C59,'_METADATA_TEMPLATE'!$B$2:$H$826,6,FALSE),"")</f>
        <v>Hemofilia</v>
      </c>
      <c r="H59" s="3" t="str">
        <f>IFERROR(VLOOKUP($C59,'_METADATA_TEMPLATE'!$B$2:$H$826,7,FALSE),"")</f>
        <v>Radio Group</v>
      </c>
      <c r="I59" s="3" t="str">
        <f>IFERROR(VLOOKUP(C59,'_METADATA_DEFAULT'!$A:$B,2,FALSE),"")</f>
        <v/>
      </c>
    </row>
    <row r="60" ht="15.75" customHeight="1">
      <c r="A60" s="2" t="s">
        <v>134</v>
      </c>
      <c r="B60" s="2" t="s">
        <v>300</v>
      </c>
      <c r="C60" s="2" t="s">
        <v>301</v>
      </c>
      <c r="D60" s="2">
        <f>IFERROR(VLOOKUP($C60,'_METADATA_TEMPLATE'!$B$2:$H$826,2,FALSE),"")</f>
        <v>308</v>
      </c>
      <c r="E60" s="2" t="str">
        <f>IFERROR(VLOOKUP($C60,'_METADATA_TEMPLATE'!$B$2:$H$826,4,FALSE),"")</f>
        <v>SE2026 - L BLOK III</v>
      </c>
      <c r="F60" s="2" t="str">
        <f>IFERROR(VLOOKUP($C60,'_METADATA_TEMPLATE'!$B$2:$H$826,5,FALSE),"")</f>
        <v>i</v>
      </c>
      <c r="G60" s="2" t="str">
        <f>IFERROR(VLOOKUP($C60,'_METADATA_TEMPLATE'!$B$2:$H$826,6,FALSE),"")</f>
        <v>Gagal ginjal</v>
      </c>
      <c r="H60" s="2" t="str">
        <f>IFERROR(VLOOKUP($C60,'_METADATA_TEMPLATE'!$B$2:$H$826,7,FALSE),"")</f>
        <v>Radio Group</v>
      </c>
      <c r="I60" s="2" t="str">
        <f>IFERROR(VLOOKUP(C60,'_METADATA_DEFAULT'!$A:$B,2,FALSE),"")</f>
        <v/>
      </c>
    </row>
    <row r="61" ht="15.75" customHeight="1">
      <c r="A61" s="3" t="s">
        <v>134</v>
      </c>
      <c r="B61" s="3" t="s">
        <v>302</v>
      </c>
      <c r="C61" s="3" t="s">
        <v>301</v>
      </c>
      <c r="D61" s="3">
        <f>IFERROR(VLOOKUP($C61,'_METADATA_TEMPLATE'!$B$2:$H$826,2,FALSE),"")</f>
        <v>308</v>
      </c>
      <c r="E61" s="3" t="str">
        <f>IFERROR(VLOOKUP($C61,'_METADATA_TEMPLATE'!$B$2:$H$826,4,FALSE),"")</f>
        <v>SE2026 - L BLOK III</v>
      </c>
      <c r="F61" s="3" t="str">
        <f>IFERROR(VLOOKUP($C61,'_METADATA_TEMPLATE'!$B$2:$H$826,5,FALSE),"")</f>
        <v>i</v>
      </c>
      <c r="G61" s="3" t="str">
        <f>IFERROR(VLOOKUP($C61,'_METADATA_TEMPLATE'!$B$2:$H$826,6,FALSE),"")</f>
        <v>Gagal ginjal</v>
      </c>
      <c r="H61" s="3" t="str">
        <f>IFERROR(VLOOKUP($C61,'_METADATA_TEMPLATE'!$B$2:$H$826,7,FALSE),"")</f>
        <v>Radio Group</v>
      </c>
      <c r="I61" s="3" t="str">
        <f>IFERROR(VLOOKUP(C61,'_METADATA_DEFAULT'!$A:$B,2,FALSE),"")</f>
        <v/>
      </c>
    </row>
    <row r="62" ht="15.75" customHeight="1">
      <c r="A62" s="2" t="s">
        <v>134</v>
      </c>
      <c r="B62" s="2" t="s">
        <v>303</v>
      </c>
      <c r="C62" s="2" t="s">
        <v>304</v>
      </c>
      <c r="D62" s="2">
        <f>IFERROR(VLOOKUP($C62,'_METADATA_TEMPLATE'!$B$2:$H$826,2,FALSE),"")</f>
        <v>309</v>
      </c>
      <c r="E62" s="2" t="str">
        <f>IFERROR(VLOOKUP($C62,'_METADATA_TEMPLATE'!$B$2:$H$826,4,FALSE),"")</f>
        <v>SE2026 - L BLOK III</v>
      </c>
      <c r="F62" s="2" t="str">
        <f>IFERROR(VLOOKUP($C62,'_METADATA_TEMPLATE'!$B$2:$H$826,5,FALSE),"")</f>
        <v>k</v>
      </c>
      <c r="G62" s="2" t="str">
        <f>IFERROR(VLOOKUP($C62,'_METADATA_TEMPLATE'!$B$2:$H$826,6,FALSE),"")</f>
        <v>HIV/AIDS</v>
      </c>
      <c r="H62" s="2" t="str">
        <f>IFERROR(VLOOKUP($C62,'_METADATA_TEMPLATE'!$B$2:$H$826,7,FALSE),"")</f>
        <v>Radio Group</v>
      </c>
      <c r="I62" s="2" t="str">
        <f>IFERROR(VLOOKUP(C62,'_METADATA_DEFAULT'!$A:$B,2,FALSE),"")</f>
        <v/>
      </c>
    </row>
    <row r="63" ht="15.75" customHeight="1">
      <c r="A63" s="3" t="s">
        <v>134</v>
      </c>
      <c r="B63" s="3" t="s">
        <v>305</v>
      </c>
      <c r="C63" s="3" t="s">
        <v>304</v>
      </c>
      <c r="D63" s="3">
        <f>IFERROR(VLOOKUP($C63,'_METADATA_TEMPLATE'!$B$2:$H$826,2,FALSE),"")</f>
        <v>309</v>
      </c>
      <c r="E63" s="3" t="str">
        <f>IFERROR(VLOOKUP($C63,'_METADATA_TEMPLATE'!$B$2:$H$826,4,FALSE),"")</f>
        <v>SE2026 - L BLOK III</v>
      </c>
      <c r="F63" s="3" t="str">
        <f>IFERROR(VLOOKUP($C63,'_METADATA_TEMPLATE'!$B$2:$H$826,5,FALSE),"")</f>
        <v>k</v>
      </c>
      <c r="G63" s="3" t="str">
        <f>IFERROR(VLOOKUP($C63,'_METADATA_TEMPLATE'!$B$2:$H$826,6,FALSE),"")</f>
        <v>HIV/AIDS</v>
      </c>
      <c r="H63" s="3" t="str">
        <f>IFERROR(VLOOKUP($C63,'_METADATA_TEMPLATE'!$B$2:$H$826,7,FALSE),"")</f>
        <v>Radio Group</v>
      </c>
      <c r="I63" s="3" t="str">
        <f>IFERROR(VLOOKUP(C63,'_METADATA_DEFAULT'!$A:$B,2,FALSE),"")</f>
        <v/>
      </c>
    </row>
    <row r="64" ht="15.75" customHeight="1">
      <c r="A64" s="2" t="s">
        <v>134</v>
      </c>
      <c r="B64" s="2" t="s">
        <v>306</v>
      </c>
      <c r="C64" s="2" t="s">
        <v>307</v>
      </c>
      <c r="D64" s="2">
        <f>IFERROR(VLOOKUP($C64,'_METADATA_TEMPLATE'!$B$2:$H$826,2,FALSE),"")</f>
        <v>310</v>
      </c>
      <c r="E64" s="2" t="str">
        <f>IFERROR(VLOOKUP($C64,'_METADATA_TEMPLATE'!$B$2:$H$826,4,FALSE),"")</f>
        <v>SE2026 - L BLOK III</v>
      </c>
      <c r="F64" s="2" t="str">
        <f>IFERROR(VLOOKUP($C64,'_METADATA_TEMPLATE'!$B$2:$H$826,5,FALSE),"")</f>
        <v>l</v>
      </c>
      <c r="G64" s="2" t="str">
        <f>IFERROR(VLOOKUP($C64,'_METADATA_TEMPLATE'!$B$2:$H$826,6,FALSE),"")</f>
        <v>Kolestrol</v>
      </c>
      <c r="H64" s="2" t="str">
        <f>IFERROR(VLOOKUP($C64,'_METADATA_TEMPLATE'!$B$2:$H$826,7,FALSE),"")</f>
        <v>Radio Group</v>
      </c>
      <c r="I64" s="2" t="str">
        <f>IFERROR(VLOOKUP(C64,'_METADATA_DEFAULT'!$A:$B,2,FALSE),"")</f>
        <v/>
      </c>
    </row>
    <row r="65" ht="15.75" customHeight="1">
      <c r="A65" s="3" t="s">
        <v>134</v>
      </c>
      <c r="B65" s="3" t="s">
        <v>308</v>
      </c>
      <c r="C65" s="3" t="s">
        <v>307</v>
      </c>
      <c r="D65" s="3">
        <f>IFERROR(VLOOKUP($C65,'_METADATA_TEMPLATE'!$B$2:$H$826,2,FALSE),"")</f>
        <v>310</v>
      </c>
      <c r="E65" s="3" t="str">
        <f>IFERROR(VLOOKUP($C65,'_METADATA_TEMPLATE'!$B$2:$H$826,4,FALSE),"")</f>
        <v>SE2026 - L BLOK III</v>
      </c>
      <c r="F65" s="3" t="str">
        <f>IFERROR(VLOOKUP($C65,'_METADATA_TEMPLATE'!$B$2:$H$826,5,FALSE),"")</f>
        <v>l</v>
      </c>
      <c r="G65" s="3" t="str">
        <f>IFERROR(VLOOKUP($C65,'_METADATA_TEMPLATE'!$B$2:$H$826,6,FALSE),"")</f>
        <v>Kolestrol</v>
      </c>
      <c r="H65" s="3" t="str">
        <f>IFERROR(VLOOKUP($C65,'_METADATA_TEMPLATE'!$B$2:$H$826,7,FALSE),"")</f>
        <v>Radio Group</v>
      </c>
      <c r="I65" s="3" t="str">
        <f>IFERROR(VLOOKUP(C65,'_METADATA_DEFAULT'!$A:$B,2,FALSE),"")</f>
        <v/>
      </c>
    </row>
    <row r="66" ht="15.75" customHeight="1">
      <c r="A66" s="2" t="s">
        <v>134</v>
      </c>
      <c r="B66" s="2" t="s">
        <v>309</v>
      </c>
      <c r="C66" s="2" t="s">
        <v>310</v>
      </c>
      <c r="D66" s="2">
        <f>IFERROR(VLOOKUP($C66,'_METADATA_TEMPLATE'!$B$2:$H$826,2,FALSE),"")</f>
        <v>311</v>
      </c>
      <c r="E66" s="2" t="str">
        <f>IFERROR(VLOOKUP($C66,'_METADATA_TEMPLATE'!$B$2:$H$826,4,FALSE),"")</f>
        <v>SE2026 - L BLOK III</v>
      </c>
      <c r="F66" s="2" t="str">
        <f>IFERROR(VLOOKUP($C66,'_METADATA_TEMPLATE'!$B$2:$H$826,5,FALSE),"")</f>
        <v>m</v>
      </c>
      <c r="G66" s="2" t="str">
        <f>IFERROR(VLOOKUP($C66,'_METADATA_TEMPLATE'!$B$2:$H$826,6,FALSE),"")</f>
        <v>Sirosis hati</v>
      </c>
      <c r="H66" s="2" t="str">
        <f>IFERROR(VLOOKUP($C66,'_METADATA_TEMPLATE'!$B$2:$H$826,7,FALSE),"")</f>
        <v>Radio Group</v>
      </c>
      <c r="I66" s="2" t="str">
        <f>IFERROR(VLOOKUP(C66,'_METADATA_DEFAULT'!$A:$B,2,FALSE),"")</f>
        <v/>
      </c>
    </row>
    <row r="67" ht="15.75" customHeight="1">
      <c r="A67" s="3" t="s">
        <v>134</v>
      </c>
      <c r="B67" s="3" t="s">
        <v>311</v>
      </c>
      <c r="C67" s="3" t="s">
        <v>310</v>
      </c>
      <c r="D67" s="3">
        <f>IFERROR(VLOOKUP($C67,'_METADATA_TEMPLATE'!$B$2:$H$826,2,FALSE),"")</f>
        <v>311</v>
      </c>
      <c r="E67" s="3" t="str">
        <f>IFERROR(VLOOKUP($C67,'_METADATA_TEMPLATE'!$B$2:$H$826,4,FALSE),"")</f>
        <v>SE2026 - L BLOK III</v>
      </c>
      <c r="F67" s="3" t="str">
        <f>IFERROR(VLOOKUP($C67,'_METADATA_TEMPLATE'!$B$2:$H$826,5,FALSE),"")</f>
        <v>m</v>
      </c>
      <c r="G67" s="3" t="str">
        <f>IFERROR(VLOOKUP($C67,'_METADATA_TEMPLATE'!$B$2:$H$826,6,FALSE),"")</f>
        <v>Sirosis hati</v>
      </c>
      <c r="H67" s="3" t="str">
        <f>IFERROR(VLOOKUP($C67,'_METADATA_TEMPLATE'!$B$2:$H$826,7,FALSE),"")</f>
        <v>Radio Group</v>
      </c>
      <c r="I67" s="3" t="str">
        <f>IFERROR(VLOOKUP(C67,'_METADATA_DEFAULT'!$A:$B,2,FALSE),"")</f>
        <v/>
      </c>
    </row>
    <row r="68" ht="15.75" customHeight="1">
      <c r="A68" s="2" t="s">
        <v>134</v>
      </c>
      <c r="B68" s="2" t="s">
        <v>312</v>
      </c>
      <c r="C68" s="2" t="s">
        <v>313</v>
      </c>
      <c r="D68" s="2">
        <f>IFERROR(VLOOKUP($C68,'_METADATA_TEMPLATE'!$B$2:$H$826,2,FALSE),"")</f>
        <v>312</v>
      </c>
      <c r="E68" s="2" t="str">
        <f>IFERROR(VLOOKUP($C68,'_METADATA_TEMPLATE'!$B$2:$H$826,4,FALSE),"")</f>
        <v>SE2026 - L BLOK III</v>
      </c>
      <c r="F68" s="2" t="str">
        <f>IFERROR(VLOOKUP($C68,'_METADATA_TEMPLATE'!$B$2:$H$826,5,FALSE),"")</f>
        <v>n</v>
      </c>
      <c r="G68" s="2" t="str">
        <f>IFERROR(VLOOKUP($C68,'_METADATA_TEMPLATE'!$B$2:$H$826,6,FALSE),"")</f>
        <v>Talasemia</v>
      </c>
      <c r="H68" s="2" t="str">
        <f>IFERROR(VLOOKUP($C68,'_METADATA_TEMPLATE'!$B$2:$H$826,7,FALSE),"")</f>
        <v>Radio Group</v>
      </c>
      <c r="I68" s="2" t="str">
        <f>IFERROR(VLOOKUP(C68,'_METADATA_DEFAULT'!$A:$B,2,FALSE),"")</f>
        <v/>
      </c>
    </row>
    <row r="69" ht="15.75" customHeight="1">
      <c r="A69" s="3" t="s">
        <v>134</v>
      </c>
      <c r="B69" s="3" t="s">
        <v>314</v>
      </c>
      <c r="C69" s="3" t="s">
        <v>313</v>
      </c>
      <c r="D69" s="3">
        <f>IFERROR(VLOOKUP($C69,'_METADATA_TEMPLATE'!$B$2:$H$826,2,FALSE),"")</f>
        <v>312</v>
      </c>
      <c r="E69" s="3" t="str">
        <f>IFERROR(VLOOKUP($C69,'_METADATA_TEMPLATE'!$B$2:$H$826,4,FALSE),"")</f>
        <v>SE2026 - L BLOK III</v>
      </c>
      <c r="F69" s="3" t="str">
        <f>IFERROR(VLOOKUP($C69,'_METADATA_TEMPLATE'!$B$2:$H$826,5,FALSE),"")</f>
        <v>n</v>
      </c>
      <c r="G69" s="3" t="str">
        <f>IFERROR(VLOOKUP($C69,'_METADATA_TEMPLATE'!$B$2:$H$826,6,FALSE),"")</f>
        <v>Talasemia</v>
      </c>
      <c r="H69" s="3" t="str">
        <f>IFERROR(VLOOKUP($C69,'_METADATA_TEMPLATE'!$B$2:$H$826,7,FALSE),"")</f>
        <v>Radio Group</v>
      </c>
      <c r="I69" s="3" t="str">
        <f>IFERROR(VLOOKUP(C69,'_METADATA_DEFAULT'!$A:$B,2,FALSE),"")</f>
        <v/>
      </c>
    </row>
    <row r="70" ht="15.75" customHeight="1">
      <c r="A70" s="2" t="s">
        <v>134</v>
      </c>
      <c r="B70" s="2" t="s">
        <v>315</v>
      </c>
      <c r="C70" s="2" t="s">
        <v>316</v>
      </c>
      <c r="D70" s="2">
        <f>IFERROR(VLOOKUP($C70,'_METADATA_TEMPLATE'!$B$2:$H$826,2,FALSE),"")</f>
        <v>313</v>
      </c>
      <c r="E70" s="2" t="str">
        <f>IFERROR(VLOOKUP($C70,'_METADATA_TEMPLATE'!$B$2:$H$826,4,FALSE),"")</f>
        <v>SE2026 - L BLOK III</v>
      </c>
      <c r="F70" s="2" t="str">
        <f>IFERROR(VLOOKUP($C70,'_METADATA_TEMPLATE'!$B$2:$H$826,5,FALSE),"")</f>
        <v>o</v>
      </c>
      <c r="G70" s="2" t="str">
        <f>IFERROR(VLOOKUP($C70,'_METADATA_TEMPLATE'!$B$2:$H$826,6,FALSE),"")</f>
        <v>Leukemia</v>
      </c>
      <c r="H70" s="2" t="str">
        <f>IFERROR(VLOOKUP($C70,'_METADATA_TEMPLATE'!$B$2:$H$826,7,FALSE),"")</f>
        <v>Radio Group</v>
      </c>
      <c r="I70" s="2" t="str">
        <f>IFERROR(VLOOKUP(C70,'_METADATA_DEFAULT'!$A:$B,2,FALSE),"")</f>
        <v/>
      </c>
    </row>
    <row r="71" ht="15.75" customHeight="1">
      <c r="A71" s="3" t="s">
        <v>134</v>
      </c>
      <c r="B71" s="3" t="s">
        <v>318</v>
      </c>
      <c r="C71" s="3" t="s">
        <v>316</v>
      </c>
      <c r="D71" s="3">
        <f>IFERROR(VLOOKUP($C71,'_METADATA_TEMPLATE'!$B$2:$H$826,2,FALSE),"")</f>
        <v>313</v>
      </c>
      <c r="E71" s="3" t="str">
        <f>IFERROR(VLOOKUP($C71,'_METADATA_TEMPLATE'!$B$2:$H$826,4,FALSE),"")</f>
        <v>SE2026 - L BLOK III</v>
      </c>
      <c r="F71" s="3" t="str">
        <f>IFERROR(VLOOKUP($C71,'_METADATA_TEMPLATE'!$B$2:$H$826,5,FALSE),"")</f>
        <v>o</v>
      </c>
      <c r="G71" s="3" t="str">
        <f>IFERROR(VLOOKUP($C71,'_METADATA_TEMPLATE'!$B$2:$H$826,6,FALSE),"")</f>
        <v>Leukemia</v>
      </c>
      <c r="H71" s="3" t="str">
        <f>IFERROR(VLOOKUP($C71,'_METADATA_TEMPLATE'!$B$2:$H$826,7,FALSE),"")</f>
        <v>Radio Group</v>
      </c>
      <c r="I71" s="3" t="str">
        <f>IFERROR(VLOOKUP(C71,'_METADATA_DEFAULT'!$A:$B,2,FALSE),"")</f>
        <v/>
      </c>
    </row>
    <row r="72" ht="15.75" customHeight="1">
      <c r="A72" s="2" t="s">
        <v>134</v>
      </c>
      <c r="B72" s="2" t="s">
        <v>319</v>
      </c>
      <c r="C72" s="2" t="s">
        <v>320</v>
      </c>
      <c r="D72" s="2">
        <f>IFERROR(VLOOKUP($C72,'_METADATA_TEMPLATE'!$B$2:$H$826,2,FALSE),"")</f>
        <v>314</v>
      </c>
      <c r="E72" s="2" t="str">
        <f>IFERROR(VLOOKUP($C72,'_METADATA_TEMPLATE'!$B$2:$H$826,4,FALSE),"")</f>
        <v>SE2026 - L BLOK III</v>
      </c>
      <c r="F72" s="2" t="str">
        <f>IFERROR(VLOOKUP($C72,'_METADATA_TEMPLATE'!$B$2:$H$826,5,FALSE),"")</f>
        <v>p</v>
      </c>
      <c r="G72" s="2" t="str">
        <f>IFERROR(VLOOKUP($C72,'_METADATA_TEMPLATE'!$B$2:$H$826,6,FALSE),"")</f>
        <v>Alzheimer</v>
      </c>
      <c r="H72" s="2" t="str">
        <f>IFERROR(VLOOKUP($C72,'_METADATA_TEMPLATE'!$B$2:$H$826,7,FALSE),"")</f>
        <v>Radio Group</v>
      </c>
      <c r="I72" s="2" t="str">
        <f>IFERROR(VLOOKUP(C72,'_METADATA_DEFAULT'!$A:$B,2,FALSE),"")</f>
        <v/>
      </c>
    </row>
    <row r="73" ht="15.75" customHeight="1">
      <c r="A73" s="3" t="s">
        <v>134</v>
      </c>
      <c r="B73" s="3" t="s">
        <v>321</v>
      </c>
      <c r="C73" s="3" t="s">
        <v>320</v>
      </c>
      <c r="D73" s="3">
        <f>IFERROR(VLOOKUP($C73,'_METADATA_TEMPLATE'!$B$2:$H$826,2,FALSE),"")</f>
        <v>314</v>
      </c>
      <c r="E73" s="3" t="str">
        <f>IFERROR(VLOOKUP($C73,'_METADATA_TEMPLATE'!$B$2:$H$826,4,FALSE),"")</f>
        <v>SE2026 - L BLOK III</v>
      </c>
      <c r="F73" s="3" t="str">
        <f>IFERROR(VLOOKUP($C73,'_METADATA_TEMPLATE'!$B$2:$H$826,5,FALSE),"")</f>
        <v>p</v>
      </c>
      <c r="G73" s="3" t="str">
        <f>IFERROR(VLOOKUP($C73,'_METADATA_TEMPLATE'!$B$2:$H$826,6,FALSE),"")</f>
        <v>Alzheimer</v>
      </c>
      <c r="H73" s="3" t="str">
        <f>IFERROR(VLOOKUP($C73,'_METADATA_TEMPLATE'!$B$2:$H$826,7,FALSE),"")</f>
        <v>Radio Group</v>
      </c>
      <c r="I73" s="3" t="str">
        <f>IFERROR(VLOOKUP(C73,'_METADATA_DEFAULT'!$A:$B,2,FALSE),"")</f>
        <v/>
      </c>
    </row>
    <row r="74" ht="15.75" customHeight="1">
      <c r="A74" s="2" t="s">
        <v>134</v>
      </c>
      <c r="B74" s="2" t="s">
        <v>322</v>
      </c>
      <c r="C74" s="2" t="s">
        <v>323</v>
      </c>
      <c r="D74" s="2">
        <f>IFERROR(VLOOKUP($C74,'_METADATA_TEMPLATE'!$B$2:$H$826,2,FALSE),"")</f>
        <v>315</v>
      </c>
      <c r="E74" s="2" t="str">
        <f>IFERROR(VLOOKUP($C74,'_METADATA_TEMPLATE'!$B$2:$H$826,4,FALSE),"")</f>
        <v>SE2026 - L BLOK III</v>
      </c>
      <c r="F74" s="2" t="str">
        <f>IFERROR(VLOOKUP($C74,'_METADATA_TEMPLATE'!$B$2:$H$826,5,FALSE),"")</f>
        <v>q</v>
      </c>
      <c r="G74" s="2" t="str">
        <f>IFERROR(VLOOKUP($C74,'_METADATA_TEMPLATE'!$B$2:$H$826,6,FALSE),"")</f>
        <v>Lainnya</v>
      </c>
      <c r="H74" s="2" t="str">
        <f>IFERROR(VLOOKUP($C74,'_METADATA_TEMPLATE'!$B$2:$H$826,7,FALSE),"")</f>
        <v>Radio Group</v>
      </c>
      <c r="I74" s="2" t="str">
        <f>IFERROR(VLOOKUP(C74,'_METADATA_DEFAULT'!$A:$B,2,FALSE),"")</f>
        <v/>
      </c>
    </row>
    <row r="75" ht="15.75" customHeight="1">
      <c r="A75" s="3" t="s">
        <v>134</v>
      </c>
      <c r="B75" s="3" t="s">
        <v>325</v>
      </c>
      <c r="C75" s="3" t="s">
        <v>323</v>
      </c>
      <c r="D75" s="3">
        <f>IFERROR(VLOOKUP($C75,'_METADATA_TEMPLATE'!$B$2:$H$826,2,FALSE),"")</f>
        <v>315</v>
      </c>
      <c r="E75" s="3" t="str">
        <f>IFERROR(VLOOKUP($C75,'_METADATA_TEMPLATE'!$B$2:$H$826,4,FALSE),"")</f>
        <v>SE2026 - L BLOK III</v>
      </c>
      <c r="F75" s="3" t="str">
        <f>IFERROR(VLOOKUP($C75,'_METADATA_TEMPLATE'!$B$2:$H$826,5,FALSE),"")</f>
        <v>q</v>
      </c>
      <c r="G75" s="3" t="str">
        <f>IFERROR(VLOOKUP($C75,'_METADATA_TEMPLATE'!$B$2:$H$826,6,FALSE),"")</f>
        <v>Lainnya</v>
      </c>
      <c r="H75" s="3" t="str">
        <f>IFERROR(VLOOKUP($C75,'_METADATA_TEMPLATE'!$B$2:$H$826,7,FALSE),"")</f>
        <v>Radio Group</v>
      </c>
      <c r="I75" s="3" t="str">
        <f>IFERROR(VLOOKUP(C75,'_METADATA_DEFAULT'!$A:$B,2,FALSE),"")</f>
        <v/>
      </c>
    </row>
    <row r="76" ht="15.75" customHeight="1">
      <c r="A76" s="2" t="s">
        <v>134</v>
      </c>
      <c r="B76" s="2" t="s">
        <v>326</v>
      </c>
      <c r="C76" s="2" t="s">
        <v>326</v>
      </c>
      <c r="D76" s="2">
        <f>IFERROR(VLOOKUP($C76,'_METADATA_TEMPLATE'!$B$2:$H$826,2,FALSE),"")</f>
        <v>554</v>
      </c>
      <c r="E76" s="2" t="str">
        <f>IFERROR(VLOOKUP($C76,'_METADATA_TEMPLATE'!$B$2:$H$826,4,FALSE),"")</f>
        <v/>
      </c>
      <c r="F76" s="2" t="str">
        <f>IFERROR(VLOOKUP($C76,'_METADATA_TEMPLATE'!$B$2:$H$826,5,FALSE),"")</f>
        <v/>
      </c>
      <c r="G76" s="2" t="str">
        <f>IFERROR(VLOOKUP($C76,'_METADATA_TEMPLATE'!$B$2:$H$826,6,FALSE),"")</f>
        <v>ec_art_dtsen</v>
      </c>
      <c r="H76" s="2" t="str">
        <f>IFERROR(VLOOKUP($C76,'_METADATA_TEMPLATE'!$B$2:$H$826,7,FALSE),"")</f>
        <v>Variable</v>
      </c>
      <c r="I76" s="2" t="str">
        <f>IFERROR(VLOOKUP(C76,'_METADATA_DEFAULT'!$A:$B,2,FALSE),"")</f>
        <v/>
      </c>
    </row>
    <row r="77" ht="15.75" customHeight="1">
      <c r="A77" s="3" t="s">
        <v>134</v>
      </c>
      <c r="B77" s="3" t="s">
        <v>327</v>
      </c>
      <c r="C77" s="3" t="s">
        <v>327</v>
      </c>
      <c r="D77" s="3">
        <f>IFERROR(VLOOKUP($C77,'_METADATA_TEMPLATE'!$B$2:$H$826,2,FALSE),"")</f>
        <v>556</v>
      </c>
      <c r="E77" s="3" t="str">
        <f>IFERROR(VLOOKUP($C77,'_METADATA_TEMPLATE'!$B$2:$H$826,4,FALSE),"")</f>
        <v/>
      </c>
      <c r="F77" s="3" t="str">
        <f>IFERROR(VLOOKUP($C77,'_METADATA_TEMPLATE'!$B$2:$H$826,5,FALSE),"")</f>
        <v/>
      </c>
      <c r="G77" s="3" t="str">
        <f>IFERROR(VLOOKUP($C77,'_METADATA_TEMPLATE'!$B$2:$H$826,6,FALSE),"")</f>
        <v>ec_art_pendapatan</v>
      </c>
      <c r="H77" s="3" t="str">
        <f>IFERROR(VLOOKUP($C77,'_METADATA_TEMPLATE'!$B$2:$H$826,7,FALSE),"")</f>
        <v>Variable</v>
      </c>
      <c r="I77" s="3" t="str">
        <f>IFERROR(VLOOKUP(C77,'_METADATA_DEFAULT'!$A:$B,2,FALSE),"")</f>
        <v/>
      </c>
    </row>
    <row r="78" ht="15.75" customHeight="1">
      <c r="A78" s="2" t="s">
        <v>134</v>
      </c>
      <c r="B78" s="2" t="s">
        <v>328</v>
      </c>
      <c r="C78" s="2" t="s">
        <v>328</v>
      </c>
      <c r="D78" s="2">
        <f>IFERROR(VLOOKUP($C78,'_METADATA_TEMPLATE'!$B$2:$H$826,2,FALSE),"")</f>
        <v>558</v>
      </c>
      <c r="E78" s="2" t="str">
        <f>IFERROR(VLOOKUP($C78,'_METADATA_TEMPLATE'!$B$2:$H$826,4,FALSE),"")</f>
        <v/>
      </c>
      <c r="F78" s="2" t="str">
        <f>IFERROR(VLOOKUP($C78,'_METADATA_TEMPLATE'!$B$2:$H$826,5,FALSE),"")</f>
        <v/>
      </c>
      <c r="G78" s="2" t="str">
        <f>IFERROR(VLOOKUP($C78,'_METADATA_TEMPLATE'!$B$2:$H$826,6,FALSE),"")</f>
        <v>set_sekolah_prelist</v>
      </c>
      <c r="H78" s="2" t="str">
        <f>IFERROR(VLOOKUP($C78,'_METADATA_TEMPLATE'!$B$2:$H$826,7,FALSE),"")</f>
        <v>Variable</v>
      </c>
      <c r="I78" s="2" t="str">
        <f>IFERROR(VLOOKUP(C78,'_METADATA_DEFAULT'!$A:$B,2,FALSE),"")</f>
        <v/>
      </c>
    </row>
    <row r="79" ht="15.75" customHeight="1">
      <c r="A79" s="3" t="s">
        <v>134</v>
      </c>
      <c r="B79" s="3" t="s">
        <v>329</v>
      </c>
      <c r="C79" s="3" t="s">
        <v>329</v>
      </c>
      <c r="D79" s="3">
        <f>IFERROR(VLOOKUP($C79,'_METADATA_TEMPLATE'!$B$2:$H$826,2,FALSE),"")</f>
        <v>559</v>
      </c>
      <c r="E79" s="3" t="str">
        <f>IFERROR(VLOOKUP($C79,'_METADATA_TEMPLATE'!$B$2:$H$826,4,FALSE),"")</f>
        <v/>
      </c>
      <c r="F79" s="3" t="str">
        <f>IFERROR(VLOOKUP($C79,'_METADATA_TEMPLATE'!$B$2:$H$826,5,FALSE),"")</f>
        <v/>
      </c>
      <c r="G79" s="3" t="str">
        <f>IFERROR(VLOOKUP($C79,'_METADATA_TEMPLATE'!$B$2:$H$826,6,FALSE),"")</f>
        <v>Sekolah Prelist</v>
      </c>
      <c r="H79" s="3" t="str">
        <f>IFERROR(VLOOKUP($C79,'_METADATA_TEMPLATE'!$B$2:$H$826,7,FALSE),"")</f>
        <v>Variable</v>
      </c>
      <c r="I79" s="3" t="str">
        <f>IFERROR(VLOOKUP(C79,'_METADATA_DEFAULT'!$A:$B,2,FALSE),"")</f>
        <v/>
      </c>
    </row>
    <row r="80" ht="15.75" customHeight="1">
      <c r="A80" s="2" t="s">
        <v>134</v>
      </c>
      <c r="B80" s="2" t="s">
        <v>330</v>
      </c>
      <c r="C80" s="2" t="s">
        <v>330</v>
      </c>
      <c r="D80" s="2">
        <f>IFERROR(VLOOKUP($C80,'_METADATA_TEMPLATE'!$B$2:$H$826,2,FALSE),"")</f>
        <v>561</v>
      </c>
      <c r="E80" s="2" t="str">
        <f>IFERROR(VLOOKUP($C80,'_METADATA_TEMPLATE'!$B$2:$H$826,4,FALSE),"")</f>
        <v/>
      </c>
      <c r="F80" s="2" t="str">
        <f>IFERROR(VLOOKUP($C80,'_METADATA_TEMPLATE'!$B$2:$H$826,5,FALSE),"")</f>
        <v/>
      </c>
      <c r="G80" s="2" t="str">
        <f>IFERROR(VLOOKUP($C80,'_METADATA_TEMPLATE'!$B$2:$H$826,6,FALSE),"")</f>
        <v>set_ijazah_prelist</v>
      </c>
      <c r="H80" s="2" t="str">
        <f>IFERROR(VLOOKUP($C80,'_METADATA_TEMPLATE'!$B$2:$H$826,7,FALSE),"")</f>
        <v>Variable</v>
      </c>
      <c r="I80" s="2" t="str">
        <f>IFERROR(VLOOKUP(C80,'_METADATA_DEFAULT'!$A:$B,2,FALSE),"")</f>
        <v/>
      </c>
    </row>
    <row r="81" ht="15.75" customHeight="1">
      <c r="A81" s="3" t="s">
        <v>134</v>
      </c>
      <c r="B81" s="3" t="s">
        <v>331</v>
      </c>
      <c r="C81" s="3" t="s">
        <v>331</v>
      </c>
      <c r="D81" s="3">
        <f>IFERROR(VLOOKUP($C81,'_METADATA_TEMPLATE'!$B$2:$H$826,2,FALSE),"")</f>
        <v>563</v>
      </c>
      <c r="E81" s="3" t="str">
        <f>IFERROR(VLOOKUP($C81,'_METADATA_TEMPLATE'!$B$2:$H$826,4,FALSE),"")</f>
        <v/>
      </c>
      <c r="F81" s="3" t="str">
        <f>IFERROR(VLOOKUP($C81,'_METADATA_TEMPLATE'!$B$2:$H$826,5,FALSE),"")</f>
        <v/>
      </c>
      <c r="G81" s="3" t="str">
        <f>IFERROR(VLOOKUP($C81,'_METADATA_TEMPLATE'!$B$2:$H$826,6,FALSE),"")</f>
        <v>Ijazah Prelist</v>
      </c>
      <c r="H81" s="3" t="str">
        <f>IFERROR(VLOOKUP($C81,'_METADATA_TEMPLATE'!$B$2:$H$826,7,FALSE),"")</f>
        <v>Variable</v>
      </c>
      <c r="I81" s="3" t="str">
        <f>IFERROR(VLOOKUP(C81,'_METADATA_DEFAULT'!$A:$B,2,FALSE),"")</f>
        <v/>
      </c>
    </row>
    <row r="82" ht="15.75" customHeight="1">
      <c r="A82" s="2" t="s">
        <v>134</v>
      </c>
      <c r="B82" s="2" t="s">
        <v>12</v>
      </c>
      <c r="C82" s="2" t="s">
        <v>12</v>
      </c>
      <c r="D82" s="2" t="str">
        <f>IFERROR(VLOOKUP($C82,'_METADATA_TEMPLATE'!$B$2:$H$826,2,FALSE),"")</f>
        <v/>
      </c>
      <c r="E82" s="2" t="str">
        <f>IFERROR(VLOOKUP($C82,'_METADATA_TEMPLATE'!$B$2:$H$826,4,FALSE),"")</f>
        <v/>
      </c>
      <c r="F82" s="2" t="str">
        <f>IFERROR(VLOOKUP($C82,'_METADATA_TEMPLATE'!$B$2:$H$826,5,FALSE),"")</f>
        <v/>
      </c>
      <c r="G82" s="2" t="str">
        <f>IFERROR(VLOOKUP($C82,'_METADATA_TEMPLATE'!$B$2:$H$826,6,FALSE),"")</f>
        <v/>
      </c>
      <c r="H82" s="2" t="str">
        <f>IFERROR(VLOOKUP($C82,'_METADATA_TEMPLATE'!$B$2:$H$826,7,FALSE),"")</f>
        <v/>
      </c>
      <c r="I82" s="2" t="str">
        <f>IFERROR(VLOOKUP(C82,'_METADATA_DEFAULT'!$A:$B,2,FALSE),"")</f>
        <v>ID Assignment</v>
      </c>
    </row>
    <row r="83" ht="15.75" customHeight="1">
      <c r="A83" s="3" t="s">
        <v>134</v>
      </c>
      <c r="B83" s="3" t="s">
        <v>132</v>
      </c>
      <c r="C83" s="3" t="s">
        <v>132</v>
      </c>
      <c r="D83" s="3" t="str">
        <f>IFERROR(VLOOKUP($C83,'_METADATA_TEMPLATE'!$B$2:$H$826,2,FALSE),"")</f>
        <v/>
      </c>
      <c r="E83" s="3" t="str">
        <f>IFERROR(VLOOKUP($C83,'_METADATA_TEMPLATE'!$B$2:$H$826,4,FALSE),"")</f>
        <v/>
      </c>
      <c r="F83" s="3" t="str">
        <f>IFERROR(VLOOKUP($C83,'_METADATA_TEMPLATE'!$B$2:$H$826,5,FALSE),"")</f>
        <v/>
      </c>
      <c r="G83" s="3" t="str">
        <f>IFERROR(VLOOKUP($C83,'_METADATA_TEMPLATE'!$B$2:$H$826,6,FALSE),"")</f>
        <v/>
      </c>
      <c r="H83" s="3" t="str">
        <f>IFERROR(VLOOKUP($C83,'_METADATA_TEMPLATE'!$B$2:$H$826,7,FALSE),"")</f>
        <v/>
      </c>
      <c r="I83" s="3" t="str">
        <f>IFERROR(VLOOKUP(C83,'_METADATA_DEFAULT'!$A:$B,2,FALSE),"")</f>
        <v>ID Roster/Nested Level 1</v>
      </c>
    </row>
    <row r="84" ht="15.75" customHeight="1">
      <c r="A84" s="2" t="s">
        <v>134</v>
      </c>
      <c r="B84" s="2" t="s">
        <v>18</v>
      </c>
      <c r="C84" s="2" t="s">
        <v>18</v>
      </c>
      <c r="D84" s="2" t="str">
        <f>IFERROR(VLOOKUP($C84,'_METADATA_TEMPLATE'!$B$2:$H$826,2,FALSE),"")</f>
        <v/>
      </c>
      <c r="E84" s="2" t="str">
        <f>IFERROR(VLOOKUP($C84,'_METADATA_TEMPLATE'!$B$2:$H$826,4,FALSE),"")</f>
        <v/>
      </c>
      <c r="F84" s="2" t="str">
        <f>IFERROR(VLOOKUP($C84,'_METADATA_TEMPLATE'!$B$2:$H$826,5,FALSE),"")</f>
        <v/>
      </c>
      <c r="G84" s="2" t="str">
        <f>IFERROR(VLOOKUP($C84,'_METADATA_TEMPLATE'!$B$2:$H$826,6,FALSE),"")</f>
        <v/>
      </c>
      <c r="H84" s="2" t="str">
        <f>IFERROR(VLOOKUP($C84,'_METADATA_TEMPLATE'!$B$2:$H$826,7,FALSE),"")</f>
        <v/>
      </c>
      <c r="I84" s="2" t="str">
        <f>IFERROR(VLOOKUP(C84,'_METADATA_DEFAULT'!$A:$B,2,FALSE),"")</f>
        <v>Kode Lengkap Provinsi</v>
      </c>
    </row>
    <row r="85" ht="15.75" customHeight="1">
      <c r="A85" s="3" t="s">
        <v>134</v>
      </c>
      <c r="B85" s="3" t="s">
        <v>20</v>
      </c>
      <c r="C85" s="3" t="s">
        <v>20</v>
      </c>
      <c r="D85" s="3" t="str">
        <f>IFERROR(VLOOKUP($C85,'_METADATA_TEMPLATE'!$B$2:$H$826,2,FALSE),"")</f>
        <v/>
      </c>
      <c r="E85" s="3" t="str">
        <f>IFERROR(VLOOKUP($C85,'_METADATA_TEMPLATE'!$B$2:$H$826,4,FALSE),"")</f>
        <v/>
      </c>
      <c r="F85" s="3" t="str">
        <f>IFERROR(VLOOKUP($C85,'_METADATA_TEMPLATE'!$B$2:$H$826,5,FALSE),"")</f>
        <v/>
      </c>
      <c r="G85" s="3" t="str">
        <f>IFERROR(VLOOKUP($C85,'_METADATA_TEMPLATE'!$B$2:$H$826,6,FALSE),"")</f>
        <v/>
      </c>
      <c r="H85" s="3" t="str">
        <f>IFERROR(VLOOKUP($C85,'_METADATA_TEMPLATE'!$B$2:$H$826,7,FALSE),"")</f>
        <v/>
      </c>
      <c r="I85" s="3" t="str">
        <f>IFERROR(VLOOKUP(C85,'_METADATA_DEFAULT'!$A:$B,2,FALSE),"")</f>
        <v>Kode Lengkap Kabupaten/Kota</v>
      </c>
    </row>
    <row r="86" ht="15.75" customHeight="1">
      <c r="A86" s="2" t="s">
        <v>134</v>
      </c>
      <c r="B86" s="2" t="s">
        <v>43</v>
      </c>
      <c r="C86" s="2" t="s">
        <v>43</v>
      </c>
      <c r="D86" s="2" t="str">
        <f>IFERROR(VLOOKUP($C86,'_METADATA_TEMPLATE'!$B$2:$H$826,2,FALSE),"")</f>
        <v/>
      </c>
      <c r="E86" s="2" t="str">
        <f>IFERROR(VLOOKUP($C86,'_METADATA_TEMPLATE'!$B$2:$H$826,4,FALSE),"")</f>
        <v/>
      </c>
      <c r="F86" s="2" t="str">
        <f>IFERROR(VLOOKUP($C86,'_METADATA_TEMPLATE'!$B$2:$H$826,5,FALSE),"")</f>
        <v/>
      </c>
      <c r="G86" s="2" t="str">
        <f>IFERROR(VLOOKUP($C86,'_METADATA_TEMPLATE'!$B$2:$H$826,6,FALSE),"")</f>
        <v/>
      </c>
      <c r="H86" s="2" t="str">
        <f>IFERROR(VLOOKUP($C86,'_METADATA_TEMPLATE'!$B$2:$H$826,7,FALSE),"")</f>
        <v/>
      </c>
      <c r="I86" s="2" t="str">
        <f>IFERROR(VLOOKUP(C86,'_METADATA_DEFAULT'!$A:$B,2,FALSE),"")</f>
        <v>Tanggal Assignment Terakhir Diubah</v>
      </c>
    </row>
    <row r="87" ht="15.75" customHeight="1">
      <c r="A87" s="3" t="s">
        <v>134</v>
      </c>
      <c r="B87" s="3" t="s">
        <v>21</v>
      </c>
      <c r="C87" s="3" t="s">
        <v>21</v>
      </c>
      <c r="D87" s="3" t="str">
        <f>IFERROR(VLOOKUP($C87,'_METADATA_TEMPLATE'!$B$2:$H$826,2,FALSE),"")</f>
        <v/>
      </c>
      <c r="E87" s="3" t="str">
        <f>IFERROR(VLOOKUP($C87,'_METADATA_TEMPLATE'!$B$2:$H$826,4,FALSE),"")</f>
        <v/>
      </c>
      <c r="F87" s="3" t="str">
        <f>IFERROR(VLOOKUP($C87,'_METADATA_TEMPLATE'!$B$2:$H$826,5,FALSE),"")</f>
        <v/>
      </c>
      <c r="G87" s="3" t="str">
        <f>IFERROR(VLOOKUP($C87,'_METADATA_TEMPLATE'!$B$2:$H$826,6,FALSE),"")</f>
        <v/>
      </c>
      <c r="H87" s="3" t="str">
        <f>IFERROR(VLOOKUP($C87,'_METADATA_TEMPLATE'!$B$2:$H$826,7,FALSE),"")</f>
        <v/>
      </c>
      <c r="I87" s="3" t="str">
        <f>IFERROR(VLOOKUP(C87,'_METADATA_DEFAULT'!$A:$B,2,FALSE),"")</f>
        <v>ID Assignment + Timestamp</v>
      </c>
    </row>
    <row r="88" ht="15.75" customHeight="1">
      <c r="A88" s="2" t="s">
        <v>134</v>
      </c>
      <c r="B88" s="2" t="s">
        <v>153</v>
      </c>
      <c r="C88" s="2" t="s">
        <v>153</v>
      </c>
      <c r="D88" s="2" t="str">
        <f>IFERROR(VLOOKUP($C88,'_METADATA_TEMPLATE'!$B$2:$H$826,2,FALSE),"")</f>
        <v/>
      </c>
      <c r="E88" s="2" t="str">
        <f>IFERROR(VLOOKUP($C88,'_METADATA_TEMPLATE'!$B$2:$H$826,4,FALSE),"")</f>
        <v/>
      </c>
      <c r="F88" s="2" t="str">
        <f>IFERROR(VLOOKUP($C88,'_METADATA_TEMPLATE'!$B$2:$H$826,5,FALSE),"")</f>
        <v/>
      </c>
      <c r="G88" s="2" t="str">
        <f>IFERROR(VLOOKUP($C88,'_METADATA_TEMPLATE'!$B$2:$H$826,6,FALSE),"")</f>
        <v/>
      </c>
      <c r="H88" s="2" t="str">
        <f>IFERROR(VLOOKUP($C88,'_METADATA_TEMPLATE'!$B$2:$H$826,7,FALSE),"")</f>
        <v/>
      </c>
      <c r="I88" s="2" t="str">
        <f>IFERROR(VLOOKUP(C88,'_METADATA_DEFAULT'!$A:$B,2,FALSE),"")</f>
        <v>1 = Assignment Tambahan, 0 = Assignment Prelist</v>
      </c>
    </row>
    <row r="89" ht="15.75" customHeight="1">
      <c r="A89" s="3" t="s">
        <v>134</v>
      </c>
      <c r="B89" s="3" t="s">
        <v>42</v>
      </c>
      <c r="C89" s="3" t="s">
        <v>42</v>
      </c>
      <c r="D89" s="3" t="str">
        <f>IFERROR(VLOOKUP($C89,'_METADATA_TEMPLATE'!$B$2:$H$826,2,FALSE),"")</f>
        <v/>
      </c>
      <c r="E89" s="3" t="str">
        <f>IFERROR(VLOOKUP($C89,'_METADATA_TEMPLATE'!$B$2:$H$826,4,FALSE),"")</f>
        <v/>
      </c>
      <c r="F89" s="3" t="str">
        <f>IFERROR(VLOOKUP($C89,'_METADATA_TEMPLATE'!$B$2:$H$826,5,FALSE),"")</f>
        <v/>
      </c>
      <c r="G89" s="3" t="str">
        <f>IFERROR(VLOOKUP($C89,'_METADATA_TEMPLATE'!$B$2:$H$826,6,FALSE),"")</f>
        <v/>
      </c>
      <c r="H89" s="3" t="str">
        <f>IFERROR(VLOOKUP($C89,'_METADATA_TEMPLATE'!$B$2:$H$826,7,FALSE),"")</f>
        <v/>
      </c>
      <c r="I89" s="3" t="str">
        <f>IFERROR(VLOOKUP(C89,'_METADATA_DEFAULT'!$A:$B,2,FALSE),"")</f>
        <v>Status Assignment</v>
      </c>
    </row>
    <row r="90" ht="15.75" customHeight="1">
      <c r="A90" s="2" t="s">
        <v>134</v>
      </c>
      <c r="B90" s="2" t="s">
        <v>47</v>
      </c>
      <c r="C90" s="2" t="s">
        <v>47</v>
      </c>
      <c r="D90" s="2" t="str">
        <f>IFERROR(VLOOKUP($C90,'_METADATA_TEMPLATE'!$B$2:$H$826,2,FALSE),"")</f>
        <v/>
      </c>
      <c r="E90" s="2" t="str">
        <f>IFERROR(VLOOKUP($C90,'_METADATA_TEMPLATE'!$B$2:$H$826,4,FALSE),"")</f>
        <v/>
      </c>
      <c r="F90" s="2" t="str">
        <f>IFERROR(VLOOKUP($C90,'_METADATA_TEMPLATE'!$B$2:$H$826,5,FALSE),"")</f>
        <v/>
      </c>
      <c r="G90" s="2" t="str">
        <f>IFERROR(VLOOKUP($C90,'_METADATA_TEMPLATE'!$B$2:$H$826,6,FALSE),"")</f>
        <v/>
      </c>
      <c r="H90" s="2" t="str">
        <f>IFERROR(VLOOKUP($C90,'_METADATA_TEMPLATE'!$B$2:$H$826,7,FALSE),"")</f>
        <v/>
      </c>
      <c r="I90" s="2" t="str">
        <f>IFERROR(VLOOKUP(C90,'_METADATA_DEFAULT'!$A:$B,2,FALSE),"")</f>
        <v>ID Status Assignment</v>
      </c>
    </row>
    <row r="91" ht="15.75" customHeight="1">
      <c r="A91" s="3" t="s">
        <v>134</v>
      </c>
      <c r="B91" s="3" t="s">
        <v>26</v>
      </c>
      <c r="C91" s="3" t="s">
        <v>26</v>
      </c>
      <c r="D91" s="3" t="str">
        <f>IFERROR(VLOOKUP($C91,'_METADATA_TEMPLATE'!$B$2:$H$826,2,FALSE),"")</f>
        <v/>
      </c>
      <c r="E91" s="3" t="str">
        <f>IFERROR(VLOOKUP($C91,'_METADATA_TEMPLATE'!$B$2:$H$826,4,FALSE),"")</f>
        <v/>
      </c>
      <c r="F91" s="3" t="str">
        <f>IFERROR(VLOOKUP($C91,'_METADATA_TEMPLATE'!$B$2:$H$826,5,FALSE),"")</f>
        <v/>
      </c>
      <c r="G91" s="3" t="str">
        <f>IFERROR(VLOOKUP($C91,'_METADATA_TEMPLATE'!$B$2:$H$826,6,FALSE),"")</f>
        <v/>
      </c>
      <c r="H91" s="3" t="str">
        <f>IFERROR(VLOOKUP($C91,'_METADATA_TEMPLATE'!$B$2:$H$826,7,FALSE),"")</f>
        <v/>
      </c>
      <c r="I91" s="3" t="str">
        <f>IFERROR(VLOOKUP(C91,'_METADATA_DEFAULT'!$A:$B,2,FALSE),"")</f>
        <v>1 = Aktif, 0 = Dihapus</v>
      </c>
    </row>
    <row r="92" ht="15.75" customHeight="1">
      <c r="A92" s="2" t="s">
        <v>134</v>
      </c>
      <c r="B92" s="2" t="s">
        <v>137</v>
      </c>
      <c r="C92" s="2" t="s">
        <v>137</v>
      </c>
      <c r="D92" s="2" t="str">
        <f>IFERROR(VLOOKUP($C92,'_METADATA_TEMPLATE'!$B$2:$H$826,2,FALSE),"")</f>
        <v/>
      </c>
      <c r="E92" s="2" t="str">
        <f>IFERROR(VLOOKUP($C92,'_METADATA_TEMPLATE'!$B$2:$H$826,4,FALSE),"")</f>
        <v/>
      </c>
      <c r="F92" s="2" t="str">
        <f>IFERROR(VLOOKUP($C92,'_METADATA_TEMPLATE'!$B$2:$H$826,5,FALSE),"")</f>
        <v/>
      </c>
      <c r="G92" s="2" t="str">
        <f>IFERROR(VLOOKUP($C92,'_METADATA_TEMPLATE'!$B$2:$H$826,6,FALSE),"")</f>
        <v/>
      </c>
      <c r="H92" s="2" t="str">
        <f>IFERROR(VLOOKUP($C92,'_METADATA_TEMPLATE'!$B$2:$H$826,7,FALSE),"")</f>
        <v/>
      </c>
      <c r="I92" s="2" t="str">
        <f>IFERROR(VLOOKUP(C92,'_METADATA_DEFAULT'!$A:$B,2,FALSE),"")</f>
        <v>Kode Provinsi</v>
      </c>
    </row>
    <row r="93" ht="15.75" customHeight="1">
      <c r="A93" s="3" t="s">
        <v>134</v>
      </c>
      <c r="B93" s="3" t="s">
        <v>141</v>
      </c>
      <c r="C93" s="3" t="s">
        <v>141</v>
      </c>
      <c r="D93" s="3" t="str">
        <f>IFERROR(VLOOKUP($C93,'_METADATA_TEMPLATE'!$B$2:$H$826,2,FALSE),"")</f>
        <v/>
      </c>
      <c r="E93" s="3" t="str">
        <f>IFERROR(VLOOKUP($C93,'_METADATA_TEMPLATE'!$B$2:$H$826,4,FALSE),"")</f>
        <v/>
      </c>
      <c r="F93" s="3" t="str">
        <f>IFERROR(VLOOKUP($C93,'_METADATA_TEMPLATE'!$B$2:$H$826,5,FALSE),"")</f>
        <v/>
      </c>
      <c r="G93" s="3" t="str">
        <f>IFERROR(VLOOKUP($C93,'_METADATA_TEMPLATE'!$B$2:$H$826,6,FALSE),"")</f>
        <v/>
      </c>
      <c r="H93" s="3" t="str">
        <f>IFERROR(VLOOKUP($C93,'_METADATA_TEMPLATE'!$B$2:$H$826,7,FALSE),"")</f>
        <v/>
      </c>
      <c r="I93" s="3" t="str">
        <f>IFERROR(VLOOKUP(C93,'_METADATA_DEFAULT'!$A:$B,2,FALSE),"")</f>
        <v>Provinsi</v>
      </c>
    </row>
    <row r="94" ht="15.75" customHeight="1">
      <c r="A94" s="2" t="s">
        <v>134</v>
      </c>
      <c r="B94" s="2" t="s">
        <v>145</v>
      </c>
      <c r="C94" s="2" t="s">
        <v>145</v>
      </c>
      <c r="D94" s="2" t="str">
        <f>IFERROR(VLOOKUP($C94,'_METADATA_TEMPLATE'!$B$2:$H$826,2,FALSE),"")</f>
        <v/>
      </c>
      <c r="E94" s="2" t="str">
        <f>IFERROR(VLOOKUP($C94,'_METADATA_TEMPLATE'!$B$2:$H$826,4,FALSE),"")</f>
        <v/>
      </c>
      <c r="F94" s="2" t="str">
        <f>IFERROR(VLOOKUP($C94,'_METADATA_TEMPLATE'!$B$2:$H$826,5,FALSE),"")</f>
        <v/>
      </c>
      <c r="G94" s="2" t="str">
        <f>IFERROR(VLOOKUP($C94,'_METADATA_TEMPLATE'!$B$2:$H$826,6,FALSE),"")</f>
        <v/>
      </c>
      <c r="H94" s="2" t="str">
        <f>IFERROR(VLOOKUP($C94,'_METADATA_TEMPLATE'!$B$2:$H$826,7,FALSE),"")</f>
        <v/>
      </c>
      <c r="I94" s="2" t="str">
        <f>IFERROR(VLOOKUP(C94,'_METADATA_DEFAULT'!$A:$B,2,FALSE),"")</f>
        <v/>
      </c>
    </row>
    <row r="95" ht="15.75" customHeight="1">
      <c r="A95" s="3" t="s">
        <v>134</v>
      </c>
      <c r="B95" s="3" t="s">
        <v>149</v>
      </c>
      <c r="C95" s="3" t="s">
        <v>149</v>
      </c>
      <c r="D95" s="3" t="str">
        <f>IFERROR(VLOOKUP($C95,'_METADATA_TEMPLATE'!$B$2:$H$826,2,FALSE),"")</f>
        <v/>
      </c>
      <c r="E95" s="3" t="str">
        <f>IFERROR(VLOOKUP($C95,'_METADATA_TEMPLATE'!$B$2:$H$826,4,FALSE),"")</f>
        <v/>
      </c>
      <c r="F95" s="3" t="str">
        <f>IFERROR(VLOOKUP($C95,'_METADATA_TEMPLATE'!$B$2:$H$826,5,FALSE),"")</f>
        <v/>
      </c>
      <c r="G95" s="3" t="str">
        <f>IFERROR(VLOOKUP($C95,'_METADATA_TEMPLATE'!$B$2:$H$826,6,FALSE),"")</f>
        <v/>
      </c>
      <c r="H95" s="3" t="str">
        <f>IFERROR(VLOOKUP($C95,'_METADATA_TEMPLATE'!$B$2:$H$826,7,FALSE),"")</f>
        <v/>
      </c>
      <c r="I95" s="3" t="str">
        <f>IFERROR(VLOOKUP(C95,'_METADATA_DEFAULT'!$A:$B,2,FALSE),"")</f>
        <v/>
      </c>
    </row>
    <row r="96" ht="15.75" customHeight="1">
      <c r="A96" s="2" t="s">
        <v>134</v>
      </c>
      <c r="B96" s="2" t="s">
        <v>157</v>
      </c>
      <c r="C96" s="2" t="s">
        <v>157</v>
      </c>
      <c r="D96" s="2" t="str">
        <f>IFERROR(VLOOKUP($C96,'_METADATA_TEMPLATE'!$B$2:$H$826,2,FALSE),"")</f>
        <v/>
      </c>
      <c r="E96" s="2" t="str">
        <f>IFERROR(VLOOKUP($C96,'_METADATA_TEMPLATE'!$B$2:$H$826,4,FALSE),"")</f>
        <v/>
      </c>
      <c r="F96" s="2" t="str">
        <f>IFERROR(VLOOKUP($C96,'_METADATA_TEMPLATE'!$B$2:$H$826,5,FALSE),"")</f>
        <v/>
      </c>
      <c r="G96" s="2" t="str">
        <f>IFERROR(VLOOKUP($C96,'_METADATA_TEMPLATE'!$B$2:$H$826,6,FALSE),"")</f>
        <v/>
      </c>
      <c r="H96" s="2" t="str">
        <f>IFERROR(VLOOKUP($C96,'_METADATA_TEMPLATE'!$B$2:$H$826,7,FALSE),"")</f>
        <v/>
      </c>
      <c r="I96" s="2" t="str">
        <f>IFERROR(VLOOKUP(C96,'_METADATA_DEFAULT'!$A:$B,2,FALSE),"")</f>
        <v/>
      </c>
    </row>
    <row r="97" ht="15.75" customHeight="1">
      <c r="A97" s="3" t="s">
        <v>134</v>
      </c>
      <c r="B97" s="3" t="s">
        <v>161</v>
      </c>
      <c r="C97" s="3" t="s">
        <v>161</v>
      </c>
      <c r="D97" s="3" t="str">
        <f>IFERROR(VLOOKUP($C97,'_METADATA_TEMPLATE'!$B$2:$H$826,2,FALSE),"")</f>
        <v/>
      </c>
      <c r="E97" s="3" t="str">
        <f>IFERROR(VLOOKUP($C97,'_METADATA_TEMPLATE'!$B$2:$H$826,4,FALSE),"")</f>
        <v/>
      </c>
      <c r="F97" s="3" t="str">
        <f>IFERROR(VLOOKUP($C97,'_METADATA_TEMPLATE'!$B$2:$H$826,5,FALSE),"")</f>
        <v/>
      </c>
      <c r="G97" s="3" t="str">
        <f>IFERROR(VLOOKUP($C97,'_METADATA_TEMPLATE'!$B$2:$H$826,6,FALSE),"")</f>
        <v/>
      </c>
      <c r="H97" s="3" t="str">
        <f>IFERROR(VLOOKUP($C97,'_METADATA_TEMPLATE'!$B$2:$H$826,7,FALSE),"")</f>
        <v/>
      </c>
      <c r="I97" s="3" t="str">
        <f>IFERROR(VLOOKUP(C97,'_METADATA_DEFAULT'!$A:$B,2,FALSE),"")</f>
        <v>Kode Kabupaten/Kota</v>
      </c>
    </row>
    <row r="98" ht="15.75" customHeight="1">
      <c r="A98" s="2" t="s">
        <v>134</v>
      </c>
      <c r="B98" s="2" t="s">
        <v>165</v>
      </c>
      <c r="C98" s="2" t="s">
        <v>165</v>
      </c>
      <c r="D98" s="2" t="str">
        <f>IFERROR(VLOOKUP($C98,'_METADATA_TEMPLATE'!$B$2:$H$826,2,FALSE),"")</f>
        <v/>
      </c>
      <c r="E98" s="2" t="str">
        <f>IFERROR(VLOOKUP($C98,'_METADATA_TEMPLATE'!$B$2:$H$826,4,FALSE),"")</f>
        <v/>
      </c>
      <c r="F98" s="2" t="str">
        <f>IFERROR(VLOOKUP($C98,'_METADATA_TEMPLATE'!$B$2:$H$826,5,FALSE),"")</f>
        <v/>
      </c>
      <c r="G98" s="2" t="str">
        <f>IFERROR(VLOOKUP($C98,'_METADATA_TEMPLATE'!$B$2:$H$826,6,FALSE),"")</f>
        <v/>
      </c>
      <c r="H98" s="2" t="str">
        <f>IFERROR(VLOOKUP($C98,'_METADATA_TEMPLATE'!$B$2:$H$826,7,FALSE),"")</f>
        <v/>
      </c>
      <c r="I98" s="2" t="str">
        <f>IFERROR(VLOOKUP(C98,'_METADATA_DEFAULT'!$A:$B,2,FALSE),"")</f>
        <v>Kabupaten/Kota</v>
      </c>
    </row>
    <row r="99" ht="15.75" customHeight="1">
      <c r="A99" s="3" t="s">
        <v>134</v>
      </c>
      <c r="B99" s="3" t="s">
        <v>168</v>
      </c>
      <c r="C99" s="3" t="s">
        <v>168</v>
      </c>
      <c r="D99" s="3" t="str">
        <f>IFERROR(VLOOKUP($C99,'_METADATA_TEMPLATE'!$B$2:$H$826,2,FALSE),"")</f>
        <v/>
      </c>
      <c r="E99" s="3" t="str">
        <f>IFERROR(VLOOKUP($C99,'_METADATA_TEMPLATE'!$B$2:$H$826,4,FALSE),"")</f>
        <v/>
      </c>
      <c r="F99" s="3" t="str">
        <f>IFERROR(VLOOKUP($C99,'_METADATA_TEMPLATE'!$B$2:$H$826,5,FALSE),"")</f>
        <v/>
      </c>
      <c r="G99" s="3" t="str">
        <f>IFERROR(VLOOKUP($C99,'_METADATA_TEMPLATE'!$B$2:$H$826,6,FALSE),"")</f>
        <v/>
      </c>
      <c r="H99" s="3" t="str">
        <f>IFERROR(VLOOKUP($C99,'_METADATA_TEMPLATE'!$B$2:$H$826,7,FALSE),"")</f>
        <v/>
      </c>
      <c r="I99" s="3" t="str">
        <f>IFERROR(VLOOKUP(C99,'_METADATA_DEFAULT'!$A:$B,2,FALSE),"")</f>
        <v>Kode Kecamatan</v>
      </c>
    </row>
    <row r="100" ht="15.75" customHeight="1">
      <c r="A100" s="2" t="s">
        <v>134</v>
      </c>
      <c r="B100" s="2" t="s">
        <v>172</v>
      </c>
      <c r="C100" s="2" t="s">
        <v>172</v>
      </c>
      <c r="D100" s="2" t="str">
        <f>IFERROR(VLOOKUP($C100,'_METADATA_TEMPLATE'!$B$2:$H$826,2,FALSE),"")</f>
        <v/>
      </c>
      <c r="E100" s="2" t="str">
        <f>IFERROR(VLOOKUP($C100,'_METADATA_TEMPLATE'!$B$2:$H$826,4,FALSE),"")</f>
        <v/>
      </c>
      <c r="F100" s="2" t="str">
        <f>IFERROR(VLOOKUP($C100,'_METADATA_TEMPLATE'!$B$2:$H$826,5,FALSE),"")</f>
        <v/>
      </c>
      <c r="G100" s="2" t="str">
        <f>IFERROR(VLOOKUP($C100,'_METADATA_TEMPLATE'!$B$2:$H$826,6,FALSE),"")</f>
        <v/>
      </c>
      <c r="H100" s="2" t="str">
        <f>IFERROR(VLOOKUP($C100,'_METADATA_TEMPLATE'!$B$2:$H$826,7,FALSE),"")</f>
        <v/>
      </c>
      <c r="I100" s="2" t="str">
        <f>IFERROR(VLOOKUP(C100,'_METADATA_DEFAULT'!$A:$B,2,FALSE),"")</f>
        <v>Kode Lengkap Kecamatan</v>
      </c>
    </row>
    <row r="101" ht="15.75" customHeight="1">
      <c r="A101" s="3" t="s">
        <v>134</v>
      </c>
      <c r="B101" s="3" t="s">
        <v>176</v>
      </c>
      <c r="C101" s="3" t="s">
        <v>176</v>
      </c>
      <c r="D101" s="3" t="str">
        <f>IFERROR(VLOOKUP($C101,'_METADATA_TEMPLATE'!$B$2:$H$826,2,FALSE),"")</f>
        <v/>
      </c>
      <c r="E101" s="3" t="str">
        <f>IFERROR(VLOOKUP($C101,'_METADATA_TEMPLATE'!$B$2:$H$826,4,FALSE),"")</f>
        <v/>
      </c>
      <c r="F101" s="3" t="str">
        <f>IFERROR(VLOOKUP($C101,'_METADATA_TEMPLATE'!$B$2:$H$826,5,FALSE),"")</f>
        <v/>
      </c>
      <c r="G101" s="3" t="str">
        <f>IFERROR(VLOOKUP($C101,'_METADATA_TEMPLATE'!$B$2:$H$826,6,FALSE),"")</f>
        <v/>
      </c>
      <c r="H101" s="3" t="str">
        <f>IFERROR(VLOOKUP($C101,'_METADATA_TEMPLATE'!$B$2:$H$826,7,FALSE),"")</f>
        <v/>
      </c>
      <c r="I101" s="3" t="str">
        <f>IFERROR(VLOOKUP(C101,'_METADATA_DEFAULT'!$A:$B,2,FALSE),"")</f>
        <v>Kecamatan</v>
      </c>
    </row>
    <row r="102" ht="15.75" customHeight="1">
      <c r="A102" s="2" t="s">
        <v>134</v>
      </c>
      <c r="B102" s="2" t="s">
        <v>181</v>
      </c>
      <c r="C102" s="2" t="s">
        <v>181</v>
      </c>
      <c r="D102" s="2" t="str">
        <f>IFERROR(VLOOKUP($C102,'_METADATA_TEMPLATE'!$B$2:$H$826,2,FALSE),"")</f>
        <v/>
      </c>
      <c r="E102" s="2" t="str">
        <f>IFERROR(VLOOKUP($C102,'_METADATA_TEMPLATE'!$B$2:$H$826,4,FALSE),"")</f>
        <v/>
      </c>
      <c r="F102" s="2" t="str">
        <f>IFERROR(VLOOKUP($C102,'_METADATA_TEMPLATE'!$B$2:$H$826,5,FALSE),"")</f>
        <v/>
      </c>
      <c r="G102" s="2" t="str">
        <f>IFERROR(VLOOKUP($C102,'_METADATA_TEMPLATE'!$B$2:$H$826,6,FALSE),"")</f>
        <v/>
      </c>
      <c r="H102" s="2" t="str">
        <f>IFERROR(VLOOKUP($C102,'_METADATA_TEMPLATE'!$B$2:$H$826,7,FALSE),"")</f>
        <v/>
      </c>
      <c r="I102" s="2" t="str">
        <f>IFERROR(VLOOKUP(C102,'_METADATA_DEFAULT'!$A:$B,2,FALSE),"")</f>
        <v>Kode Kelurahan/Desa</v>
      </c>
    </row>
    <row r="103" ht="15.75" customHeight="1">
      <c r="A103" s="3" t="s">
        <v>134</v>
      </c>
      <c r="B103" s="3" t="s">
        <v>184</v>
      </c>
      <c r="C103" s="3" t="s">
        <v>184</v>
      </c>
      <c r="D103" s="3" t="str">
        <f>IFERROR(VLOOKUP($C103,'_METADATA_TEMPLATE'!$B$2:$H$826,2,FALSE),"")</f>
        <v/>
      </c>
      <c r="E103" s="3" t="str">
        <f>IFERROR(VLOOKUP($C103,'_METADATA_TEMPLATE'!$B$2:$H$826,4,FALSE),"")</f>
        <v/>
      </c>
      <c r="F103" s="3" t="str">
        <f>IFERROR(VLOOKUP($C103,'_METADATA_TEMPLATE'!$B$2:$H$826,5,FALSE),"")</f>
        <v/>
      </c>
      <c r="G103" s="3" t="str">
        <f>IFERROR(VLOOKUP($C103,'_METADATA_TEMPLATE'!$B$2:$H$826,6,FALSE),"")</f>
        <v/>
      </c>
      <c r="H103" s="3" t="str">
        <f>IFERROR(VLOOKUP($C103,'_METADATA_TEMPLATE'!$B$2:$H$826,7,FALSE),"")</f>
        <v/>
      </c>
      <c r="I103" s="3" t="str">
        <f>IFERROR(VLOOKUP(C103,'_METADATA_DEFAULT'!$A:$B,2,FALSE),"")</f>
        <v>Kode Lengkap Kelurahan/Desa</v>
      </c>
    </row>
    <row r="104" ht="15.75" customHeight="1">
      <c r="A104" s="2" t="s">
        <v>134</v>
      </c>
      <c r="B104" s="2" t="s">
        <v>188</v>
      </c>
      <c r="C104" s="2" t="s">
        <v>188</v>
      </c>
      <c r="D104" s="2" t="str">
        <f>IFERROR(VLOOKUP($C104,'_METADATA_TEMPLATE'!$B$2:$H$826,2,FALSE),"")</f>
        <v/>
      </c>
      <c r="E104" s="2" t="str">
        <f>IFERROR(VLOOKUP($C104,'_METADATA_TEMPLATE'!$B$2:$H$826,4,FALSE),"")</f>
        <v/>
      </c>
      <c r="F104" s="2" t="str">
        <f>IFERROR(VLOOKUP($C104,'_METADATA_TEMPLATE'!$B$2:$H$826,5,FALSE),"")</f>
        <v/>
      </c>
      <c r="G104" s="2" t="str">
        <f>IFERROR(VLOOKUP($C104,'_METADATA_TEMPLATE'!$B$2:$H$826,6,FALSE),"")</f>
        <v/>
      </c>
      <c r="H104" s="2" t="str">
        <f>IFERROR(VLOOKUP($C104,'_METADATA_TEMPLATE'!$B$2:$H$826,7,FALSE),"")</f>
        <v/>
      </c>
      <c r="I104" s="2" t="str">
        <f>IFERROR(VLOOKUP(C104,'_METADATA_DEFAULT'!$A:$B,2,FALSE),"")</f>
        <v>Kelurahan/Desa</v>
      </c>
    </row>
    <row r="105" ht="15.75" customHeight="1">
      <c r="A105" s="3" t="s">
        <v>134</v>
      </c>
      <c r="B105" s="3" t="s">
        <v>191</v>
      </c>
      <c r="C105" s="3" t="s">
        <v>191</v>
      </c>
      <c r="D105" s="3" t="str">
        <f>IFERROR(VLOOKUP($C105,'_METADATA_TEMPLATE'!$B$2:$H$826,2,FALSE),"")</f>
        <v/>
      </c>
      <c r="E105" s="3" t="str">
        <f>IFERROR(VLOOKUP($C105,'_METADATA_TEMPLATE'!$B$2:$H$826,4,FALSE),"")</f>
        <v/>
      </c>
      <c r="F105" s="3" t="str">
        <f>IFERROR(VLOOKUP($C105,'_METADATA_TEMPLATE'!$B$2:$H$826,5,FALSE),"")</f>
        <v/>
      </c>
      <c r="G105" s="3" t="str">
        <f>IFERROR(VLOOKUP($C105,'_METADATA_TEMPLATE'!$B$2:$H$826,6,FALSE),"")</f>
        <v/>
      </c>
      <c r="H105" s="3" t="str">
        <f>IFERROR(VLOOKUP($C105,'_METADATA_TEMPLATE'!$B$2:$H$826,7,FALSE),"")</f>
        <v/>
      </c>
      <c r="I105" s="3" t="str">
        <f>IFERROR(VLOOKUP(C105,'_METADATA_DEFAULT'!$A:$B,2,FALSE),"")</f>
        <v>Kode SLS</v>
      </c>
    </row>
    <row r="106" ht="15.75" customHeight="1">
      <c r="A106" s="2" t="s">
        <v>134</v>
      </c>
      <c r="B106" s="2" t="s">
        <v>194</v>
      </c>
      <c r="C106" s="2" t="s">
        <v>194</v>
      </c>
      <c r="D106" s="2" t="str">
        <f>IFERROR(VLOOKUP($C106,'_METADATA_TEMPLATE'!$B$2:$H$826,2,FALSE),"")</f>
        <v/>
      </c>
      <c r="E106" s="2" t="str">
        <f>IFERROR(VLOOKUP($C106,'_METADATA_TEMPLATE'!$B$2:$H$826,4,FALSE),"")</f>
        <v/>
      </c>
      <c r="F106" s="2" t="str">
        <f>IFERROR(VLOOKUP($C106,'_METADATA_TEMPLATE'!$B$2:$H$826,5,FALSE),"")</f>
        <v/>
      </c>
      <c r="G106" s="2" t="str">
        <f>IFERROR(VLOOKUP($C106,'_METADATA_TEMPLATE'!$B$2:$H$826,6,FALSE),"")</f>
        <v/>
      </c>
      <c r="H106" s="2" t="str">
        <f>IFERROR(VLOOKUP($C106,'_METADATA_TEMPLATE'!$B$2:$H$826,7,FALSE),"")</f>
        <v/>
      </c>
      <c r="I106" s="2" t="str">
        <f>IFERROR(VLOOKUP(C106,'_METADATA_DEFAULT'!$A:$B,2,FALSE),"")</f>
        <v>Kode Lengkap SLS</v>
      </c>
    </row>
    <row r="107" ht="15.75" customHeight="1">
      <c r="A107" s="3" t="s">
        <v>134</v>
      </c>
      <c r="B107" s="3" t="s">
        <v>197</v>
      </c>
      <c r="C107" s="3" t="s">
        <v>197</v>
      </c>
      <c r="D107" s="3" t="str">
        <f>IFERROR(VLOOKUP($C107,'_METADATA_TEMPLATE'!$B$2:$H$826,2,FALSE),"")</f>
        <v/>
      </c>
      <c r="E107" s="3" t="str">
        <f>IFERROR(VLOOKUP($C107,'_METADATA_TEMPLATE'!$B$2:$H$826,4,FALSE),"")</f>
        <v/>
      </c>
      <c r="F107" s="3" t="str">
        <f>IFERROR(VLOOKUP($C107,'_METADATA_TEMPLATE'!$B$2:$H$826,5,FALSE),"")</f>
        <v/>
      </c>
      <c r="G107" s="3" t="str">
        <f>IFERROR(VLOOKUP($C107,'_METADATA_TEMPLATE'!$B$2:$H$826,6,FALSE),"")</f>
        <v/>
      </c>
      <c r="H107" s="3" t="str">
        <f>IFERROR(VLOOKUP($C107,'_METADATA_TEMPLATE'!$B$2:$H$826,7,FALSE),"")</f>
        <v/>
      </c>
      <c r="I107" s="3" t="str">
        <f>IFERROR(VLOOKUP(C107,'_METADATA_DEFAULT'!$A:$B,2,FALSE),"")</f>
        <v>SLS</v>
      </c>
    </row>
    <row r="108" ht="15.75" customHeight="1">
      <c r="A108" s="2" t="s">
        <v>134</v>
      </c>
      <c r="B108" s="2" t="s">
        <v>202</v>
      </c>
      <c r="C108" s="2" t="s">
        <v>202</v>
      </c>
      <c r="D108" s="2" t="str">
        <f>IFERROR(VLOOKUP($C108,'_METADATA_TEMPLATE'!$B$2:$H$826,2,FALSE),"")</f>
        <v/>
      </c>
      <c r="E108" s="2" t="str">
        <f>IFERROR(VLOOKUP($C108,'_METADATA_TEMPLATE'!$B$2:$H$826,4,FALSE),"")</f>
        <v/>
      </c>
      <c r="F108" s="2" t="str">
        <f>IFERROR(VLOOKUP($C108,'_METADATA_TEMPLATE'!$B$2:$H$826,5,FALSE),"")</f>
        <v/>
      </c>
      <c r="G108" s="2" t="str">
        <f>IFERROR(VLOOKUP($C108,'_METADATA_TEMPLATE'!$B$2:$H$826,6,FALSE),"")</f>
        <v/>
      </c>
      <c r="H108" s="2" t="str">
        <f>IFERROR(VLOOKUP($C108,'_METADATA_TEMPLATE'!$B$2:$H$826,7,FALSE),"")</f>
        <v/>
      </c>
      <c r="I108" s="2" t="str">
        <f>IFERROR(VLOOKUP(C108,'_METADATA_DEFAULT'!$A:$B,2,FALSE),"")</f>
        <v>Kode Sub-SLS</v>
      </c>
    </row>
    <row r="109" ht="15.75" customHeight="1">
      <c r="A109" s="3" t="s">
        <v>134</v>
      </c>
      <c r="B109" s="3" t="s">
        <v>206</v>
      </c>
      <c r="C109" s="3" t="s">
        <v>206</v>
      </c>
      <c r="D109" s="3" t="str">
        <f>IFERROR(VLOOKUP($C109,'_METADATA_TEMPLATE'!$B$2:$H$826,2,FALSE),"")</f>
        <v/>
      </c>
      <c r="E109" s="3" t="str">
        <f>IFERROR(VLOOKUP($C109,'_METADATA_TEMPLATE'!$B$2:$H$826,4,FALSE),"")</f>
        <v/>
      </c>
      <c r="F109" s="3" t="str">
        <f>IFERROR(VLOOKUP($C109,'_METADATA_TEMPLATE'!$B$2:$H$826,5,FALSE),"")</f>
        <v/>
      </c>
      <c r="G109" s="3" t="str">
        <f>IFERROR(VLOOKUP($C109,'_METADATA_TEMPLATE'!$B$2:$H$826,6,FALSE),"")</f>
        <v/>
      </c>
      <c r="H109" s="3" t="str">
        <f>IFERROR(VLOOKUP($C109,'_METADATA_TEMPLATE'!$B$2:$H$826,7,FALSE),"")</f>
        <v/>
      </c>
      <c r="I109" s="3" t="str">
        <f>IFERROR(VLOOKUP(C109,'_METADATA_DEFAULT'!$A:$B,2,FALSE),"")</f>
        <v>Kode Lengkap Sub-SLS</v>
      </c>
    </row>
    <row r="110" ht="15.75" customHeight="1">
      <c r="A110" s="2" t="s">
        <v>134</v>
      </c>
      <c r="B110" s="2" t="s">
        <v>209</v>
      </c>
      <c r="C110" s="2" t="s">
        <v>209</v>
      </c>
      <c r="D110" s="2" t="str">
        <f>IFERROR(VLOOKUP($C110,'_METADATA_TEMPLATE'!$B$2:$H$826,2,FALSE),"")</f>
        <v/>
      </c>
      <c r="E110" s="2" t="str">
        <f>IFERROR(VLOOKUP($C110,'_METADATA_TEMPLATE'!$B$2:$H$826,4,FALSE),"")</f>
        <v/>
      </c>
      <c r="F110" s="2" t="str">
        <f>IFERROR(VLOOKUP($C110,'_METADATA_TEMPLATE'!$B$2:$H$826,5,FALSE),"")</f>
        <v/>
      </c>
      <c r="G110" s="2" t="str">
        <f>IFERROR(VLOOKUP($C110,'_METADATA_TEMPLATE'!$B$2:$H$826,6,FALSE),"")</f>
        <v/>
      </c>
      <c r="H110" s="2" t="str">
        <f>IFERROR(VLOOKUP($C110,'_METADATA_TEMPLATE'!$B$2:$H$826,7,FALSE),"")</f>
        <v/>
      </c>
      <c r="I110" s="2" t="str">
        <f>IFERROR(VLOOKUP(C110,'_METADATA_DEFAULT'!$A:$B,2,FALSE),"")</f>
        <v>Sub-SLS</v>
      </c>
    </row>
    <row r="111" ht="15.75" customHeight="1">
      <c r="A111" s="3" t="s">
        <v>134</v>
      </c>
      <c r="B111" s="3" t="s">
        <v>211</v>
      </c>
      <c r="C111" s="3" t="s">
        <v>211</v>
      </c>
      <c r="D111" s="3" t="str">
        <f>IFERROR(VLOOKUP($C111,'_METADATA_TEMPLATE'!$B$2:$H$826,2,FALSE),"")</f>
        <v/>
      </c>
      <c r="E111" s="3" t="str">
        <f>IFERROR(VLOOKUP($C111,'_METADATA_TEMPLATE'!$B$2:$H$826,4,FALSE),"")</f>
        <v/>
      </c>
      <c r="F111" s="3" t="str">
        <f>IFERROR(VLOOKUP($C111,'_METADATA_TEMPLATE'!$B$2:$H$826,5,FALSE),"")</f>
        <v/>
      </c>
      <c r="G111" s="3" t="str">
        <f>IFERROR(VLOOKUP($C111,'_METADATA_TEMPLATE'!$B$2:$H$826,6,FALSE),"")</f>
        <v/>
      </c>
      <c r="H111" s="3" t="str">
        <f>IFERROR(VLOOKUP($C111,'_METADATA_TEMPLATE'!$B$2:$H$826,7,FALSE),"")</f>
        <v/>
      </c>
      <c r="I111" s="3" t="str">
        <f>IFERROR(VLOOKUP(C111,'_METADATA_DEFAULT'!$A:$B,2,FALSE),"")</f>
        <v/>
      </c>
    </row>
    <row r="112" ht="15.75" customHeight="1">
      <c r="A112" s="2" t="s">
        <v>134</v>
      </c>
      <c r="B112" s="2" t="s">
        <v>214</v>
      </c>
      <c r="C112" s="2" t="s">
        <v>214</v>
      </c>
      <c r="D112" s="2" t="str">
        <f>IFERROR(VLOOKUP($C112,'_METADATA_TEMPLATE'!$B$2:$H$826,2,FALSE),"")</f>
        <v/>
      </c>
      <c r="E112" s="2" t="str">
        <f>IFERROR(VLOOKUP($C112,'_METADATA_TEMPLATE'!$B$2:$H$826,4,FALSE),"")</f>
        <v/>
      </c>
      <c r="F112" s="2" t="str">
        <f>IFERROR(VLOOKUP($C112,'_METADATA_TEMPLATE'!$B$2:$H$826,5,FALSE),"")</f>
        <v/>
      </c>
      <c r="G112" s="2" t="str">
        <f>IFERROR(VLOOKUP($C112,'_METADATA_TEMPLATE'!$B$2:$H$826,6,FALSE),"")</f>
        <v/>
      </c>
      <c r="H112" s="2" t="str">
        <f>IFERROR(VLOOKUP($C112,'_METADATA_TEMPLATE'!$B$2:$H$826,7,FALSE),"")</f>
        <v/>
      </c>
      <c r="I112" s="2" t="str">
        <f>IFERROR(VLOOKUP(C112,'_METADATA_DEFAULT'!$A:$B,2,FALSE),"")</f>
        <v/>
      </c>
    </row>
    <row r="113" ht="15.75" customHeight="1">
      <c r="A113" s="3" t="s">
        <v>134</v>
      </c>
      <c r="B113" s="3" t="s">
        <v>216</v>
      </c>
      <c r="C113" s="3" t="s">
        <v>216</v>
      </c>
      <c r="D113" s="3" t="str">
        <f>IFERROR(VLOOKUP($C113,'_METADATA_TEMPLATE'!$B$2:$H$826,2,FALSE),"")</f>
        <v/>
      </c>
      <c r="E113" s="3" t="str">
        <f>IFERROR(VLOOKUP($C113,'_METADATA_TEMPLATE'!$B$2:$H$826,4,FALSE),"")</f>
        <v/>
      </c>
      <c r="F113" s="3" t="str">
        <f>IFERROR(VLOOKUP($C113,'_METADATA_TEMPLATE'!$B$2:$H$826,5,FALSE),"")</f>
        <v/>
      </c>
      <c r="G113" s="3" t="str">
        <f>IFERROR(VLOOKUP($C113,'_METADATA_TEMPLATE'!$B$2:$H$826,6,FALSE),"")</f>
        <v/>
      </c>
      <c r="H113" s="3" t="str">
        <f>IFERROR(VLOOKUP($C113,'_METADATA_TEMPLATE'!$B$2:$H$826,7,FALSE),"")</f>
        <v/>
      </c>
      <c r="I113" s="3" t="str">
        <f>IFERROR(VLOOKUP(C113,'_METADATA_DEFAULT'!$A:$B,2,FALSE),"")</f>
        <v/>
      </c>
    </row>
    <row r="114" ht="15.75" customHeight="1">
      <c r="A114" s="2" t="s">
        <v>134</v>
      </c>
      <c r="B114" s="2" t="s">
        <v>218</v>
      </c>
      <c r="C114" s="2" t="s">
        <v>218</v>
      </c>
      <c r="D114" s="2" t="str">
        <f>IFERROR(VLOOKUP($C114,'_METADATA_TEMPLATE'!$B$2:$H$826,2,FALSE),"")</f>
        <v/>
      </c>
      <c r="E114" s="2" t="str">
        <f>IFERROR(VLOOKUP($C114,'_METADATA_TEMPLATE'!$B$2:$H$826,4,FALSE),"")</f>
        <v/>
      </c>
      <c r="F114" s="2" t="str">
        <f>IFERROR(VLOOKUP($C114,'_METADATA_TEMPLATE'!$B$2:$H$826,5,FALSE),"")</f>
        <v/>
      </c>
      <c r="G114" s="2" t="str">
        <f>IFERROR(VLOOKUP($C114,'_METADATA_TEMPLATE'!$B$2:$H$826,6,FALSE),"")</f>
        <v/>
      </c>
      <c r="H114" s="2" t="str">
        <f>IFERROR(VLOOKUP($C114,'_METADATA_TEMPLATE'!$B$2:$H$826,7,FALSE),"")</f>
        <v/>
      </c>
      <c r="I114" s="2" t="str">
        <f>IFERROR(VLOOKUP(C114,'_METADATA_DEFAULT'!$A:$B,2,FALSE),"")</f>
        <v/>
      </c>
    </row>
    <row r="115" ht="15.75" customHeight="1">
      <c r="A115" s="3" t="s">
        <v>134</v>
      </c>
      <c r="B115" s="3" t="s">
        <v>221</v>
      </c>
      <c r="C115" s="3" t="s">
        <v>221</v>
      </c>
      <c r="D115" s="3" t="str">
        <f>IFERROR(VLOOKUP($C115,'_METADATA_TEMPLATE'!$B$2:$H$826,2,FALSE),"")</f>
        <v/>
      </c>
      <c r="E115" s="3" t="str">
        <f>IFERROR(VLOOKUP($C115,'_METADATA_TEMPLATE'!$B$2:$H$826,4,FALSE),"")</f>
        <v/>
      </c>
      <c r="F115" s="3" t="str">
        <f>IFERROR(VLOOKUP($C115,'_METADATA_TEMPLATE'!$B$2:$H$826,5,FALSE),"")</f>
        <v/>
      </c>
      <c r="G115" s="3" t="str">
        <f>IFERROR(VLOOKUP($C115,'_METADATA_TEMPLATE'!$B$2:$H$826,6,FALSE),"")</f>
        <v/>
      </c>
      <c r="H115" s="3" t="str">
        <f>IFERROR(VLOOKUP($C115,'_METADATA_TEMPLATE'!$B$2:$H$826,7,FALSE),"")</f>
        <v/>
      </c>
      <c r="I115" s="3" t="str">
        <f>IFERROR(VLOOKUP(C115,'_METADATA_DEFAULT'!$A:$B,2,FALSE),"")</f>
        <v/>
      </c>
    </row>
    <row r="116" ht="15.75" customHeight="1">
      <c r="A116" s="2" t="s">
        <v>134</v>
      </c>
      <c r="B116" s="2" t="s">
        <v>225</v>
      </c>
      <c r="C116" s="2" t="s">
        <v>225</v>
      </c>
      <c r="D116" s="2" t="str">
        <f>IFERROR(VLOOKUP($C116,'_METADATA_TEMPLATE'!$B$2:$H$826,2,FALSE),"")</f>
        <v/>
      </c>
      <c r="E116" s="2" t="str">
        <f>IFERROR(VLOOKUP($C116,'_METADATA_TEMPLATE'!$B$2:$H$826,4,FALSE),"")</f>
        <v/>
      </c>
      <c r="F116" s="2" t="str">
        <f>IFERROR(VLOOKUP($C116,'_METADATA_TEMPLATE'!$B$2:$H$826,5,FALSE),"")</f>
        <v/>
      </c>
      <c r="G116" s="2" t="str">
        <f>IFERROR(VLOOKUP($C116,'_METADATA_TEMPLATE'!$B$2:$H$826,6,FALSE),"")</f>
        <v/>
      </c>
      <c r="H116" s="2" t="str">
        <f>IFERROR(VLOOKUP($C116,'_METADATA_TEMPLATE'!$B$2:$H$826,7,FALSE),"")</f>
        <v/>
      </c>
      <c r="I116" s="2" t="str">
        <f>IFERROR(VLOOKUP(C116,'_METADATA_DEFAULT'!$A:$B,2,FALSE),"")</f>
        <v/>
      </c>
    </row>
    <row r="117" ht="15.75" customHeight="1">
      <c r="A117" s="3" t="s">
        <v>134</v>
      </c>
      <c r="B117" s="3" t="s">
        <v>227</v>
      </c>
      <c r="C117" s="3" t="s">
        <v>227</v>
      </c>
      <c r="D117" s="3" t="str">
        <f>IFERROR(VLOOKUP($C117,'_METADATA_TEMPLATE'!$B$2:$H$826,2,FALSE),"")</f>
        <v/>
      </c>
      <c r="E117" s="3" t="str">
        <f>IFERROR(VLOOKUP($C117,'_METADATA_TEMPLATE'!$B$2:$H$826,4,FALSE),"")</f>
        <v/>
      </c>
      <c r="F117" s="3" t="str">
        <f>IFERROR(VLOOKUP($C117,'_METADATA_TEMPLATE'!$B$2:$H$826,5,FALSE),"")</f>
        <v/>
      </c>
      <c r="G117" s="3" t="str">
        <f>IFERROR(VLOOKUP($C117,'_METADATA_TEMPLATE'!$B$2:$H$826,6,FALSE),"")</f>
        <v/>
      </c>
      <c r="H117" s="3" t="str">
        <f>IFERROR(VLOOKUP($C117,'_METADATA_TEMPLATE'!$B$2:$H$826,7,FALSE),"")</f>
        <v/>
      </c>
      <c r="I117" s="3" t="str">
        <f>IFERROR(VLOOKUP(C117,'_METADATA_DEFAULT'!$A:$B,2,FALSE),"")</f>
        <v/>
      </c>
    </row>
    <row r="118" ht="15.75" customHeight="1">
      <c r="A118" s="2" t="s">
        <v>134</v>
      </c>
      <c r="B118" s="2" t="s">
        <v>230</v>
      </c>
      <c r="C118" s="2" t="s">
        <v>230</v>
      </c>
      <c r="D118" s="2" t="str">
        <f>IFERROR(VLOOKUP($C118,'_METADATA_TEMPLATE'!$B$2:$H$826,2,FALSE),"")</f>
        <v/>
      </c>
      <c r="E118" s="2" t="str">
        <f>IFERROR(VLOOKUP($C118,'_METADATA_TEMPLATE'!$B$2:$H$826,4,FALSE),"")</f>
        <v/>
      </c>
      <c r="F118" s="2" t="str">
        <f>IFERROR(VLOOKUP($C118,'_METADATA_TEMPLATE'!$B$2:$H$826,5,FALSE),"")</f>
        <v/>
      </c>
      <c r="G118" s="2" t="str">
        <f>IFERROR(VLOOKUP($C118,'_METADATA_TEMPLATE'!$B$2:$H$826,6,FALSE),"")</f>
        <v/>
      </c>
      <c r="H118" s="2" t="str">
        <f>IFERROR(VLOOKUP($C118,'_METADATA_TEMPLATE'!$B$2:$H$826,7,FALSE),"")</f>
        <v/>
      </c>
      <c r="I118" s="2" t="str">
        <f>IFERROR(VLOOKUP(C118,'_METADATA_DEFAULT'!$A:$B,2,FALSE),"")</f>
        <v/>
      </c>
    </row>
    <row r="119" ht="15.75" customHeight="1">
      <c r="A119" s="3" t="s">
        <v>134</v>
      </c>
      <c r="B119" s="3" t="s">
        <v>234</v>
      </c>
      <c r="C119" s="3" t="s">
        <v>234</v>
      </c>
      <c r="D119" s="3" t="str">
        <f>IFERROR(VLOOKUP($C119,'_METADATA_TEMPLATE'!$B$2:$H$826,2,FALSE),"")</f>
        <v/>
      </c>
      <c r="E119" s="3" t="str">
        <f>IFERROR(VLOOKUP($C119,'_METADATA_TEMPLATE'!$B$2:$H$826,4,FALSE),"")</f>
        <v/>
      </c>
      <c r="F119" s="3" t="str">
        <f>IFERROR(VLOOKUP($C119,'_METADATA_TEMPLATE'!$B$2:$H$826,5,FALSE),"")</f>
        <v/>
      </c>
      <c r="G119" s="3" t="str">
        <f>IFERROR(VLOOKUP($C119,'_METADATA_TEMPLATE'!$B$2:$H$826,6,FALSE),"")</f>
        <v/>
      </c>
      <c r="H119" s="3" t="str">
        <f>IFERROR(VLOOKUP($C119,'_METADATA_TEMPLATE'!$B$2:$H$826,7,FALSE),"")</f>
        <v/>
      </c>
      <c r="I119" s="3" t="str">
        <f>IFERROR(VLOOKUP(C119,'_METADATA_DEFAULT'!$A:$B,2,FALSE),"")</f>
        <v/>
      </c>
    </row>
    <row r="120" ht="15.75" customHeight="1">
      <c r="A120" s="2" t="s">
        <v>134</v>
      </c>
      <c r="B120" s="2" t="s">
        <v>75</v>
      </c>
      <c r="C120" s="2" t="s">
        <v>75</v>
      </c>
      <c r="D120" s="2" t="str">
        <f>IFERROR(VLOOKUP($C120,'_METADATA_TEMPLATE'!$B$2:$H$826,2,FALSE),"")</f>
        <v/>
      </c>
      <c r="E120" s="2" t="str">
        <f>IFERROR(VLOOKUP($C120,'_METADATA_TEMPLATE'!$B$2:$H$826,4,FALSE),"")</f>
        <v/>
      </c>
      <c r="F120" s="2" t="str">
        <f>IFERROR(VLOOKUP($C120,'_METADATA_TEMPLATE'!$B$2:$H$826,5,FALSE),"")</f>
        <v/>
      </c>
      <c r="G120" s="2" t="str">
        <f>IFERROR(VLOOKUP($C120,'_METADATA_TEMPLATE'!$B$2:$H$826,6,FALSE),"")</f>
        <v/>
      </c>
      <c r="H120" s="2" t="str">
        <f>IFERROR(VLOOKUP($C120,'_METADATA_TEMPLATE'!$B$2:$H$826,7,FALSE),"")</f>
        <v/>
      </c>
      <c r="I120" s="2" t="str">
        <f>IFERROR(VLOOKUP(C120,'_METADATA_DEFAULT'!$A:$B,2,FALSE),"")</f>
        <v>ID Periode Survei</v>
      </c>
    </row>
    <row r="121" ht="15.75" customHeight="1">
      <c r="A121" s="3" t="s">
        <v>134</v>
      </c>
      <c r="B121" s="3" t="s">
        <v>240</v>
      </c>
      <c r="C121" s="3" t="s">
        <v>240</v>
      </c>
      <c r="D121" s="3" t="str">
        <f>IFERROR(VLOOKUP($C121,'_METADATA_TEMPLATE'!$B$2:$H$826,2,FALSE),"")</f>
        <v/>
      </c>
      <c r="E121" s="3" t="str">
        <f>IFERROR(VLOOKUP($C121,'_METADATA_TEMPLATE'!$B$2:$H$826,4,FALSE),"")</f>
        <v/>
      </c>
      <c r="F121" s="3" t="str">
        <f>IFERROR(VLOOKUP($C121,'_METADATA_TEMPLATE'!$B$2:$H$826,5,FALSE),"")</f>
        <v/>
      </c>
      <c r="G121" s="3" t="str">
        <f>IFERROR(VLOOKUP($C121,'_METADATA_TEMPLATE'!$B$2:$H$826,6,FALSE),"")</f>
        <v/>
      </c>
      <c r="H121" s="3" t="str">
        <f>IFERROR(VLOOKUP($C121,'_METADATA_TEMPLATE'!$B$2:$H$826,7,FALSE),"")</f>
        <v/>
      </c>
      <c r="I121" s="3" t="str">
        <f>IFERROR(VLOOKUP(C121,'_METADATA_DEFAULT'!$A:$B,2,FALSE),"")</f>
        <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251</v>
      </c>
      <c r="B2" s="2" t="s">
        <v>252</v>
      </c>
      <c r="C2" s="2" t="s">
        <v>252</v>
      </c>
      <c r="D2" s="2">
        <f>IFERROR(VLOOKUP($C2,'_METADATA_TEMPLATE'!$B$2:$H$826,2,FALSE),"")</f>
        <v>367</v>
      </c>
      <c r="E2" s="2" t="str">
        <f>IFERROR(VLOOKUP($C2,'_METADATA_TEMPLATE'!$B$2:$H$826,4,FALSE),"")</f>
        <v>SE2026 - L BLOK IV</v>
      </c>
      <c r="F2" s="2" t="str">
        <f>IFERROR(VLOOKUP($C2,'_METADATA_TEMPLATE'!$B$2:$H$826,5,FALSE),"")</f>
        <v/>
      </c>
      <c r="G2" s="2" t="str">
        <f>IFERROR(VLOOKUP($C2,'_METADATA_TEMPLATE'!$B$2:$H$826,6,FALSE),"")</f>
        <v>Meteran ke-</v>
      </c>
      <c r="H2" s="2" t="str">
        <f>IFERROR(VLOOKUP($C2,'_METADATA_TEMPLATE'!$B$2:$H$826,7,FALSE),"")</f>
        <v>Variable</v>
      </c>
      <c r="I2" s="2" t="str">
        <f>IFERROR(VLOOKUP(C2,'_METADATA_DEFAULT'!$A:$B,2,FALSE),"")</f>
        <v/>
      </c>
    </row>
    <row r="3">
      <c r="A3" s="3" t="s">
        <v>251</v>
      </c>
      <c r="B3" s="3" t="s">
        <v>256</v>
      </c>
      <c r="C3" s="3" t="s">
        <v>257</v>
      </c>
      <c r="D3" s="3">
        <f>IFERROR(VLOOKUP($C3,'_METADATA_TEMPLATE'!$B$2:$H$826,2,FALSE),"")</f>
        <v>368</v>
      </c>
      <c r="E3" s="3" t="str">
        <f>IFERROR(VLOOKUP($C3,'_METADATA_TEMPLATE'!$B$2:$H$826,4,FALSE),"")</f>
        <v>SE2026 - L BLOK IV</v>
      </c>
      <c r="F3" s="3" t="str">
        <f>IFERROR(VLOOKUP($C3,'_METADATA_TEMPLATE'!$B$2:$H$826,5,FALSE),"")</f>
        <v>14</v>
      </c>
      <c r="G3" s="3" t="str">
        <f>IFERROR(VLOOKUP($C3,'_METADATA_TEMPLATE'!$B$2:$H$826,6,FALSE),"")</f>
        <v>b. Berapa daya yang terpasang di rumah ini?</v>
      </c>
      <c r="H3" s="3" t="str">
        <f>IFERROR(VLOOKUP($C3,'_METADATA_TEMPLATE'!$B$2:$H$826,7,FALSE),"")</f>
        <v>Radio Group</v>
      </c>
      <c r="I3" s="3" t="str">
        <f>IFERROR(VLOOKUP(C3,'_METADATA_DEFAULT'!$A:$B,2,FALSE),"")</f>
        <v/>
      </c>
    </row>
    <row r="4">
      <c r="A4" s="2" t="s">
        <v>251</v>
      </c>
      <c r="B4" s="2" t="s">
        <v>260</v>
      </c>
      <c r="C4" s="2" t="s">
        <v>257</v>
      </c>
      <c r="D4" s="2">
        <f>IFERROR(VLOOKUP($C4,'_METADATA_TEMPLATE'!$B$2:$H$826,2,FALSE),"")</f>
        <v>368</v>
      </c>
      <c r="E4" s="2" t="str">
        <f>IFERROR(VLOOKUP($C4,'_METADATA_TEMPLATE'!$B$2:$H$826,4,FALSE),"")</f>
        <v>SE2026 - L BLOK IV</v>
      </c>
      <c r="F4" s="2" t="str">
        <f>IFERROR(VLOOKUP($C4,'_METADATA_TEMPLATE'!$B$2:$H$826,5,FALSE),"")</f>
        <v>14</v>
      </c>
      <c r="G4" s="2" t="str">
        <f>IFERROR(VLOOKUP($C4,'_METADATA_TEMPLATE'!$B$2:$H$826,6,FALSE),"")</f>
        <v>b. Berapa daya yang terpasang di rumah ini?</v>
      </c>
      <c r="H4" s="2" t="str">
        <f>IFERROR(VLOOKUP($C4,'_METADATA_TEMPLATE'!$B$2:$H$826,7,FALSE),"")</f>
        <v>Radio Group</v>
      </c>
      <c r="I4" s="2" t="str">
        <f>IFERROR(VLOOKUP(C4,'_METADATA_DEFAULT'!$A:$B,2,FALSE),"")</f>
        <v/>
      </c>
    </row>
    <row r="5">
      <c r="A5" s="3" t="s">
        <v>251</v>
      </c>
      <c r="B5" s="3" t="s">
        <v>263</v>
      </c>
      <c r="C5" s="3" t="s">
        <v>264</v>
      </c>
      <c r="D5" s="3">
        <f>IFERROR(VLOOKUP($C5,'_METADATA_TEMPLATE'!$B$2:$H$826,2,FALSE),"")</f>
        <v>369</v>
      </c>
      <c r="E5" s="3" t="str">
        <f>IFERROR(VLOOKUP($C5,'_METADATA_TEMPLATE'!$B$2:$H$826,4,FALSE),"")</f>
        <v>SE2026 - L BLOK IV</v>
      </c>
      <c r="F5" s="3" t="str">
        <f>IFERROR(VLOOKUP($C5,'_METADATA_TEMPLATE'!$B$2:$H$826,5,FALSE),"")</f>
        <v>14</v>
      </c>
      <c r="G5" s="3" t="str">
        <f>IFERROR(VLOOKUP($C5,'_METADATA_TEMPLATE'!$B$2:$H$826,6,FALSE),"")</f>
        <v>c. Sebutkan ID Pelanggan PLN atau Nomor Meteran</v>
      </c>
      <c r="H5" s="3" t="str">
        <f>IFERROR(VLOOKUP($C5,'_METADATA_TEMPLATE'!$B$2:$H$826,7,FALSE),"")</f>
        <v>Radio Group</v>
      </c>
      <c r="I5" s="3" t="str">
        <f>IFERROR(VLOOKUP(C5,'_METADATA_DEFAULT'!$A:$B,2,FALSE),"")</f>
        <v/>
      </c>
    </row>
    <row r="6">
      <c r="A6" s="2" t="s">
        <v>251</v>
      </c>
      <c r="B6" s="2" t="s">
        <v>268</v>
      </c>
      <c r="C6" s="2" t="s">
        <v>264</v>
      </c>
      <c r="D6" s="2">
        <f>IFERROR(VLOOKUP($C6,'_METADATA_TEMPLATE'!$B$2:$H$826,2,FALSE),"")</f>
        <v>369</v>
      </c>
      <c r="E6" s="2" t="str">
        <f>IFERROR(VLOOKUP($C6,'_METADATA_TEMPLATE'!$B$2:$H$826,4,FALSE),"")</f>
        <v>SE2026 - L BLOK IV</v>
      </c>
      <c r="F6" s="2" t="str">
        <f>IFERROR(VLOOKUP($C6,'_METADATA_TEMPLATE'!$B$2:$H$826,5,FALSE),"")</f>
        <v>14</v>
      </c>
      <c r="G6" s="2" t="str">
        <f>IFERROR(VLOOKUP($C6,'_METADATA_TEMPLATE'!$B$2:$H$826,6,FALSE),"")</f>
        <v>c. Sebutkan ID Pelanggan PLN atau Nomor Meteran</v>
      </c>
      <c r="H6" s="2" t="str">
        <f>IFERROR(VLOOKUP($C6,'_METADATA_TEMPLATE'!$B$2:$H$826,7,FALSE),"")</f>
        <v>Radio Group</v>
      </c>
      <c r="I6" s="2" t="str">
        <f>IFERROR(VLOOKUP(C6,'_METADATA_DEFAULT'!$A:$B,2,FALSE),"")</f>
        <v/>
      </c>
    </row>
    <row r="7">
      <c r="A7" s="3" t="s">
        <v>251</v>
      </c>
      <c r="B7" s="3" t="s">
        <v>271</v>
      </c>
      <c r="C7" s="3" t="s">
        <v>271</v>
      </c>
      <c r="D7" s="3">
        <f>IFERROR(VLOOKUP($C7,'_METADATA_TEMPLATE'!$B$2:$H$826,2,FALSE),"")</f>
        <v>370</v>
      </c>
      <c r="E7" s="3" t="str">
        <f>IFERROR(VLOOKUP($C7,'_METADATA_TEMPLATE'!$B$2:$H$826,4,FALSE),"")</f>
        <v>SE2026 - L BLOK IV</v>
      </c>
      <c r="F7" s="3" t="str">
        <f>IFERROR(VLOOKUP($C7,'_METADATA_TEMPLATE'!$B$2:$H$826,5,FALSE),"")</f>
        <v/>
      </c>
      <c r="G7" s="3" t="str">
        <f>IFERROR(VLOOKUP($C7,'_METADATA_TEMPLATE'!$B$2:$H$826,6,FALSE),"")</f>
        <v>ID Pelanggan PLN</v>
      </c>
      <c r="H7" s="3" t="str">
        <f>IFERROR(VLOOKUP($C7,'_METADATA_TEMPLATE'!$B$2:$H$826,7,FALSE),"")</f>
        <v>Text Input</v>
      </c>
      <c r="I7" s="3" t="str">
        <f>IFERROR(VLOOKUP(C7,'_METADATA_DEFAULT'!$A:$B,2,FALSE),"")</f>
        <v/>
      </c>
    </row>
    <row r="8">
      <c r="A8" s="2" t="s">
        <v>251</v>
      </c>
      <c r="B8" s="2" t="s">
        <v>273</v>
      </c>
      <c r="C8" s="2" t="s">
        <v>273</v>
      </c>
      <c r="D8" s="2">
        <f>IFERROR(VLOOKUP($C8,'_METADATA_TEMPLATE'!$B$2:$H$826,2,FALSE),"")</f>
        <v>372</v>
      </c>
      <c r="E8" s="2" t="str">
        <f>IFERROR(VLOOKUP($C8,'_METADATA_TEMPLATE'!$B$2:$H$826,4,FALSE),"")</f>
        <v>SE2026 - L BLOK IV</v>
      </c>
      <c r="F8" s="2" t="str">
        <f>IFERROR(VLOOKUP($C8,'_METADATA_TEMPLATE'!$B$2:$H$826,5,FALSE),"")</f>
        <v/>
      </c>
      <c r="G8" s="2" t="str">
        <f>IFERROR(VLOOKUP($C8,'_METADATA_TEMPLATE'!$B$2:$H$826,6,FALSE),"")</f>
        <v>Nomor Meteran</v>
      </c>
      <c r="H8" s="2" t="str">
        <f>IFERROR(VLOOKUP($C8,'_METADATA_TEMPLATE'!$B$2:$H$826,7,FALSE),"")</f>
        <v>Text Input</v>
      </c>
      <c r="I8" s="2" t="str">
        <f>IFERROR(VLOOKUP(C8,'_METADATA_DEFAULT'!$A:$B,2,FALSE),"")</f>
        <v/>
      </c>
    </row>
    <row r="9">
      <c r="A9" s="3" t="s">
        <v>251</v>
      </c>
      <c r="B9" s="3" t="s">
        <v>276</v>
      </c>
      <c r="C9" s="3" t="s">
        <v>276</v>
      </c>
      <c r="D9" s="3">
        <f>IFERROR(VLOOKUP($C9,'_METADATA_TEMPLATE'!$B$2:$H$826,2,FALSE),"")</f>
        <v>560</v>
      </c>
      <c r="E9" s="3" t="str">
        <f>IFERROR(VLOOKUP($C9,'_METADATA_TEMPLATE'!$B$2:$H$826,4,FALSE),"")</f>
        <v/>
      </c>
      <c r="F9" s="3" t="str">
        <f>IFERROR(VLOOKUP($C9,'_METADATA_TEMPLATE'!$B$2:$H$826,5,FALSE),"")</f>
        <v/>
      </c>
      <c r="G9" s="3" t="str">
        <f>IFERROR(VLOOKUP($C9,'_METADATA_TEMPLATE'!$B$2:$H$826,6,FALSE),"")</f>
        <v>​</v>
      </c>
      <c r="H9" s="3" t="str">
        <f>IFERROR(VLOOKUP($C9,'_METADATA_TEMPLATE'!$B$2:$H$826,7,FALSE),"")</f>
        <v>Variable</v>
      </c>
      <c r="I9" s="3" t="str">
        <f>IFERROR(VLOOKUP(C9,'_METADATA_DEFAULT'!$A:$B,2,FALSE),"")</f>
        <v/>
      </c>
    </row>
    <row r="10">
      <c r="A10" s="2" t="s">
        <v>251</v>
      </c>
      <c r="B10" s="2" t="s">
        <v>278</v>
      </c>
      <c r="C10" s="2" t="s">
        <v>278</v>
      </c>
      <c r="D10" s="2">
        <f>IFERROR(VLOOKUP($C10,'_METADATA_TEMPLATE'!$B$2:$H$826,2,FALSE),"")</f>
        <v>569</v>
      </c>
      <c r="E10" s="2" t="str">
        <f>IFERROR(VLOOKUP($C10,'_METADATA_TEMPLATE'!$B$2:$H$826,4,FALSE),"")</f>
        <v/>
      </c>
      <c r="F10" s="2" t="str">
        <f>IFERROR(VLOOKUP($C10,'_METADATA_TEMPLATE'!$B$2:$H$826,5,FALSE),"")</f>
        <v/>
      </c>
      <c r="G10" s="2" t="str">
        <f>IFERROR(VLOOKUP($C10,'_METADATA_TEMPLATE'!$B$2:$H$826,6,FALSE),"")</f>
        <v>​</v>
      </c>
      <c r="H10" s="2" t="str">
        <f>IFERROR(VLOOKUP($C10,'_METADATA_TEMPLATE'!$B$2:$H$826,7,FALSE),"")</f>
        <v>Variable</v>
      </c>
      <c r="I10" s="2" t="str">
        <f>IFERROR(VLOOKUP(C10,'_METADATA_DEFAULT'!$A:$B,2,FALSE),"")</f>
        <v/>
      </c>
    </row>
    <row r="11">
      <c r="A11" s="3" t="s">
        <v>251</v>
      </c>
      <c r="B11" s="3" t="s">
        <v>12</v>
      </c>
      <c r="C11" s="3" t="s">
        <v>12</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ID Assignment</v>
      </c>
    </row>
    <row r="12">
      <c r="A12" s="2" t="s">
        <v>251</v>
      </c>
      <c r="B12" s="2" t="s">
        <v>132</v>
      </c>
      <c r="C12" s="2" t="s">
        <v>132</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ID Roster/Nested Level 1</v>
      </c>
    </row>
    <row r="13">
      <c r="A13" s="3" t="s">
        <v>251</v>
      </c>
      <c r="B13" s="3" t="s">
        <v>18</v>
      </c>
      <c r="C13" s="3" t="s">
        <v>18</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Kode Lengkap Provinsi</v>
      </c>
    </row>
    <row r="14">
      <c r="A14" s="2" t="s">
        <v>251</v>
      </c>
      <c r="B14" s="2" t="s">
        <v>20</v>
      </c>
      <c r="C14" s="2" t="s">
        <v>20</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Kode Lengkap Kabupaten/Kota</v>
      </c>
    </row>
    <row r="15">
      <c r="A15" s="3" t="s">
        <v>251</v>
      </c>
      <c r="B15" s="3" t="s">
        <v>43</v>
      </c>
      <c r="C15" s="3" t="s">
        <v>43</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Tanggal Assignment Terakhir Diubah</v>
      </c>
    </row>
    <row r="16">
      <c r="A16" s="2" t="s">
        <v>251</v>
      </c>
      <c r="B16" s="2" t="s">
        <v>21</v>
      </c>
      <c r="C16" s="2" t="s">
        <v>21</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ID Assignment + Timestamp</v>
      </c>
    </row>
    <row r="17">
      <c r="A17" s="3" t="s">
        <v>251</v>
      </c>
      <c r="B17" s="3" t="s">
        <v>153</v>
      </c>
      <c r="C17" s="3" t="s">
        <v>153</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1 = Assignment Tambahan, 0 = Assignment Prelist</v>
      </c>
    </row>
    <row r="18">
      <c r="A18" s="2" t="s">
        <v>251</v>
      </c>
      <c r="B18" s="2" t="s">
        <v>42</v>
      </c>
      <c r="C18" s="2" t="s">
        <v>42</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Status Assignment</v>
      </c>
    </row>
    <row r="19">
      <c r="A19" s="3" t="s">
        <v>251</v>
      </c>
      <c r="B19" s="3" t="s">
        <v>47</v>
      </c>
      <c r="C19" s="3" t="s">
        <v>47</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ID Status Assignment</v>
      </c>
    </row>
    <row r="20">
      <c r="A20" s="2" t="s">
        <v>251</v>
      </c>
      <c r="B20" s="2" t="s">
        <v>295</v>
      </c>
      <c r="C20" s="2" t="s">
        <v>295</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
      </c>
    </row>
    <row r="21" ht="15.75" customHeight="1">
      <c r="A21" s="3" t="s">
        <v>251</v>
      </c>
      <c r="B21" s="3" t="s">
        <v>26</v>
      </c>
      <c r="C21" s="3" t="s">
        <v>26</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1 = Aktif, 0 = Dihapus</v>
      </c>
    </row>
    <row r="22" ht="15.75" customHeight="1">
      <c r="A22" s="2" t="s">
        <v>251</v>
      </c>
      <c r="B22" s="2" t="s">
        <v>137</v>
      </c>
      <c r="C22" s="2" t="s">
        <v>137</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Kode Provinsi</v>
      </c>
    </row>
    <row r="23" ht="15.75" customHeight="1">
      <c r="A23" s="3" t="s">
        <v>251</v>
      </c>
      <c r="B23" s="3" t="s">
        <v>141</v>
      </c>
      <c r="C23" s="3" t="s">
        <v>141</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Provinsi</v>
      </c>
    </row>
    <row r="24" ht="15.75" customHeight="1">
      <c r="A24" s="2" t="s">
        <v>251</v>
      </c>
      <c r="B24" s="2" t="s">
        <v>145</v>
      </c>
      <c r="C24" s="2" t="s">
        <v>145</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
      </c>
    </row>
    <row r="25" ht="15.75" customHeight="1">
      <c r="A25" s="3" t="s">
        <v>251</v>
      </c>
      <c r="B25" s="3" t="s">
        <v>149</v>
      </c>
      <c r="C25" s="3" t="s">
        <v>149</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
      </c>
    </row>
    <row r="26" ht="15.75" customHeight="1">
      <c r="A26" s="2" t="s">
        <v>251</v>
      </c>
      <c r="B26" s="2" t="s">
        <v>157</v>
      </c>
      <c r="C26" s="2" t="s">
        <v>157</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
      </c>
    </row>
    <row r="27" ht="15.75" customHeight="1">
      <c r="A27" s="3" t="s">
        <v>251</v>
      </c>
      <c r="B27" s="3" t="s">
        <v>161</v>
      </c>
      <c r="C27" s="3" t="s">
        <v>161</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Kode Kabupaten/Kota</v>
      </c>
    </row>
    <row r="28" ht="15.75" customHeight="1">
      <c r="A28" s="2" t="s">
        <v>251</v>
      </c>
      <c r="B28" s="2" t="s">
        <v>165</v>
      </c>
      <c r="C28" s="2" t="s">
        <v>165</v>
      </c>
      <c r="D28" s="2" t="str">
        <f>IFERROR(VLOOKUP($C28,'_METADATA_TEMPLATE'!$B$2:$H$826,2,FALSE),"")</f>
        <v/>
      </c>
      <c r="E28" s="2" t="str">
        <f>IFERROR(VLOOKUP($C28,'_METADATA_TEMPLATE'!$B$2:$H$826,4,FALSE),"")</f>
        <v/>
      </c>
      <c r="F28" s="2" t="str">
        <f>IFERROR(VLOOKUP($C28,'_METADATA_TEMPLATE'!$B$2:$H$826,5,FALSE),"")</f>
        <v/>
      </c>
      <c r="G28" s="2" t="str">
        <f>IFERROR(VLOOKUP($C28,'_METADATA_TEMPLATE'!$B$2:$H$826,6,FALSE),"")</f>
        <v/>
      </c>
      <c r="H28" s="2" t="str">
        <f>IFERROR(VLOOKUP($C28,'_METADATA_TEMPLATE'!$B$2:$H$826,7,FALSE),"")</f>
        <v/>
      </c>
      <c r="I28" s="2" t="str">
        <f>IFERROR(VLOOKUP(C28,'_METADATA_DEFAULT'!$A:$B,2,FALSE),"")</f>
        <v>Kabupaten/Kota</v>
      </c>
    </row>
    <row r="29" ht="15.75" customHeight="1">
      <c r="A29" s="3" t="s">
        <v>251</v>
      </c>
      <c r="B29" s="3" t="s">
        <v>168</v>
      </c>
      <c r="C29" s="3" t="s">
        <v>168</v>
      </c>
      <c r="D29" s="3" t="str">
        <f>IFERROR(VLOOKUP($C29,'_METADATA_TEMPLATE'!$B$2:$H$826,2,FALSE),"")</f>
        <v/>
      </c>
      <c r="E29" s="3" t="str">
        <f>IFERROR(VLOOKUP($C29,'_METADATA_TEMPLATE'!$B$2:$H$826,4,FALSE),"")</f>
        <v/>
      </c>
      <c r="F29" s="3" t="str">
        <f>IFERROR(VLOOKUP($C29,'_METADATA_TEMPLATE'!$B$2:$H$826,5,FALSE),"")</f>
        <v/>
      </c>
      <c r="G29" s="3" t="str">
        <f>IFERROR(VLOOKUP($C29,'_METADATA_TEMPLATE'!$B$2:$H$826,6,FALSE),"")</f>
        <v/>
      </c>
      <c r="H29" s="3" t="str">
        <f>IFERROR(VLOOKUP($C29,'_METADATA_TEMPLATE'!$B$2:$H$826,7,FALSE),"")</f>
        <v/>
      </c>
      <c r="I29" s="3" t="str">
        <f>IFERROR(VLOOKUP(C29,'_METADATA_DEFAULT'!$A:$B,2,FALSE),"")</f>
        <v>Kode Kecamatan</v>
      </c>
    </row>
    <row r="30" ht="15.75" customHeight="1">
      <c r="A30" s="2" t="s">
        <v>251</v>
      </c>
      <c r="B30" s="2" t="s">
        <v>172</v>
      </c>
      <c r="C30" s="2" t="s">
        <v>172</v>
      </c>
      <c r="D30" s="2" t="str">
        <f>IFERROR(VLOOKUP($C30,'_METADATA_TEMPLATE'!$B$2:$H$826,2,FALSE),"")</f>
        <v/>
      </c>
      <c r="E30" s="2" t="str">
        <f>IFERROR(VLOOKUP($C30,'_METADATA_TEMPLATE'!$B$2:$H$826,4,FALSE),"")</f>
        <v/>
      </c>
      <c r="F30" s="2" t="str">
        <f>IFERROR(VLOOKUP($C30,'_METADATA_TEMPLATE'!$B$2:$H$826,5,FALSE),"")</f>
        <v/>
      </c>
      <c r="G30" s="2" t="str">
        <f>IFERROR(VLOOKUP($C30,'_METADATA_TEMPLATE'!$B$2:$H$826,6,FALSE),"")</f>
        <v/>
      </c>
      <c r="H30" s="2" t="str">
        <f>IFERROR(VLOOKUP($C30,'_METADATA_TEMPLATE'!$B$2:$H$826,7,FALSE),"")</f>
        <v/>
      </c>
      <c r="I30" s="2" t="str">
        <f>IFERROR(VLOOKUP(C30,'_METADATA_DEFAULT'!$A:$B,2,FALSE),"")</f>
        <v>Kode Lengkap Kecamatan</v>
      </c>
    </row>
    <row r="31" ht="15.75" customHeight="1">
      <c r="A31" s="3" t="s">
        <v>251</v>
      </c>
      <c r="B31" s="3" t="s">
        <v>176</v>
      </c>
      <c r="C31" s="3" t="s">
        <v>176</v>
      </c>
      <c r="D31" s="3" t="str">
        <f>IFERROR(VLOOKUP($C31,'_METADATA_TEMPLATE'!$B$2:$H$826,2,FALSE),"")</f>
        <v/>
      </c>
      <c r="E31" s="3" t="str">
        <f>IFERROR(VLOOKUP($C31,'_METADATA_TEMPLATE'!$B$2:$H$826,4,FALSE),"")</f>
        <v/>
      </c>
      <c r="F31" s="3" t="str">
        <f>IFERROR(VLOOKUP($C31,'_METADATA_TEMPLATE'!$B$2:$H$826,5,FALSE),"")</f>
        <v/>
      </c>
      <c r="G31" s="3" t="str">
        <f>IFERROR(VLOOKUP($C31,'_METADATA_TEMPLATE'!$B$2:$H$826,6,FALSE),"")</f>
        <v/>
      </c>
      <c r="H31" s="3" t="str">
        <f>IFERROR(VLOOKUP($C31,'_METADATA_TEMPLATE'!$B$2:$H$826,7,FALSE),"")</f>
        <v/>
      </c>
      <c r="I31" s="3" t="str">
        <f>IFERROR(VLOOKUP(C31,'_METADATA_DEFAULT'!$A:$B,2,FALSE),"")</f>
        <v>Kecamatan</v>
      </c>
    </row>
    <row r="32" ht="15.75" customHeight="1">
      <c r="A32" s="2" t="s">
        <v>251</v>
      </c>
      <c r="B32" s="2" t="s">
        <v>181</v>
      </c>
      <c r="C32" s="2" t="s">
        <v>181</v>
      </c>
      <c r="D32" s="2" t="str">
        <f>IFERROR(VLOOKUP($C32,'_METADATA_TEMPLATE'!$B$2:$H$826,2,FALSE),"")</f>
        <v/>
      </c>
      <c r="E32" s="2" t="str">
        <f>IFERROR(VLOOKUP($C32,'_METADATA_TEMPLATE'!$B$2:$H$826,4,FALSE),"")</f>
        <v/>
      </c>
      <c r="F32" s="2" t="str">
        <f>IFERROR(VLOOKUP($C32,'_METADATA_TEMPLATE'!$B$2:$H$826,5,FALSE),"")</f>
        <v/>
      </c>
      <c r="G32" s="2" t="str">
        <f>IFERROR(VLOOKUP($C32,'_METADATA_TEMPLATE'!$B$2:$H$826,6,FALSE),"")</f>
        <v/>
      </c>
      <c r="H32" s="2" t="str">
        <f>IFERROR(VLOOKUP($C32,'_METADATA_TEMPLATE'!$B$2:$H$826,7,FALSE),"")</f>
        <v/>
      </c>
      <c r="I32" s="2" t="str">
        <f>IFERROR(VLOOKUP(C32,'_METADATA_DEFAULT'!$A:$B,2,FALSE),"")</f>
        <v>Kode Kelurahan/Desa</v>
      </c>
    </row>
    <row r="33" ht="15.75" customHeight="1">
      <c r="A33" s="3" t="s">
        <v>251</v>
      </c>
      <c r="B33" s="3" t="s">
        <v>184</v>
      </c>
      <c r="C33" s="3" t="s">
        <v>184</v>
      </c>
      <c r="D33" s="3" t="str">
        <f>IFERROR(VLOOKUP($C33,'_METADATA_TEMPLATE'!$B$2:$H$826,2,FALSE),"")</f>
        <v/>
      </c>
      <c r="E33" s="3" t="str">
        <f>IFERROR(VLOOKUP($C33,'_METADATA_TEMPLATE'!$B$2:$H$826,4,FALSE),"")</f>
        <v/>
      </c>
      <c r="F33" s="3" t="str">
        <f>IFERROR(VLOOKUP($C33,'_METADATA_TEMPLATE'!$B$2:$H$826,5,FALSE),"")</f>
        <v/>
      </c>
      <c r="G33" s="3" t="str">
        <f>IFERROR(VLOOKUP($C33,'_METADATA_TEMPLATE'!$B$2:$H$826,6,FALSE),"")</f>
        <v/>
      </c>
      <c r="H33" s="3" t="str">
        <f>IFERROR(VLOOKUP($C33,'_METADATA_TEMPLATE'!$B$2:$H$826,7,FALSE),"")</f>
        <v/>
      </c>
      <c r="I33" s="3" t="str">
        <f>IFERROR(VLOOKUP(C33,'_METADATA_DEFAULT'!$A:$B,2,FALSE),"")</f>
        <v>Kode Lengkap Kelurahan/Desa</v>
      </c>
    </row>
    <row r="34" ht="15.75" customHeight="1">
      <c r="A34" s="2" t="s">
        <v>251</v>
      </c>
      <c r="B34" s="2" t="s">
        <v>188</v>
      </c>
      <c r="C34" s="2" t="s">
        <v>188</v>
      </c>
      <c r="D34" s="2" t="str">
        <f>IFERROR(VLOOKUP($C34,'_METADATA_TEMPLATE'!$B$2:$H$826,2,FALSE),"")</f>
        <v/>
      </c>
      <c r="E34" s="2" t="str">
        <f>IFERROR(VLOOKUP($C34,'_METADATA_TEMPLATE'!$B$2:$H$826,4,FALSE),"")</f>
        <v/>
      </c>
      <c r="F34" s="2" t="str">
        <f>IFERROR(VLOOKUP($C34,'_METADATA_TEMPLATE'!$B$2:$H$826,5,FALSE),"")</f>
        <v/>
      </c>
      <c r="G34" s="2" t="str">
        <f>IFERROR(VLOOKUP($C34,'_METADATA_TEMPLATE'!$B$2:$H$826,6,FALSE),"")</f>
        <v/>
      </c>
      <c r="H34" s="2" t="str">
        <f>IFERROR(VLOOKUP($C34,'_METADATA_TEMPLATE'!$B$2:$H$826,7,FALSE),"")</f>
        <v/>
      </c>
      <c r="I34" s="2" t="str">
        <f>IFERROR(VLOOKUP(C34,'_METADATA_DEFAULT'!$A:$B,2,FALSE),"")</f>
        <v>Kelurahan/Desa</v>
      </c>
    </row>
    <row r="35" ht="15.75" customHeight="1">
      <c r="A35" s="3" t="s">
        <v>251</v>
      </c>
      <c r="B35" s="3" t="s">
        <v>191</v>
      </c>
      <c r="C35" s="3" t="s">
        <v>191</v>
      </c>
      <c r="D35" s="3" t="str">
        <f>IFERROR(VLOOKUP($C35,'_METADATA_TEMPLATE'!$B$2:$H$826,2,FALSE),"")</f>
        <v/>
      </c>
      <c r="E35" s="3" t="str">
        <f>IFERROR(VLOOKUP($C35,'_METADATA_TEMPLATE'!$B$2:$H$826,4,FALSE),"")</f>
        <v/>
      </c>
      <c r="F35" s="3" t="str">
        <f>IFERROR(VLOOKUP($C35,'_METADATA_TEMPLATE'!$B$2:$H$826,5,FALSE),"")</f>
        <v/>
      </c>
      <c r="G35" s="3" t="str">
        <f>IFERROR(VLOOKUP($C35,'_METADATA_TEMPLATE'!$B$2:$H$826,6,FALSE),"")</f>
        <v/>
      </c>
      <c r="H35" s="3" t="str">
        <f>IFERROR(VLOOKUP($C35,'_METADATA_TEMPLATE'!$B$2:$H$826,7,FALSE),"")</f>
        <v/>
      </c>
      <c r="I35" s="3" t="str">
        <f>IFERROR(VLOOKUP(C35,'_METADATA_DEFAULT'!$A:$B,2,FALSE),"")</f>
        <v>Kode SLS</v>
      </c>
    </row>
    <row r="36" ht="15.75" customHeight="1">
      <c r="A36" s="2" t="s">
        <v>251</v>
      </c>
      <c r="B36" s="2" t="s">
        <v>194</v>
      </c>
      <c r="C36" s="2" t="s">
        <v>194</v>
      </c>
      <c r="D36" s="2" t="str">
        <f>IFERROR(VLOOKUP($C36,'_METADATA_TEMPLATE'!$B$2:$H$826,2,FALSE),"")</f>
        <v/>
      </c>
      <c r="E36" s="2" t="str">
        <f>IFERROR(VLOOKUP($C36,'_METADATA_TEMPLATE'!$B$2:$H$826,4,FALSE),"")</f>
        <v/>
      </c>
      <c r="F36" s="2" t="str">
        <f>IFERROR(VLOOKUP($C36,'_METADATA_TEMPLATE'!$B$2:$H$826,5,FALSE),"")</f>
        <v/>
      </c>
      <c r="G36" s="2" t="str">
        <f>IFERROR(VLOOKUP($C36,'_METADATA_TEMPLATE'!$B$2:$H$826,6,FALSE),"")</f>
        <v/>
      </c>
      <c r="H36" s="2" t="str">
        <f>IFERROR(VLOOKUP($C36,'_METADATA_TEMPLATE'!$B$2:$H$826,7,FALSE),"")</f>
        <v/>
      </c>
      <c r="I36" s="2" t="str">
        <f>IFERROR(VLOOKUP(C36,'_METADATA_DEFAULT'!$A:$B,2,FALSE),"")</f>
        <v>Kode Lengkap SLS</v>
      </c>
    </row>
    <row r="37" ht="15.75" customHeight="1">
      <c r="A37" s="3" t="s">
        <v>251</v>
      </c>
      <c r="B37" s="3" t="s">
        <v>197</v>
      </c>
      <c r="C37" s="3" t="s">
        <v>197</v>
      </c>
      <c r="D37" s="3" t="str">
        <f>IFERROR(VLOOKUP($C37,'_METADATA_TEMPLATE'!$B$2:$H$826,2,FALSE),"")</f>
        <v/>
      </c>
      <c r="E37" s="3" t="str">
        <f>IFERROR(VLOOKUP($C37,'_METADATA_TEMPLATE'!$B$2:$H$826,4,FALSE),"")</f>
        <v/>
      </c>
      <c r="F37" s="3" t="str">
        <f>IFERROR(VLOOKUP($C37,'_METADATA_TEMPLATE'!$B$2:$H$826,5,FALSE),"")</f>
        <v/>
      </c>
      <c r="G37" s="3" t="str">
        <f>IFERROR(VLOOKUP($C37,'_METADATA_TEMPLATE'!$B$2:$H$826,6,FALSE),"")</f>
        <v/>
      </c>
      <c r="H37" s="3" t="str">
        <f>IFERROR(VLOOKUP($C37,'_METADATA_TEMPLATE'!$B$2:$H$826,7,FALSE),"")</f>
        <v/>
      </c>
      <c r="I37" s="3" t="str">
        <f>IFERROR(VLOOKUP(C37,'_METADATA_DEFAULT'!$A:$B,2,FALSE),"")</f>
        <v>SLS</v>
      </c>
    </row>
    <row r="38" ht="15.75" customHeight="1">
      <c r="A38" s="2" t="s">
        <v>251</v>
      </c>
      <c r="B38" s="2" t="s">
        <v>202</v>
      </c>
      <c r="C38" s="2" t="s">
        <v>202</v>
      </c>
      <c r="D38" s="2" t="str">
        <f>IFERROR(VLOOKUP($C38,'_METADATA_TEMPLATE'!$B$2:$H$826,2,FALSE),"")</f>
        <v/>
      </c>
      <c r="E38" s="2" t="str">
        <f>IFERROR(VLOOKUP($C38,'_METADATA_TEMPLATE'!$B$2:$H$826,4,FALSE),"")</f>
        <v/>
      </c>
      <c r="F38" s="2" t="str">
        <f>IFERROR(VLOOKUP($C38,'_METADATA_TEMPLATE'!$B$2:$H$826,5,FALSE),"")</f>
        <v/>
      </c>
      <c r="G38" s="2" t="str">
        <f>IFERROR(VLOOKUP($C38,'_METADATA_TEMPLATE'!$B$2:$H$826,6,FALSE),"")</f>
        <v/>
      </c>
      <c r="H38" s="2" t="str">
        <f>IFERROR(VLOOKUP($C38,'_METADATA_TEMPLATE'!$B$2:$H$826,7,FALSE),"")</f>
        <v/>
      </c>
      <c r="I38" s="2" t="str">
        <f>IFERROR(VLOOKUP(C38,'_METADATA_DEFAULT'!$A:$B,2,FALSE),"")</f>
        <v>Kode Sub-SLS</v>
      </c>
    </row>
    <row r="39" ht="15.75" customHeight="1">
      <c r="A39" s="3" t="s">
        <v>251</v>
      </c>
      <c r="B39" s="3" t="s">
        <v>206</v>
      </c>
      <c r="C39" s="3" t="s">
        <v>206</v>
      </c>
      <c r="D39" s="3" t="str">
        <f>IFERROR(VLOOKUP($C39,'_METADATA_TEMPLATE'!$B$2:$H$826,2,FALSE),"")</f>
        <v/>
      </c>
      <c r="E39" s="3" t="str">
        <f>IFERROR(VLOOKUP($C39,'_METADATA_TEMPLATE'!$B$2:$H$826,4,FALSE),"")</f>
        <v/>
      </c>
      <c r="F39" s="3" t="str">
        <f>IFERROR(VLOOKUP($C39,'_METADATA_TEMPLATE'!$B$2:$H$826,5,FALSE),"")</f>
        <v/>
      </c>
      <c r="G39" s="3" t="str">
        <f>IFERROR(VLOOKUP($C39,'_METADATA_TEMPLATE'!$B$2:$H$826,6,FALSE),"")</f>
        <v/>
      </c>
      <c r="H39" s="3" t="str">
        <f>IFERROR(VLOOKUP($C39,'_METADATA_TEMPLATE'!$B$2:$H$826,7,FALSE),"")</f>
        <v/>
      </c>
      <c r="I39" s="3" t="str">
        <f>IFERROR(VLOOKUP(C39,'_METADATA_DEFAULT'!$A:$B,2,FALSE),"")</f>
        <v>Kode Lengkap Sub-SLS</v>
      </c>
    </row>
    <row r="40" ht="15.75" customHeight="1">
      <c r="A40" s="2" t="s">
        <v>251</v>
      </c>
      <c r="B40" s="2" t="s">
        <v>209</v>
      </c>
      <c r="C40" s="2" t="s">
        <v>209</v>
      </c>
      <c r="D40" s="2" t="str">
        <f>IFERROR(VLOOKUP($C40,'_METADATA_TEMPLATE'!$B$2:$H$826,2,FALSE),"")</f>
        <v/>
      </c>
      <c r="E40" s="2" t="str">
        <f>IFERROR(VLOOKUP($C40,'_METADATA_TEMPLATE'!$B$2:$H$826,4,FALSE),"")</f>
        <v/>
      </c>
      <c r="F40" s="2" t="str">
        <f>IFERROR(VLOOKUP($C40,'_METADATA_TEMPLATE'!$B$2:$H$826,5,FALSE),"")</f>
        <v/>
      </c>
      <c r="G40" s="2" t="str">
        <f>IFERROR(VLOOKUP($C40,'_METADATA_TEMPLATE'!$B$2:$H$826,6,FALSE),"")</f>
        <v/>
      </c>
      <c r="H40" s="2" t="str">
        <f>IFERROR(VLOOKUP($C40,'_METADATA_TEMPLATE'!$B$2:$H$826,7,FALSE),"")</f>
        <v/>
      </c>
      <c r="I40" s="2" t="str">
        <f>IFERROR(VLOOKUP(C40,'_METADATA_DEFAULT'!$A:$B,2,FALSE),"")</f>
        <v>Sub-SLS</v>
      </c>
    </row>
    <row r="41" ht="15.75" customHeight="1">
      <c r="A41" s="3" t="s">
        <v>251</v>
      </c>
      <c r="B41" s="3" t="s">
        <v>211</v>
      </c>
      <c r="C41" s="3" t="s">
        <v>211</v>
      </c>
      <c r="D41" s="3" t="str">
        <f>IFERROR(VLOOKUP($C41,'_METADATA_TEMPLATE'!$B$2:$H$826,2,FALSE),"")</f>
        <v/>
      </c>
      <c r="E41" s="3" t="str">
        <f>IFERROR(VLOOKUP($C41,'_METADATA_TEMPLATE'!$B$2:$H$826,4,FALSE),"")</f>
        <v/>
      </c>
      <c r="F41" s="3" t="str">
        <f>IFERROR(VLOOKUP($C41,'_METADATA_TEMPLATE'!$B$2:$H$826,5,FALSE),"")</f>
        <v/>
      </c>
      <c r="G41" s="3" t="str">
        <f>IFERROR(VLOOKUP($C41,'_METADATA_TEMPLATE'!$B$2:$H$826,6,FALSE),"")</f>
        <v/>
      </c>
      <c r="H41" s="3" t="str">
        <f>IFERROR(VLOOKUP($C41,'_METADATA_TEMPLATE'!$B$2:$H$826,7,FALSE),"")</f>
        <v/>
      </c>
      <c r="I41" s="3" t="str">
        <f>IFERROR(VLOOKUP(C41,'_METADATA_DEFAULT'!$A:$B,2,FALSE),"")</f>
        <v/>
      </c>
    </row>
    <row r="42" ht="15.75" customHeight="1">
      <c r="A42" s="2" t="s">
        <v>251</v>
      </c>
      <c r="B42" s="2" t="s">
        <v>214</v>
      </c>
      <c r="C42" s="2" t="s">
        <v>214</v>
      </c>
      <c r="D42" s="2" t="str">
        <f>IFERROR(VLOOKUP($C42,'_METADATA_TEMPLATE'!$B$2:$H$826,2,FALSE),"")</f>
        <v/>
      </c>
      <c r="E42" s="2" t="str">
        <f>IFERROR(VLOOKUP($C42,'_METADATA_TEMPLATE'!$B$2:$H$826,4,FALSE),"")</f>
        <v/>
      </c>
      <c r="F42" s="2" t="str">
        <f>IFERROR(VLOOKUP($C42,'_METADATA_TEMPLATE'!$B$2:$H$826,5,FALSE),"")</f>
        <v/>
      </c>
      <c r="G42" s="2" t="str">
        <f>IFERROR(VLOOKUP($C42,'_METADATA_TEMPLATE'!$B$2:$H$826,6,FALSE),"")</f>
        <v/>
      </c>
      <c r="H42" s="2" t="str">
        <f>IFERROR(VLOOKUP($C42,'_METADATA_TEMPLATE'!$B$2:$H$826,7,FALSE),"")</f>
        <v/>
      </c>
      <c r="I42" s="2" t="str">
        <f>IFERROR(VLOOKUP(C42,'_METADATA_DEFAULT'!$A:$B,2,FALSE),"")</f>
        <v/>
      </c>
    </row>
    <row r="43" ht="15.75" customHeight="1">
      <c r="A43" s="3" t="s">
        <v>251</v>
      </c>
      <c r="B43" s="3" t="s">
        <v>216</v>
      </c>
      <c r="C43" s="3" t="s">
        <v>216</v>
      </c>
      <c r="D43" s="3" t="str">
        <f>IFERROR(VLOOKUP($C43,'_METADATA_TEMPLATE'!$B$2:$H$826,2,FALSE),"")</f>
        <v/>
      </c>
      <c r="E43" s="3" t="str">
        <f>IFERROR(VLOOKUP($C43,'_METADATA_TEMPLATE'!$B$2:$H$826,4,FALSE),"")</f>
        <v/>
      </c>
      <c r="F43" s="3" t="str">
        <f>IFERROR(VLOOKUP($C43,'_METADATA_TEMPLATE'!$B$2:$H$826,5,FALSE),"")</f>
        <v/>
      </c>
      <c r="G43" s="3" t="str">
        <f>IFERROR(VLOOKUP($C43,'_METADATA_TEMPLATE'!$B$2:$H$826,6,FALSE),"")</f>
        <v/>
      </c>
      <c r="H43" s="3" t="str">
        <f>IFERROR(VLOOKUP($C43,'_METADATA_TEMPLATE'!$B$2:$H$826,7,FALSE),"")</f>
        <v/>
      </c>
      <c r="I43" s="3" t="str">
        <f>IFERROR(VLOOKUP(C43,'_METADATA_DEFAULT'!$A:$B,2,FALSE),"")</f>
        <v/>
      </c>
    </row>
    <row r="44" ht="15.75" customHeight="1">
      <c r="A44" s="2" t="s">
        <v>251</v>
      </c>
      <c r="B44" s="2" t="s">
        <v>218</v>
      </c>
      <c r="C44" s="2" t="s">
        <v>218</v>
      </c>
      <c r="D44" s="2" t="str">
        <f>IFERROR(VLOOKUP($C44,'_METADATA_TEMPLATE'!$B$2:$H$826,2,FALSE),"")</f>
        <v/>
      </c>
      <c r="E44" s="2" t="str">
        <f>IFERROR(VLOOKUP($C44,'_METADATA_TEMPLATE'!$B$2:$H$826,4,FALSE),"")</f>
        <v/>
      </c>
      <c r="F44" s="2" t="str">
        <f>IFERROR(VLOOKUP($C44,'_METADATA_TEMPLATE'!$B$2:$H$826,5,FALSE),"")</f>
        <v/>
      </c>
      <c r="G44" s="2" t="str">
        <f>IFERROR(VLOOKUP($C44,'_METADATA_TEMPLATE'!$B$2:$H$826,6,FALSE),"")</f>
        <v/>
      </c>
      <c r="H44" s="2" t="str">
        <f>IFERROR(VLOOKUP($C44,'_METADATA_TEMPLATE'!$B$2:$H$826,7,FALSE),"")</f>
        <v/>
      </c>
      <c r="I44" s="2" t="str">
        <f>IFERROR(VLOOKUP(C44,'_METADATA_DEFAULT'!$A:$B,2,FALSE),"")</f>
        <v/>
      </c>
    </row>
    <row r="45" ht="15.75" customHeight="1">
      <c r="A45" s="3" t="s">
        <v>251</v>
      </c>
      <c r="B45" s="3" t="s">
        <v>221</v>
      </c>
      <c r="C45" s="3" t="s">
        <v>221</v>
      </c>
      <c r="D45" s="3" t="str">
        <f>IFERROR(VLOOKUP($C45,'_METADATA_TEMPLATE'!$B$2:$H$826,2,FALSE),"")</f>
        <v/>
      </c>
      <c r="E45" s="3" t="str">
        <f>IFERROR(VLOOKUP($C45,'_METADATA_TEMPLATE'!$B$2:$H$826,4,FALSE),"")</f>
        <v/>
      </c>
      <c r="F45" s="3" t="str">
        <f>IFERROR(VLOOKUP($C45,'_METADATA_TEMPLATE'!$B$2:$H$826,5,FALSE),"")</f>
        <v/>
      </c>
      <c r="G45" s="3" t="str">
        <f>IFERROR(VLOOKUP($C45,'_METADATA_TEMPLATE'!$B$2:$H$826,6,FALSE),"")</f>
        <v/>
      </c>
      <c r="H45" s="3" t="str">
        <f>IFERROR(VLOOKUP($C45,'_METADATA_TEMPLATE'!$B$2:$H$826,7,FALSE),"")</f>
        <v/>
      </c>
      <c r="I45" s="3" t="str">
        <f>IFERROR(VLOOKUP(C45,'_METADATA_DEFAULT'!$A:$B,2,FALSE),"")</f>
        <v/>
      </c>
    </row>
    <row r="46" ht="15.75" customHeight="1">
      <c r="A46" s="2" t="s">
        <v>251</v>
      </c>
      <c r="B46" s="2" t="s">
        <v>225</v>
      </c>
      <c r="C46" s="2" t="s">
        <v>225</v>
      </c>
      <c r="D46" s="2" t="str">
        <f>IFERROR(VLOOKUP($C46,'_METADATA_TEMPLATE'!$B$2:$H$826,2,FALSE),"")</f>
        <v/>
      </c>
      <c r="E46" s="2" t="str">
        <f>IFERROR(VLOOKUP($C46,'_METADATA_TEMPLATE'!$B$2:$H$826,4,FALSE),"")</f>
        <v/>
      </c>
      <c r="F46" s="2" t="str">
        <f>IFERROR(VLOOKUP($C46,'_METADATA_TEMPLATE'!$B$2:$H$826,5,FALSE),"")</f>
        <v/>
      </c>
      <c r="G46" s="2" t="str">
        <f>IFERROR(VLOOKUP($C46,'_METADATA_TEMPLATE'!$B$2:$H$826,6,FALSE),"")</f>
        <v/>
      </c>
      <c r="H46" s="2" t="str">
        <f>IFERROR(VLOOKUP($C46,'_METADATA_TEMPLATE'!$B$2:$H$826,7,FALSE),"")</f>
        <v/>
      </c>
      <c r="I46" s="2" t="str">
        <f>IFERROR(VLOOKUP(C46,'_METADATA_DEFAULT'!$A:$B,2,FALSE),"")</f>
        <v/>
      </c>
    </row>
    <row r="47" ht="15.75" customHeight="1">
      <c r="A47" s="3" t="s">
        <v>251</v>
      </c>
      <c r="B47" s="3" t="s">
        <v>227</v>
      </c>
      <c r="C47" s="3" t="s">
        <v>227</v>
      </c>
      <c r="D47" s="3" t="str">
        <f>IFERROR(VLOOKUP($C47,'_METADATA_TEMPLATE'!$B$2:$H$826,2,FALSE),"")</f>
        <v/>
      </c>
      <c r="E47" s="3" t="str">
        <f>IFERROR(VLOOKUP($C47,'_METADATA_TEMPLATE'!$B$2:$H$826,4,FALSE),"")</f>
        <v/>
      </c>
      <c r="F47" s="3" t="str">
        <f>IFERROR(VLOOKUP($C47,'_METADATA_TEMPLATE'!$B$2:$H$826,5,FALSE),"")</f>
        <v/>
      </c>
      <c r="G47" s="3" t="str">
        <f>IFERROR(VLOOKUP($C47,'_METADATA_TEMPLATE'!$B$2:$H$826,6,FALSE),"")</f>
        <v/>
      </c>
      <c r="H47" s="3" t="str">
        <f>IFERROR(VLOOKUP($C47,'_METADATA_TEMPLATE'!$B$2:$H$826,7,FALSE),"")</f>
        <v/>
      </c>
      <c r="I47" s="3" t="str">
        <f>IFERROR(VLOOKUP(C47,'_METADATA_DEFAULT'!$A:$B,2,FALSE),"")</f>
        <v/>
      </c>
    </row>
    <row r="48" ht="15.75" customHeight="1">
      <c r="A48" s="2" t="s">
        <v>251</v>
      </c>
      <c r="B48" s="2" t="s">
        <v>230</v>
      </c>
      <c r="C48" s="2" t="s">
        <v>230</v>
      </c>
      <c r="D48" s="2" t="str">
        <f>IFERROR(VLOOKUP($C48,'_METADATA_TEMPLATE'!$B$2:$H$826,2,FALSE),"")</f>
        <v/>
      </c>
      <c r="E48" s="2" t="str">
        <f>IFERROR(VLOOKUP($C48,'_METADATA_TEMPLATE'!$B$2:$H$826,4,FALSE),"")</f>
        <v/>
      </c>
      <c r="F48" s="2" t="str">
        <f>IFERROR(VLOOKUP($C48,'_METADATA_TEMPLATE'!$B$2:$H$826,5,FALSE),"")</f>
        <v/>
      </c>
      <c r="G48" s="2" t="str">
        <f>IFERROR(VLOOKUP($C48,'_METADATA_TEMPLATE'!$B$2:$H$826,6,FALSE),"")</f>
        <v/>
      </c>
      <c r="H48" s="2" t="str">
        <f>IFERROR(VLOOKUP($C48,'_METADATA_TEMPLATE'!$B$2:$H$826,7,FALSE),"")</f>
        <v/>
      </c>
      <c r="I48" s="2" t="str">
        <f>IFERROR(VLOOKUP(C48,'_METADATA_DEFAULT'!$A:$B,2,FALSE),"")</f>
        <v/>
      </c>
    </row>
    <row r="49" ht="15.75" customHeight="1">
      <c r="A49" s="3" t="s">
        <v>251</v>
      </c>
      <c r="B49" s="3" t="s">
        <v>234</v>
      </c>
      <c r="C49" s="3" t="s">
        <v>234</v>
      </c>
      <c r="D49" s="3" t="str">
        <f>IFERROR(VLOOKUP($C49,'_METADATA_TEMPLATE'!$B$2:$H$826,2,FALSE),"")</f>
        <v/>
      </c>
      <c r="E49" s="3" t="str">
        <f>IFERROR(VLOOKUP($C49,'_METADATA_TEMPLATE'!$B$2:$H$826,4,FALSE),"")</f>
        <v/>
      </c>
      <c r="F49" s="3" t="str">
        <f>IFERROR(VLOOKUP($C49,'_METADATA_TEMPLATE'!$B$2:$H$826,5,FALSE),"")</f>
        <v/>
      </c>
      <c r="G49" s="3" t="str">
        <f>IFERROR(VLOOKUP($C49,'_METADATA_TEMPLATE'!$B$2:$H$826,6,FALSE),"")</f>
        <v/>
      </c>
      <c r="H49" s="3" t="str">
        <f>IFERROR(VLOOKUP($C49,'_METADATA_TEMPLATE'!$B$2:$H$826,7,FALSE),"")</f>
        <v/>
      </c>
      <c r="I49" s="3" t="str">
        <f>IFERROR(VLOOKUP(C49,'_METADATA_DEFAULT'!$A:$B,2,FALSE),"")</f>
        <v/>
      </c>
    </row>
    <row r="50" ht="15.75" customHeight="1">
      <c r="A50" s="2" t="s">
        <v>251</v>
      </c>
      <c r="B50" s="2" t="s">
        <v>75</v>
      </c>
      <c r="C50" s="2" t="s">
        <v>75</v>
      </c>
      <c r="D50" s="2" t="str">
        <f>IFERROR(VLOOKUP($C50,'_METADATA_TEMPLATE'!$B$2:$H$826,2,FALSE),"")</f>
        <v/>
      </c>
      <c r="E50" s="2" t="str">
        <f>IFERROR(VLOOKUP($C50,'_METADATA_TEMPLATE'!$B$2:$H$826,4,FALSE),"")</f>
        <v/>
      </c>
      <c r="F50" s="2" t="str">
        <f>IFERROR(VLOOKUP($C50,'_METADATA_TEMPLATE'!$B$2:$H$826,5,FALSE),"")</f>
        <v/>
      </c>
      <c r="G50" s="2" t="str">
        <f>IFERROR(VLOOKUP($C50,'_METADATA_TEMPLATE'!$B$2:$H$826,6,FALSE),"")</f>
        <v/>
      </c>
      <c r="H50" s="2" t="str">
        <f>IFERROR(VLOOKUP($C50,'_METADATA_TEMPLATE'!$B$2:$H$826,7,FALSE),"")</f>
        <v/>
      </c>
      <c r="I50" s="2" t="str">
        <f>IFERROR(VLOOKUP(C50,'_METADATA_DEFAULT'!$A:$B,2,FALSE),"")</f>
        <v>ID Periode Survei</v>
      </c>
    </row>
    <row r="51" ht="15.75" customHeight="1">
      <c r="A51" s="3" t="s">
        <v>251</v>
      </c>
      <c r="B51" s="3" t="s">
        <v>240</v>
      </c>
      <c r="C51" s="3" t="s">
        <v>240</v>
      </c>
      <c r="D51" s="3" t="str">
        <f>IFERROR(VLOOKUP($C51,'_METADATA_TEMPLATE'!$B$2:$H$826,2,FALSE),"")</f>
        <v/>
      </c>
      <c r="E51" s="3" t="str">
        <f>IFERROR(VLOOKUP($C51,'_METADATA_TEMPLATE'!$B$2:$H$826,4,FALSE),"")</f>
        <v/>
      </c>
      <c r="F51" s="3" t="str">
        <f>IFERROR(VLOOKUP($C51,'_METADATA_TEMPLATE'!$B$2:$H$826,5,FALSE),"")</f>
        <v/>
      </c>
      <c r="G51" s="3" t="str">
        <f>IFERROR(VLOOKUP($C51,'_METADATA_TEMPLATE'!$B$2:$H$826,6,FALSE),"")</f>
        <v/>
      </c>
      <c r="H51" s="3" t="str">
        <f>IFERROR(VLOOKUP($C51,'_METADATA_TEMPLATE'!$B$2:$H$826,7,FALSE),"")</f>
        <v/>
      </c>
      <c r="I51" s="3" t="str">
        <f>IFERROR(VLOOKUP(C51,'_METADATA_DEFAULT'!$A:$B,2,FALSE),"")</f>
        <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296</v>
      </c>
      <c r="B2" s="2" t="s">
        <v>12</v>
      </c>
      <c r="C2" s="2" t="s">
        <v>12</v>
      </c>
      <c r="D2" s="2" t="str">
        <f>IFERROR(VLOOKUP($C2,'_METADATA_TEMPLATE'!$B$2:$H$826,2,FALSE),"")</f>
        <v/>
      </c>
      <c r="E2" s="2" t="str">
        <f>IFERROR(VLOOKUP($C2,'_METADATA_TEMPLATE'!$B$2:$H$826,4,FALSE),"")</f>
        <v/>
      </c>
      <c r="F2" s="2" t="str">
        <f>IFERROR(VLOOKUP($C2,'_METADATA_TEMPLATE'!$B$2:$H$826,5,FALSE),"")</f>
        <v/>
      </c>
      <c r="G2" s="2" t="str">
        <f>IFERROR(VLOOKUP($C2,'_METADATA_TEMPLATE'!$B$2:$H$826,6,FALSE),"")</f>
        <v/>
      </c>
      <c r="H2" s="2" t="str">
        <f>IFERROR(VLOOKUP($C2,'_METADATA_TEMPLATE'!$B$2:$H$826,7,FALSE),"")</f>
        <v/>
      </c>
      <c r="I2" s="2" t="str">
        <f>IFERROR(VLOOKUP(C2,'_METADATA_DEFAULT'!$A:$B,2,FALSE),"")</f>
        <v>ID Assignment</v>
      </c>
    </row>
    <row r="3">
      <c r="A3" s="3" t="s">
        <v>296</v>
      </c>
      <c r="B3" s="3" t="s">
        <v>18</v>
      </c>
      <c r="C3" s="3" t="s">
        <v>18</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Kode Lengkap Provinsi</v>
      </c>
    </row>
    <row r="4">
      <c r="A4" s="2" t="s">
        <v>296</v>
      </c>
      <c r="B4" s="2" t="s">
        <v>20</v>
      </c>
      <c r="C4" s="2" t="s">
        <v>20</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Kode Lengkap Kabupaten/Kota</v>
      </c>
    </row>
    <row r="5">
      <c r="A5" s="3" t="s">
        <v>296</v>
      </c>
      <c r="B5" s="3" t="s">
        <v>43</v>
      </c>
      <c r="C5" s="3" t="s">
        <v>43</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Tanggal Assignment Terakhir Diubah</v>
      </c>
    </row>
    <row r="6">
      <c r="A6" s="2" t="s">
        <v>296</v>
      </c>
      <c r="B6" s="2" t="s">
        <v>21</v>
      </c>
      <c r="C6" s="2" t="s">
        <v>21</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ID Assignment + Timestamp</v>
      </c>
    </row>
    <row r="7">
      <c r="A7" s="3" t="s">
        <v>296</v>
      </c>
      <c r="B7" s="3" t="s">
        <v>153</v>
      </c>
      <c r="C7" s="3" t="s">
        <v>153</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1 = Assignment Tambahan, 0 = Assignment Prelist</v>
      </c>
    </row>
    <row r="8">
      <c r="A8" s="2" t="s">
        <v>296</v>
      </c>
      <c r="B8" s="2" t="s">
        <v>42</v>
      </c>
      <c r="C8" s="2" t="s">
        <v>42</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Status Assignment</v>
      </c>
    </row>
    <row r="9">
      <c r="A9" s="3" t="s">
        <v>296</v>
      </c>
      <c r="B9" s="3" t="s">
        <v>47</v>
      </c>
      <c r="C9" s="3" t="s">
        <v>47</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ID Status Assignment</v>
      </c>
    </row>
    <row r="10">
      <c r="A10" s="2" t="s">
        <v>296</v>
      </c>
      <c r="B10" s="2" t="s">
        <v>317</v>
      </c>
      <c r="C10" s="2" t="s">
        <v>317</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296</v>
      </c>
      <c r="B11" s="3" t="s">
        <v>26</v>
      </c>
      <c r="C11" s="3" t="s">
        <v>26</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1 = Aktif, 0 = Dihapus</v>
      </c>
    </row>
    <row r="12">
      <c r="A12" s="2" t="s">
        <v>296</v>
      </c>
      <c r="B12" s="2" t="s">
        <v>137</v>
      </c>
      <c r="C12" s="2" t="s">
        <v>137</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Kode Provinsi</v>
      </c>
    </row>
    <row r="13">
      <c r="A13" s="3" t="s">
        <v>296</v>
      </c>
      <c r="B13" s="3" t="s">
        <v>141</v>
      </c>
      <c r="C13" s="3" t="s">
        <v>141</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Provinsi</v>
      </c>
    </row>
    <row r="14">
      <c r="A14" s="2" t="s">
        <v>296</v>
      </c>
      <c r="B14" s="2" t="s">
        <v>145</v>
      </c>
      <c r="C14" s="2" t="s">
        <v>145</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
      </c>
    </row>
    <row r="15">
      <c r="A15" s="3" t="s">
        <v>296</v>
      </c>
      <c r="B15" s="3" t="s">
        <v>149</v>
      </c>
      <c r="C15" s="3" t="s">
        <v>149</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296</v>
      </c>
      <c r="B16" s="2" t="s">
        <v>157</v>
      </c>
      <c r="C16" s="2" t="s">
        <v>157</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296</v>
      </c>
      <c r="B17" s="3" t="s">
        <v>161</v>
      </c>
      <c r="C17" s="3" t="s">
        <v>161</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Kode Kabupaten/Kota</v>
      </c>
    </row>
    <row r="18">
      <c r="A18" s="2" t="s">
        <v>296</v>
      </c>
      <c r="B18" s="2" t="s">
        <v>165</v>
      </c>
      <c r="C18" s="2" t="s">
        <v>165</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Kabupaten/Kota</v>
      </c>
    </row>
    <row r="19">
      <c r="A19" s="3" t="s">
        <v>296</v>
      </c>
      <c r="B19" s="3" t="s">
        <v>168</v>
      </c>
      <c r="C19" s="3" t="s">
        <v>168</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Kode Kecamatan</v>
      </c>
    </row>
    <row r="20">
      <c r="A20" s="2" t="s">
        <v>296</v>
      </c>
      <c r="B20" s="2" t="s">
        <v>172</v>
      </c>
      <c r="C20" s="2" t="s">
        <v>172</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Kode Lengkap Kecamatan</v>
      </c>
    </row>
    <row r="21" ht="15.75" customHeight="1">
      <c r="A21" s="3" t="s">
        <v>296</v>
      </c>
      <c r="B21" s="3" t="s">
        <v>176</v>
      </c>
      <c r="C21" s="3" t="s">
        <v>176</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Kecamatan</v>
      </c>
    </row>
    <row r="22" ht="15.75" customHeight="1">
      <c r="A22" s="2" t="s">
        <v>296</v>
      </c>
      <c r="B22" s="2" t="s">
        <v>181</v>
      </c>
      <c r="C22" s="2" t="s">
        <v>181</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Kode Kelurahan/Desa</v>
      </c>
    </row>
    <row r="23" ht="15.75" customHeight="1">
      <c r="A23" s="3" t="s">
        <v>296</v>
      </c>
      <c r="B23" s="3" t="s">
        <v>184</v>
      </c>
      <c r="C23" s="3" t="s">
        <v>184</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Kode Lengkap Kelurahan/Desa</v>
      </c>
    </row>
    <row r="24" ht="15.75" customHeight="1">
      <c r="A24" s="2" t="s">
        <v>296</v>
      </c>
      <c r="B24" s="2" t="s">
        <v>188</v>
      </c>
      <c r="C24" s="2" t="s">
        <v>188</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Kelurahan/Desa</v>
      </c>
    </row>
    <row r="25" ht="15.75" customHeight="1">
      <c r="A25" s="3" t="s">
        <v>296</v>
      </c>
      <c r="B25" s="3" t="s">
        <v>191</v>
      </c>
      <c r="C25" s="3" t="s">
        <v>191</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Kode SLS</v>
      </c>
    </row>
    <row r="26" ht="15.75" customHeight="1">
      <c r="A26" s="2" t="s">
        <v>296</v>
      </c>
      <c r="B26" s="2" t="s">
        <v>194</v>
      </c>
      <c r="C26" s="2" t="s">
        <v>194</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Kode Lengkap SLS</v>
      </c>
    </row>
    <row r="27" ht="15.75" customHeight="1">
      <c r="A27" s="3" t="s">
        <v>296</v>
      </c>
      <c r="B27" s="3" t="s">
        <v>197</v>
      </c>
      <c r="C27" s="3" t="s">
        <v>197</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SLS</v>
      </c>
    </row>
    <row r="28" ht="15.75" customHeight="1">
      <c r="A28" s="2" t="s">
        <v>296</v>
      </c>
      <c r="B28" s="2" t="s">
        <v>202</v>
      </c>
      <c r="C28" s="2" t="s">
        <v>202</v>
      </c>
      <c r="D28" s="2" t="str">
        <f>IFERROR(VLOOKUP($C28,'_METADATA_TEMPLATE'!$B$2:$H$826,2,FALSE),"")</f>
        <v/>
      </c>
      <c r="E28" s="2" t="str">
        <f>IFERROR(VLOOKUP($C28,'_METADATA_TEMPLATE'!$B$2:$H$826,4,FALSE),"")</f>
        <v/>
      </c>
      <c r="F28" s="2" t="str">
        <f>IFERROR(VLOOKUP($C28,'_METADATA_TEMPLATE'!$B$2:$H$826,5,FALSE),"")</f>
        <v/>
      </c>
      <c r="G28" s="2" t="str">
        <f>IFERROR(VLOOKUP($C28,'_METADATA_TEMPLATE'!$B$2:$H$826,6,FALSE),"")</f>
        <v/>
      </c>
      <c r="H28" s="2" t="str">
        <f>IFERROR(VLOOKUP($C28,'_METADATA_TEMPLATE'!$B$2:$H$826,7,FALSE),"")</f>
        <v/>
      </c>
      <c r="I28" s="2" t="str">
        <f>IFERROR(VLOOKUP(C28,'_METADATA_DEFAULT'!$A:$B,2,FALSE),"")</f>
        <v>Kode Sub-SLS</v>
      </c>
    </row>
    <row r="29" ht="15.75" customHeight="1">
      <c r="A29" s="3" t="s">
        <v>296</v>
      </c>
      <c r="B29" s="3" t="s">
        <v>206</v>
      </c>
      <c r="C29" s="3" t="s">
        <v>206</v>
      </c>
      <c r="D29" s="3" t="str">
        <f>IFERROR(VLOOKUP($C29,'_METADATA_TEMPLATE'!$B$2:$H$826,2,FALSE),"")</f>
        <v/>
      </c>
      <c r="E29" s="3" t="str">
        <f>IFERROR(VLOOKUP($C29,'_METADATA_TEMPLATE'!$B$2:$H$826,4,FALSE),"")</f>
        <v/>
      </c>
      <c r="F29" s="3" t="str">
        <f>IFERROR(VLOOKUP($C29,'_METADATA_TEMPLATE'!$B$2:$H$826,5,FALSE),"")</f>
        <v/>
      </c>
      <c r="G29" s="3" t="str">
        <f>IFERROR(VLOOKUP($C29,'_METADATA_TEMPLATE'!$B$2:$H$826,6,FALSE),"")</f>
        <v/>
      </c>
      <c r="H29" s="3" t="str">
        <f>IFERROR(VLOOKUP($C29,'_METADATA_TEMPLATE'!$B$2:$H$826,7,FALSE),"")</f>
        <v/>
      </c>
      <c r="I29" s="3" t="str">
        <f>IFERROR(VLOOKUP(C29,'_METADATA_DEFAULT'!$A:$B,2,FALSE),"")</f>
        <v>Kode Lengkap Sub-SLS</v>
      </c>
    </row>
    <row r="30" ht="15.75" customHeight="1">
      <c r="A30" s="2" t="s">
        <v>296</v>
      </c>
      <c r="B30" s="2" t="s">
        <v>209</v>
      </c>
      <c r="C30" s="2" t="s">
        <v>209</v>
      </c>
      <c r="D30" s="2" t="str">
        <f>IFERROR(VLOOKUP($C30,'_METADATA_TEMPLATE'!$B$2:$H$826,2,FALSE),"")</f>
        <v/>
      </c>
      <c r="E30" s="2" t="str">
        <f>IFERROR(VLOOKUP($C30,'_METADATA_TEMPLATE'!$B$2:$H$826,4,FALSE),"")</f>
        <v/>
      </c>
      <c r="F30" s="2" t="str">
        <f>IFERROR(VLOOKUP($C30,'_METADATA_TEMPLATE'!$B$2:$H$826,5,FALSE),"")</f>
        <v/>
      </c>
      <c r="G30" s="2" t="str">
        <f>IFERROR(VLOOKUP($C30,'_METADATA_TEMPLATE'!$B$2:$H$826,6,FALSE),"")</f>
        <v/>
      </c>
      <c r="H30" s="2" t="str">
        <f>IFERROR(VLOOKUP($C30,'_METADATA_TEMPLATE'!$B$2:$H$826,7,FALSE),"")</f>
        <v/>
      </c>
      <c r="I30" s="2" t="str">
        <f>IFERROR(VLOOKUP(C30,'_METADATA_DEFAULT'!$A:$B,2,FALSE),"")</f>
        <v>Sub-SLS</v>
      </c>
    </row>
    <row r="31" ht="15.75" customHeight="1">
      <c r="A31" s="3" t="s">
        <v>296</v>
      </c>
      <c r="B31" s="3" t="s">
        <v>211</v>
      </c>
      <c r="C31" s="3" t="s">
        <v>211</v>
      </c>
      <c r="D31" s="3" t="str">
        <f>IFERROR(VLOOKUP($C31,'_METADATA_TEMPLATE'!$B$2:$H$826,2,FALSE),"")</f>
        <v/>
      </c>
      <c r="E31" s="3" t="str">
        <f>IFERROR(VLOOKUP($C31,'_METADATA_TEMPLATE'!$B$2:$H$826,4,FALSE),"")</f>
        <v/>
      </c>
      <c r="F31" s="3" t="str">
        <f>IFERROR(VLOOKUP($C31,'_METADATA_TEMPLATE'!$B$2:$H$826,5,FALSE),"")</f>
        <v/>
      </c>
      <c r="G31" s="3" t="str">
        <f>IFERROR(VLOOKUP($C31,'_METADATA_TEMPLATE'!$B$2:$H$826,6,FALSE),"")</f>
        <v/>
      </c>
      <c r="H31" s="3" t="str">
        <f>IFERROR(VLOOKUP($C31,'_METADATA_TEMPLATE'!$B$2:$H$826,7,FALSE),"")</f>
        <v/>
      </c>
      <c r="I31" s="3" t="str">
        <f>IFERROR(VLOOKUP(C31,'_METADATA_DEFAULT'!$A:$B,2,FALSE),"")</f>
        <v/>
      </c>
    </row>
    <row r="32" ht="15.75" customHeight="1">
      <c r="A32" s="2" t="s">
        <v>296</v>
      </c>
      <c r="B32" s="2" t="s">
        <v>214</v>
      </c>
      <c r="C32" s="2" t="s">
        <v>214</v>
      </c>
      <c r="D32" s="2" t="str">
        <f>IFERROR(VLOOKUP($C32,'_METADATA_TEMPLATE'!$B$2:$H$826,2,FALSE),"")</f>
        <v/>
      </c>
      <c r="E32" s="2" t="str">
        <f>IFERROR(VLOOKUP($C32,'_METADATA_TEMPLATE'!$B$2:$H$826,4,FALSE),"")</f>
        <v/>
      </c>
      <c r="F32" s="2" t="str">
        <f>IFERROR(VLOOKUP($C32,'_METADATA_TEMPLATE'!$B$2:$H$826,5,FALSE),"")</f>
        <v/>
      </c>
      <c r="G32" s="2" t="str">
        <f>IFERROR(VLOOKUP($C32,'_METADATA_TEMPLATE'!$B$2:$H$826,6,FALSE),"")</f>
        <v/>
      </c>
      <c r="H32" s="2" t="str">
        <f>IFERROR(VLOOKUP($C32,'_METADATA_TEMPLATE'!$B$2:$H$826,7,FALSE),"")</f>
        <v/>
      </c>
      <c r="I32" s="2" t="str">
        <f>IFERROR(VLOOKUP(C32,'_METADATA_DEFAULT'!$A:$B,2,FALSE),"")</f>
        <v/>
      </c>
    </row>
    <row r="33" ht="15.75" customHeight="1">
      <c r="A33" s="3" t="s">
        <v>296</v>
      </c>
      <c r="B33" s="3" t="s">
        <v>216</v>
      </c>
      <c r="C33" s="3" t="s">
        <v>216</v>
      </c>
      <c r="D33" s="3" t="str">
        <f>IFERROR(VLOOKUP($C33,'_METADATA_TEMPLATE'!$B$2:$H$826,2,FALSE),"")</f>
        <v/>
      </c>
      <c r="E33" s="3" t="str">
        <f>IFERROR(VLOOKUP($C33,'_METADATA_TEMPLATE'!$B$2:$H$826,4,FALSE),"")</f>
        <v/>
      </c>
      <c r="F33" s="3" t="str">
        <f>IFERROR(VLOOKUP($C33,'_METADATA_TEMPLATE'!$B$2:$H$826,5,FALSE),"")</f>
        <v/>
      </c>
      <c r="G33" s="3" t="str">
        <f>IFERROR(VLOOKUP($C33,'_METADATA_TEMPLATE'!$B$2:$H$826,6,FALSE),"")</f>
        <v/>
      </c>
      <c r="H33" s="3" t="str">
        <f>IFERROR(VLOOKUP($C33,'_METADATA_TEMPLATE'!$B$2:$H$826,7,FALSE),"")</f>
        <v/>
      </c>
      <c r="I33" s="3" t="str">
        <f>IFERROR(VLOOKUP(C33,'_METADATA_DEFAULT'!$A:$B,2,FALSE),"")</f>
        <v/>
      </c>
    </row>
    <row r="34" ht="15.75" customHeight="1">
      <c r="A34" s="2" t="s">
        <v>296</v>
      </c>
      <c r="B34" s="2" t="s">
        <v>218</v>
      </c>
      <c r="C34" s="2" t="s">
        <v>218</v>
      </c>
      <c r="D34" s="2" t="str">
        <f>IFERROR(VLOOKUP($C34,'_METADATA_TEMPLATE'!$B$2:$H$826,2,FALSE),"")</f>
        <v/>
      </c>
      <c r="E34" s="2" t="str">
        <f>IFERROR(VLOOKUP($C34,'_METADATA_TEMPLATE'!$B$2:$H$826,4,FALSE),"")</f>
        <v/>
      </c>
      <c r="F34" s="2" t="str">
        <f>IFERROR(VLOOKUP($C34,'_METADATA_TEMPLATE'!$B$2:$H$826,5,FALSE),"")</f>
        <v/>
      </c>
      <c r="G34" s="2" t="str">
        <f>IFERROR(VLOOKUP($C34,'_METADATA_TEMPLATE'!$B$2:$H$826,6,FALSE),"")</f>
        <v/>
      </c>
      <c r="H34" s="2" t="str">
        <f>IFERROR(VLOOKUP($C34,'_METADATA_TEMPLATE'!$B$2:$H$826,7,FALSE),"")</f>
        <v/>
      </c>
      <c r="I34" s="2" t="str">
        <f>IFERROR(VLOOKUP(C34,'_METADATA_DEFAULT'!$A:$B,2,FALSE),"")</f>
        <v/>
      </c>
    </row>
    <row r="35" ht="15.75" customHeight="1">
      <c r="A35" s="3" t="s">
        <v>296</v>
      </c>
      <c r="B35" s="3" t="s">
        <v>221</v>
      </c>
      <c r="C35" s="3" t="s">
        <v>221</v>
      </c>
      <c r="D35" s="3" t="str">
        <f>IFERROR(VLOOKUP($C35,'_METADATA_TEMPLATE'!$B$2:$H$826,2,FALSE),"")</f>
        <v/>
      </c>
      <c r="E35" s="3" t="str">
        <f>IFERROR(VLOOKUP($C35,'_METADATA_TEMPLATE'!$B$2:$H$826,4,FALSE),"")</f>
        <v/>
      </c>
      <c r="F35" s="3" t="str">
        <f>IFERROR(VLOOKUP($C35,'_METADATA_TEMPLATE'!$B$2:$H$826,5,FALSE),"")</f>
        <v/>
      </c>
      <c r="G35" s="3" t="str">
        <f>IFERROR(VLOOKUP($C35,'_METADATA_TEMPLATE'!$B$2:$H$826,6,FALSE),"")</f>
        <v/>
      </c>
      <c r="H35" s="3" t="str">
        <f>IFERROR(VLOOKUP($C35,'_METADATA_TEMPLATE'!$B$2:$H$826,7,FALSE),"")</f>
        <v/>
      </c>
      <c r="I35" s="3" t="str">
        <f>IFERROR(VLOOKUP(C35,'_METADATA_DEFAULT'!$A:$B,2,FALSE),"")</f>
        <v/>
      </c>
    </row>
    <row r="36" ht="15.75" customHeight="1">
      <c r="A36" s="2" t="s">
        <v>296</v>
      </c>
      <c r="B36" s="2" t="s">
        <v>225</v>
      </c>
      <c r="C36" s="2" t="s">
        <v>225</v>
      </c>
      <c r="D36" s="2" t="str">
        <f>IFERROR(VLOOKUP($C36,'_METADATA_TEMPLATE'!$B$2:$H$826,2,FALSE),"")</f>
        <v/>
      </c>
      <c r="E36" s="2" t="str">
        <f>IFERROR(VLOOKUP($C36,'_METADATA_TEMPLATE'!$B$2:$H$826,4,FALSE),"")</f>
        <v/>
      </c>
      <c r="F36" s="2" t="str">
        <f>IFERROR(VLOOKUP($C36,'_METADATA_TEMPLATE'!$B$2:$H$826,5,FALSE),"")</f>
        <v/>
      </c>
      <c r="G36" s="2" t="str">
        <f>IFERROR(VLOOKUP($C36,'_METADATA_TEMPLATE'!$B$2:$H$826,6,FALSE),"")</f>
        <v/>
      </c>
      <c r="H36" s="2" t="str">
        <f>IFERROR(VLOOKUP($C36,'_METADATA_TEMPLATE'!$B$2:$H$826,7,FALSE),"")</f>
        <v/>
      </c>
      <c r="I36" s="2" t="str">
        <f>IFERROR(VLOOKUP(C36,'_METADATA_DEFAULT'!$A:$B,2,FALSE),"")</f>
        <v/>
      </c>
    </row>
    <row r="37" ht="15.75" customHeight="1">
      <c r="A37" s="3" t="s">
        <v>296</v>
      </c>
      <c r="B37" s="3" t="s">
        <v>227</v>
      </c>
      <c r="C37" s="3" t="s">
        <v>227</v>
      </c>
      <c r="D37" s="3" t="str">
        <f>IFERROR(VLOOKUP($C37,'_METADATA_TEMPLATE'!$B$2:$H$826,2,FALSE),"")</f>
        <v/>
      </c>
      <c r="E37" s="3" t="str">
        <f>IFERROR(VLOOKUP($C37,'_METADATA_TEMPLATE'!$B$2:$H$826,4,FALSE),"")</f>
        <v/>
      </c>
      <c r="F37" s="3" t="str">
        <f>IFERROR(VLOOKUP($C37,'_METADATA_TEMPLATE'!$B$2:$H$826,5,FALSE),"")</f>
        <v/>
      </c>
      <c r="G37" s="3" t="str">
        <f>IFERROR(VLOOKUP($C37,'_METADATA_TEMPLATE'!$B$2:$H$826,6,FALSE),"")</f>
        <v/>
      </c>
      <c r="H37" s="3" t="str">
        <f>IFERROR(VLOOKUP($C37,'_METADATA_TEMPLATE'!$B$2:$H$826,7,FALSE),"")</f>
        <v/>
      </c>
      <c r="I37" s="3" t="str">
        <f>IFERROR(VLOOKUP(C37,'_METADATA_DEFAULT'!$A:$B,2,FALSE),"")</f>
        <v/>
      </c>
    </row>
    <row r="38" ht="15.75" customHeight="1">
      <c r="A38" s="2" t="s">
        <v>296</v>
      </c>
      <c r="B38" s="2" t="s">
        <v>230</v>
      </c>
      <c r="C38" s="2" t="s">
        <v>230</v>
      </c>
      <c r="D38" s="2" t="str">
        <f>IFERROR(VLOOKUP($C38,'_METADATA_TEMPLATE'!$B$2:$H$826,2,FALSE),"")</f>
        <v/>
      </c>
      <c r="E38" s="2" t="str">
        <f>IFERROR(VLOOKUP($C38,'_METADATA_TEMPLATE'!$B$2:$H$826,4,FALSE),"")</f>
        <v/>
      </c>
      <c r="F38" s="2" t="str">
        <f>IFERROR(VLOOKUP($C38,'_METADATA_TEMPLATE'!$B$2:$H$826,5,FALSE),"")</f>
        <v/>
      </c>
      <c r="G38" s="2" t="str">
        <f>IFERROR(VLOOKUP($C38,'_METADATA_TEMPLATE'!$B$2:$H$826,6,FALSE),"")</f>
        <v/>
      </c>
      <c r="H38" s="2" t="str">
        <f>IFERROR(VLOOKUP($C38,'_METADATA_TEMPLATE'!$B$2:$H$826,7,FALSE),"")</f>
        <v/>
      </c>
      <c r="I38" s="2" t="str">
        <f>IFERROR(VLOOKUP(C38,'_METADATA_DEFAULT'!$A:$B,2,FALSE),"")</f>
        <v/>
      </c>
    </row>
    <row r="39" ht="15.75" customHeight="1">
      <c r="A39" s="3" t="s">
        <v>296</v>
      </c>
      <c r="B39" s="3" t="s">
        <v>234</v>
      </c>
      <c r="C39" s="3" t="s">
        <v>234</v>
      </c>
      <c r="D39" s="3" t="str">
        <f>IFERROR(VLOOKUP($C39,'_METADATA_TEMPLATE'!$B$2:$H$826,2,FALSE),"")</f>
        <v/>
      </c>
      <c r="E39" s="3" t="str">
        <f>IFERROR(VLOOKUP($C39,'_METADATA_TEMPLATE'!$B$2:$H$826,4,FALSE),"")</f>
        <v/>
      </c>
      <c r="F39" s="3" t="str">
        <f>IFERROR(VLOOKUP($C39,'_METADATA_TEMPLATE'!$B$2:$H$826,5,FALSE),"")</f>
        <v/>
      </c>
      <c r="G39" s="3" t="str">
        <f>IFERROR(VLOOKUP($C39,'_METADATA_TEMPLATE'!$B$2:$H$826,6,FALSE),"")</f>
        <v/>
      </c>
      <c r="H39" s="3" t="str">
        <f>IFERROR(VLOOKUP($C39,'_METADATA_TEMPLATE'!$B$2:$H$826,7,FALSE),"")</f>
        <v/>
      </c>
      <c r="I39" s="3" t="str">
        <f>IFERROR(VLOOKUP(C39,'_METADATA_DEFAULT'!$A:$B,2,FALSE),"")</f>
        <v/>
      </c>
    </row>
    <row r="40" ht="15.75" customHeight="1">
      <c r="A40" s="2" t="s">
        <v>296</v>
      </c>
      <c r="B40" s="2" t="s">
        <v>355</v>
      </c>
      <c r="C40" s="2" t="s">
        <v>356</v>
      </c>
      <c r="D40" s="2" t="str">
        <f>IFERROR(VLOOKUP($C40,'_METADATA_TEMPLATE'!$B$2:$H$826,2,FALSE),"")</f>
        <v/>
      </c>
      <c r="E40" s="2" t="str">
        <f>IFERROR(VLOOKUP($C40,'_METADATA_TEMPLATE'!$B$2:$H$826,4,FALSE),"")</f>
        <v/>
      </c>
      <c r="F40" s="2" t="str">
        <f>IFERROR(VLOOKUP($C40,'_METADATA_TEMPLATE'!$B$2:$H$826,5,FALSE),"")</f>
        <v/>
      </c>
      <c r="G40" s="2" t="str">
        <f>IFERROR(VLOOKUP($C40,'_METADATA_TEMPLATE'!$B$2:$H$826,6,FALSE),"")</f>
        <v/>
      </c>
      <c r="H40" s="2" t="str">
        <f>IFERROR(VLOOKUP($C40,'_METADATA_TEMPLATE'!$B$2:$H$826,7,FALSE),"")</f>
        <v/>
      </c>
      <c r="I40" s="2" t="str">
        <f>IFERROR(VLOOKUP(C40,'_METADATA_DEFAULT'!$A:$B,2,FALSE),"")</f>
        <v/>
      </c>
    </row>
    <row r="41" ht="15.75" customHeight="1">
      <c r="A41" s="3" t="s">
        <v>296</v>
      </c>
      <c r="B41" s="3" t="s">
        <v>358</v>
      </c>
      <c r="C41" s="3" t="s">
        <v>356</v>
      </c>
      <c r="D41" s="3" t="str">
        <f>IFERROR(VLOOKUP($C41,'_METADATA_TEMPLATE'!$B$2:$H$826,2,FALSE),"")</f>
        <v/>
      </c>
      <c r="E41" s="3" t="str">
        <f>IFERROR(VLOOKUP($C41,'_METADATA_TEMPLATE'!$B$2:$H$826,4,FALSE),"")</f>
        <v/>
      </c>
      <c r="F41" s="3" t="str">
        <f>IFERROR(VLOOKUP($C41,'_METADATA_TEMPLATE'!$B$2:$H$826,5,FALSE),"")</f>
        <v/>
      </c>
      <c r="G41" s="3" t="str">
        <f>IFERROR(VLOOKUP($C41,'_METADATA_TEMPLATE'!$B$2:$H$826,6,FALSE),"")</f>
        <v/>
      </c>
      <c r="H41" s="3" t="str">
        <f>IFERROR(VLOOKUP($C41,'_METADATA_TEMPLATE'!$B$2:$H$826,7,FALSE),"")</f>
        <v/>
      </c>
      <c r="I41" s="3" t="str">
        <f>IFERROR(VLOOKUP(C41,'_METADATA_DEFAULT'!$A:$B,2,FALSE),"")</f>
        <v/>
      </c>
    </row>
    <row r="42" ht="15.75" customHeight="1">
      <c r="A42" s="2" t="s">
        <v>296</v>
      </c>
      <c r="B42" s="2" t="s">
        <v>75</v>
      </c>
      <c r="C42" s="2" t="s">
        <v>75</v>
      </c>
      <c r="D42" s="2" t="str">
        <f>IFERROR(VLOOKUP($C42,'_METADATA_TEMPLATE'!$B$2:$H$826,2,FALSE),"")</f>
        <v/>
      </c>
      <c r="E42" s="2" t="str">
        <f>IFERROR(VLOOKUP($C42,'_METADATA_TEMPLATE'!$B$2:$H$826,4,FALSE),"")</f>
        <v/>
      </c>
      <c r="F42" s="2" t="str">
        <f>IFERROR(VLOOKUP($C42,'_METADATA_TEMPLATE'!$B$2:$H$826,5,FALSE),"")</f>
        <v/>
      </c>
      <c r="G42" s="2" t="str">
        <f>IFERROR(VLOOKUP($C42,'_METADATA_TEMPLATE'!$B$2:$H$826,6,FALSE),"")</f>
        <v/>
      </c>
      <c r="H42" s="2" t="str">
        <f>IFERROR(VLOOKUP($C42,'_METADATA_TEMPLATE'!$B$2:$H$826,7,FALSE),"")</f>
        <v/>
      </c>
      <c r="I42" s="2" t="str">
        <f>IFERROR(VLOOKUP(C42,'_METADATA_DEFAULT'!$A:$B,2,FALSE),"")</f>
        <v>ID Periode Survei</v>
      </c>
    </row>
    <row r="43" ht="15.75" customHeight="1">
      <c r="A43" s="3" t="s">
        <v>296</v>
      </c>
      <c r="B43" s="3" t="s">
        <v>240</v>
      </c>
      <c r="C43" s="3" t="s">
        <v>240</v>
      </c>
      <c r="D43" s="3" t="str">
        <f>IFERROR(VLOOKUP($C43,'_METADATA_TEMPLATE'!$B$2:$H$826,2,FALSE),"")</f>
        <v/>
      </c>
      <c r="E43" s="3" t="str">
        <f>IFERROR(VLOOKUP($C43,'_METADATA_TEMPLATE'!$B$2:$H$826,4,FALSE),"")</f>
        <v/>
      </c>
      <c r="F43" s="3" t="str">
        <f>IFERROR(VLOOKUP($C43,'_METADATA_TEMPLATE'!$B$2:$H$826,5,FALSE),"")</f>
        <v/>
      </c>
      <c r="G43" s="3" t="str">
        <f>IFERROR(VLOOKUP($C43,'_METADATA_TEMPLATE'!$B$2:$H$826,6,FALSE),"")</f>
        <v/>
      </c>
      <c r="H43" s="3" t="str">
        <f>IFERROR(VLOOKUP($C43,'_METADATA_TEMPLATE'!$B$2:$H$826,7,FALSE),"")</f>
        <v/>
      </c>
      <c r="I43" s="3" t="str">
        <f>IFERROR(VLOOKUP(C43,'_METADATA_DEFAULT'!$A:$B,2,FALSE),"")</f>
        <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324</v>
      </c>
      <c r="B2" s="2" t="s">
        <v>12</v>
      </c>
      <c r="C2" s="2" t="s">
        <v>12</v>
      </c>
      <c r="D2" s="2" t="str">
        <f>IFERROR(VLOOKUP($C2,'_METADATA_TEMPLATE'!$B$2:$H$826,2,FALSE),"")</f>
        <v/>
      </c>
      <c r="E2" s="2" t="str">
        <f>IFERROR(VLOOKUP($C2,'_METADATA_TEMPLATE'!$B$2:$H$826,4,FALSE),"")</f>
        <v/>
      </c>
      <c r="F2" s="2" t="str">
        <f>IFERROR(VLOOKUP($C2,'_METADATA_TEMPLATE'!$B$2:$H$826,5,FALSE),"")</f>
        <v/>
      </c>
      <c r="G2" s="2" t="str">
        <f>IFERROR(VLOOKUP($C2,'_METADATA_TEMPLATE'!$B$2:$H$826,6,FALSE),"")</f>
        <v/>
      </c>
      <c r="H2" s="2" t="str">
        <f>IFERROR(VLOOKUP($C2,'_METADATA_TEMPLATE'!$B$2:$H$826,7,FALSE),"")</f>
        <v/>
      </c>
      <c r="I2" s="2" t="str">
        <f>IFERROR(VLOOKUP(C2,'_METADATA_DEFAULT'!$A:$B,2,FALSE),"")</f>
        <v>ID Assignment</v>
      </c>
    </row>
    <row r="3">
      <c r="A3" s="3" t="s">
        <v>324</v>
      </c>
      <c r="B3" s="3" t="s">
        <v>132</v>
      </c>
      <c r="C3" s="3" t="s">
        <v>132</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ID Roster/Nested Level 1</v>
      </c>
    </row>
    <row r="4">
      <c r="A4" s="2" t="s">
        <v>324</v>
      </c>
      <c r="B4" s="2" t="s">
        <v>18</v>
      </c>
      <c r="C4" s="2" t="s">
        <v>18</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Kode Lengkap Provinsi</v>
      </c>
    </row>
    <row r="5">
      <c r="A5" s="3" t="s">
        <v>324</v>
      </c>
      <c r="B5" s="3" t="s">
        <v>20</v>
      </c>
      <c r="C5" s="3" t="s">
        <v>20</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Kode Lengkap Kabupaten/Kota</v>
      </c>
    </row>
    <row r="6">
      <c r="A6" s="2" t="s">
        <v>324</v>
      </c>
      <c r="B6" s="2" t="s">
        <v>43</v>
      </c>
      <c r="C6" s="2" t="s">
        <v>43</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Tanggal Assignment Terakhir Diubah</v>
      </c>
    </row>
    <row r="7">
      <c r="A7" s="3" t="s">
        <v>324</v>
      </c>
      <c r="B7" s="3" t="s">
        <v>21</v>
      </c>
      <c r="C7" s="3" t="s">
        <v>21</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ID Assignment + Timestamp</v>
      </c>
    </row>
    <row r="8">
      <c r="A8" s="2" t="s">
        <v>324</v>
      </c>
      <c r="B8" s="2" t="s">
        <v>153</v>
      </c>
      <c r="C8" s="2" t="s">
        <v>153</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1 = Assignment Tambahan, 0 = Assignment Prelist</v>
      </c>
    </row>
    <row r="9">
      <c r="A9" s="3" t="s">
        <v>324</v>
      </c>
      <c r="B9" s="3" t="s">
        <v>42</v>
      </c>
      <c r="C9" s="3" t="s">
        <v>42</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Status Assignment</v>
      </c>
    </row>
    <row r="10">
      <c r="A10" s="2" t="s">
        <v>324</v>
      </c>
      <c r="B10" s="2" t="s">
        <v>47</v>
      </c>
      <c r="C10" s="2" t="s">
        <v>47</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ID Status Assignment</v>
      </c>
    </row>
    <row r="11">
      <c r="A11" s="3" t="s">
        <v>324</v>
      </c>
      <c r="B11" s="3" t="s">
        <v>317</v>
      </c>
      <c r="C11" s="3" t="s">
        <v>317</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
      </c>
    </row>
    <row r="12">
      <c r="A12" s="2" t="s">
        <v>324</v>
      </c>
      <c r="B12" s="2" t="s">
        <v>26</v>
      </c>
      <c r="C12" s="2" t="s">
        <v>26</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1 = Aktif, 0 = Dihapus</v>
      </c>
    </row>
    <row r="13">
      <c r="A13" s="3" t="s">
        <v>324</v>
      </c>
      <c r="B13" s="3" t="s">
        <v>137</v>
      </c>
      <c r="C13" s="3" t="s">
        <v>137</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Kode Provinsi</v>
      </c>
    </row>
    <row r="14">
      <c r="A14" s="2" t="s">
        <v>324</v>
      </c>
      <c r="B14" s="2" t="s">
        <v>141</v>
      </c>
      <c r="C14" s="2" t="s">
        <v>141</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Provinsi</v>
      </c>
    </row>
    <row r="15">
      <c r="A15" s="3" t="s">
        <v>324</v>
      </c>
      <c r="B15" s="3" t="s">
        <v>145</v>
      </c>
      <c r="C15" s="3" t="s">
        <v>145</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324</v>
      </c>
      <c r="B16" s="2" t="s">
        <v>149</v>
      </c>
      <c r="C16" s="2" t="s">
        <v>149</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324</v>
      </c>
      <c r="B17" s="3" t="s">
        <v>157</v>
      </c>
      <c r="C17" s="3" t="s">
        <v>157</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
      </c>
    </row>
    <row r="18">
      <c r="A18" s="2" t="s">
        <v>324</v>
      </c>
      <c r="B18" s="2" t="s">
        <v>161</v>
      </c>
      <c r="C18" s="2" t="s">
        <v>161</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Kode Kabupaten/Kota</v>
      </c>
    </row>
    <row r="19">
      <c r="A19" s="3" t="s">
        <v>324</v>
      </c>
      <c r="B19" s="3" t="s">
        <v>165</v>
      </c>
      <c r="C19" s="3" t="s">
        <v>165</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Kabupaten/Kota</v>
      </c>
    </row>
    <row r="20">
      <c r="A20" s="2" t="s">
        <v>324</v>
      </c>
      <c r="B20" s="2" t="s">
        <v>168</v>
      </c>
      <c r="C20" s="2" t="s">
        <v>168</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Kode Kecamatan</v>
      </c>
    </row>
    <row r="21" ht="15.75" customHeight="1">
      <c r="A21" s="3" t="s">
        <v>324</v>
      </c>
      <c r="B21" s="3" t="s">
        <v>172</v>
      </c>
      <c r="C21" s="3" t="s">
        <v>172</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Kode Lengkap Kecamatan</v>
      </c>
    </row>
    <row r="22" ht="15.75" customHeight="1">
      <c r="A22" s="2" t="s">
        <v>324</v>
      </c>
      <c r="B22" s="2" t="s">
        <v>176</v>
      </c>
      <c r="C22" s="2" t="s">
        <v>176</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Kecamatan</v>
      </c>
    </row>
    <row r="23" ht="15.75" customHeight="1">
      <c r="A23" s="3" t="s">
        <v>324</v>
      </c>
      <c r="B23" s="3" t="s">
        <v>181</v>
      </c>
      <c r="C23" s="3" t="s">
        <v>181</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Kode Kelurahan/Desa</v>
      </c>
    </row>
    <row r="24" ht="15.75" customHeight="1">
      <c r="A24" s="2" t="s">
        <v>324</v>
      </c>
      <c r="B24" s="2" t="s">
        <v>184</v>
      </c>
      <c r="C24" s="2" t="s">
        <v>184</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Kode Lengkap Kelurahan/Desa</v>
      </c>
    </row>
    <row r="25" ht="15.75" customHeight="1">
      <c r="A25" s="3" t="s">
        <v>324</v>
      </c>
      <c r="B25" s="3" t="s">
        <v>188</v>
      </c>
      <c r="C25" s="3" t="s">
        <v>188</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Kelurahan/Desa</v>
      </c>
    </row>
    <row r="26" ht="15.75" customHeight="1">
      <c r="A26" s="2" t="s">
        <v>324</v>
      </c>
      <c r="B26" s="2" t="s">
        <v>191</v>
      </c>
      <c r="C26" s="2" t="s">
        <v>191</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Kode SLS</v>
      </c>
    </row>
    <row r="27" ht="15.75" customHeight="1">
      <c r="A27" s="3" t="s">
        <v>324</v>
      </c>
      <c r="B27" s="3" t="s">
        <v>194</v>
      </c>
      <c r="C27" s="3" t="s">
        <v>194</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Kode Lengkap SLS</v>
      </c>
    </row>
    <row r="28" ht="15.75" customHeight="1">
      <c r="A28" s="2" t="s">
        <v>324</v>
      </c>
      <c r="B28" s="2" t="s">
        <v>197</v>
      </c>
      <c r="C28" s="2" t="s">
        <v>197</v>
      </c>
      <c r="D28" s="2" t="str">
        <f>IFERROR(VLOOKUP($C28,'_METADATA_TEMPLATE'!$B$2:$H$826,2,FALSE),"")</f>
        <v/>
      </c>
      <c r="E28" s="2" t="str">
        <f>IFERROR(VLOOKUP($C28,'_METADATA_TEMPLATE'!$B$2:$H$826,4,FALSE),"")</f>
        <v/>
      </c>
      <c r="F28" s="2" t="str">
        <f>IFERROR(VLOOKUP($C28,'_METADATA_TEMPLATE'!$B$2:$H$826,5,FALSE),"")</f>
        <v/>
      </c>
      <c r="G28" s="2" t="str">
        <f>IFERROR(VLOOKUP($C28,'_METADATA_TEMPLATE'!$B$2:$H$826,6,FALSE),"")</f>
        <v/>
      </c>
      <c r="H28" s="2" t="str">
        <f>IFERROR(VLOOKUP($C28,'_METADATA_TEMPLATE'!$B$2:$H$826,7,FALSE),"")</f>
        <v/>
      </c>
      <c r="I28" s="2" t="str">
        <f>IFERROR(VLOOKUP(C28,'_METADATA_DEFAULT'!$A:$B,2,FALSE),"")</f>
        <v>SLS</v>
      </c>
    </row>
    <row r="29" ht="15.75" customHeight="1">
      <c r="A29" s="3" t="s">
        <v>324</v>
      </c>
      <c r="B29" s="3" t="s">
        <v>202</v>
      </c>
      <c r="C29" s="3" t="s">
        <v>202</v>
      </c>
      <c r="D29" s="3" t="str">
        <f>IFERROR(VLOOKUP($C29,'_METADATA_TEMPLATE'!$B$2:$H$826,2,FALSE),"")</f>
        <v/>
      </c>
      <c r="E29" s="3" t="str">
        <f>IFERROR(VLOOKUP($C29,'_METADATA_TEMPLATE'!$B$2:$H$826,4,FALSE),"")</f>
        <v/>
      </c>
      <c r="F29" s="3" t="str">
        <f>IFERROR(VLOOKUP($C29,'_METADATA_TEMPLATE'!$B$2:$H$826,5,FALSE),"")</f>
        <v/>
      </c>
      <c r="G29" s="3" t="str">
        <f>IFERROR(VLOOKUP($C29,'_METADATA_TEMPLATE'!$B$2:$H$826,6,FALSE),"")</f>
        <v/>
      </c>
      <c r="H29" s="3" t="str">
        <f>IFERROR(VLOOKUP($C29,'_METADATA_TEMPLATE'!$B$2:$H$826,7,FALSE),"")</f>
        <v/>
      </c>
      <c r="I29" s="3" t="str">
        <f>IFERROR(VLOOKUP(C29,'_METADATA_DEFAULT'!$A:$B,2,FALSE),"")</f>
        <v>Kode Sub-SLS</v>
      </c>
    </row>
    <row r="30" ht="15.75" customHeight="1">
      <c r="A30" s="2" t="s">
        <v>324</v>
      </c>
      <c r="B30" s="2" t="s">
        <v>206</v>
      </c>
      <c r="C30" s="2" t="s">
        <v>206</v>
      </c>
      <c r="D30" s="2" t="str">
        <f>IFERROR(VLOOKUP($C30,'_METADATA_TEMPLATE'!$B$2:$H$826,2,FALSE),"")</f>
        <v/>
      </c>
      <c r="E30" s="2" t="str">
        <f>IFERROR(VLOOKUP($C30,'_METADATA_TEMPLATE'!$B$2:$H$826,4,FALSE),"")</f>
        <v/>
      </c>
      <c r="F30" s="2" t="str">
        <f>IFERROR(VLOOKUP($C30,'_METADATA_TEMPLATE'!$B$2:$H$826,5,FALSE),"")</f>
        <v/>
      </c>
      <c r="G30" s="2" t="str">
        <f>IFERROR(VLOOKUP($C30,'_METADATA_TEMPLATE'!$B$2:$H$826,6,FALSE),"")</f>
        <v/>
      </c>
      <c r="H30" s="2" t="str">
        <f>IFERROR(VLOOKUP($C30,'_METADATA_TEMPLATE'!$B$2:$H$826,7,FALSE),"")</f>
        <v/>
      </c>
      <c r="I30" s="2" t="str">
        <f>IFERROR(VLOOKUP(C30,'_METADATA_DEFAULT'!$A:$B,2,FALSE),"")</f>
        <v>Kode Lengkap Sub-SLS</v>
      </c>
    </row>
    <row r="31" ht="15.75" customHeight="1">
      <c r="A31" s="3" t="s">
        <v>324</v>
      </c>
      <c r="B31" s="3" t="s">
        <v>209</v>
      </c>
      <c r="C31" s="3" t="s">
        <v>209</v>
      </c>
      <c r="D31" s="3" t="str">
        <f>IFERROR(VLOOKUP($C31,'_METADATA_TEMPLATE'!$B$2:$H$826,2,FALSE),"")</f>
        <v/>
      </c>
      <c r="E31" s="3" t="str">
        <f>IFERROR(VLOOKUP($C31,'_METADATA_TEMPLATE'!$B$2:$H$826,4,FALSE),"")</f>
        <v/>
      </c>
      <c r="F31" s="3" t="str">
        <f>IFERROR(VLOOKUP($C31,'_METADATA_TEMPLATE'!$B$2:$H$826,5,FALSE),"")</f>
        <v/>
      </c>
      <c r="G31" s="3" t="str">
        <f>IFERROR(VLOOKUP($C31,'_METADATA_TEMPLATE'!$B$2:$H$826,6,FALSE),"")</f>
        <v/>
      </c>
      <c r="H31" s="3" t="str">
        <f>IFERROR(VLOOKUP($C31,'_METADATA_TEMPLATE'!$B$2:$H$826,7,FALSE),"")</f>
        <v/>
      </c>
      <c r="I31" s="3" t="str">
        <f>IFERROR(VLOOKUP(C31,'_METADATA_DEFAULT'!$A:$B,2,FALSE),"")</f>
        <v>Sub-SLS</v>
      </c>
    </row>
    <row r="32" ht="15.75" customHeight="1">
      <c r="A32" s="2" t="s">
        <v>324</v>
      </c>
      <c r="B32" s="2" t="s">
        <v>211</v>
      </c>
      <c r="C32" s="2" t="s">
        <v>211</v>
      </c>
      <c r="D32" s="2" t="str">
        <f>IFERROR(VLOOKUP($C32,'_METADATA_TEMPLATE'!$B$2:$H$826,2,FALSE),"")</f>
        <v/>
      </c>
      <c r="E32" s="2" t="str">
        <f>IFERROR(VLOOKUP($C32,'_METADATA_TEMPLATE'!$B$2:$H$826,4,FALSE),"")</f>
        <v/>
      </c>
      <c r="F32" s="2" t="str">
        <f>IFERROR(VLOOKUP($C32,'_METADATA_TEMPLATE'!$B$2:$H$826,5,FALSE),"")</f>
        <v/>
      </c>
      <c r="G32" s="2" t="str">
        <f>IFERROR(VLOOKUP($C32,'_METADATA_TEMPLATE'!$B$2:$H$826,6,FALSE),"")</f>
        <v/>
      </c>
      <c r="H32" s="2" t="str">
        <f>IFERROR(VLOOKUP($C32,'_METADATA_TEMPLATE'!$B$2:$H$826,7,FALSE),"")</f>
        <v/>
      </c>
      <c r="I32" s="2" t="str">
        <f>IFERROR(VLOOKUP(C32,'_METADATA_DEFAULT'!$A:$B,2,FALSE),"")</f>
        <v/>
      </c>
    </row>
    <row r="33" ht="15.75" customHeight="1">
      <c r="A33" s="3" t="s">
        <v>324</v>
      </c>
      <c r="B33" s="3" t="s">
        <v>214</v>
      </c>
      <c r="C33" s="3" t="s">
        <v>214</v>
      </c>
      <c r="D33" s="3" t="str">
        <f>IFERROR(VLOOKUP($C33,'_METADATA_TEMPLATE'!$B$2:$H$826,2,FALSE),"")</f>
        <v/>
      </c>
      <c r="E33" s="3" t="str">
        <f>IFERROR(VLOOKUP($C33,'_METADATA_TEMPLATE'!$B$2:$H$826,4,FALSE),"")</f>
        <v/>
      </c>
      <c r="F33" s="3" t="str">
        <f>IFERROR(VLOOKUP($C33,'_METADATA_TEMPLATE'!$B$2:$H$826,5,FALSE),"")</f>
        <v/>
      </c>
      <c r="G33" s="3" t="str">
        <f>IFERROR(VLOOKUP($C33,'_METADATA_TEMPLATE'!$B$2:$H$826,6,FALSE),"")</f>
        <v/>
      </c>
      <c r="H33" s="3" t="str">
        <f>IFERROR(VLOOKUP($C33,'_METADATA_TEMPLATE'!$B$2:$H$826,7,FALSE),"")</f>
        <v/>
      </c>
      <c r="I33" s="3" t="str">
        <f>IFERROR(VLOOKUP(C33,'_METADATA_DEFAULT'!$A:$B,2,FALSE),"")</f>
        <v/>
      </c>
    </row>
    <row r="34" ht="15.75" customHeight="1">
      <c r="A34" s="2" t="s">
        <v>324</v>
      </c>
      <c r="B34" s="2" t="s">
        <v>216</v>
      </c>
      <c r="C34" s="2" t="s">
        <v>216</v>
      </c>
      <c r="D34" s="2" t="str">
        <f>IFERROR(VLOOKUP($C34,'_METADATA_TEMPLATE'!$B$2:$H$826,2,FALSE),"")</f>
        <v/>
      </c>
      <c r="E34" s="2" t="str">
        <f>IFERROR(VLOOKUP($C34,'_METADATA_TEMPLATE'!$B$2:$H$826,4,FALSE),"")</f>
        <v/>
      </c>
      <c r="F34" s="2" t="str">
        <f>IFERROR(VLOOKUP($C34,'_METADATA_TEMPLATE'!$B$2:$H$826,5,FALSE),"")</f>
        <v/>
      </c>
      <c r="G34" s="2" t="str">
        <f>IFERROR(VLOOKUP($C34,'_METADATA_TEMPLATE'!$B$2:$H$826,6,FALSE),"")</f>
        <v/>
      </c>
      <c r="H34" s="2" t="str">
        <f>IFERROR(VLOOKUP($C34,'_METADATA_TEMPLATE'!$B$2:$H$826,7,FALSE),"")</f>
        <v/>
      </c>
      <c r="I34" s="2" t="str">
        <f>IFERROR(VLOOKUP(C34,'_METADATA_DEFAULT'!$A:$B,2,FALSE),"")</f>
        <v/>
      </c>
    </row>
    <row r="35" ht="15.75" customHeight="1">
      <c r="A35" s="3" t="s">
        <v>324</v>
      </c>
      <c r="B35" s="3" t="s">
        <v>218</v>
      </c>
      <c r="C35" s="3" t="s">
        <v>218</v>
      </c>
      <c r="D35" s="3" t="str">
        <f>IFERROR(VLOOKUP($C35,'_METADATA_TEMPLATE'!$B$2:$H$826,2,FALSE),"")</f>
        <v/>
      </c>
      <c r="E35" s="3" t="str">
        <f>IFERROR(VLOOKUP($C35,'_METADATA_TEMPLATE'!$B$2:$H$826,4,FALSE),"")</f>
        <v/>
      </c>
      <c r="F35" s="3" t="str">
        <f>IFERROR(VLOOKUP($C35,'_METADATA_TEMPLATE'!$B$2:$H$826,5,FALSE),"")</f>
        <v/>
      </c>
      <c r="G35" s="3" t="str">
        <f>IFERROR(VLOOKUP($C35,'_METADATA_TEMPLATE'!$B$2:$H$826,6,FALSE),"")</f>
        <v/>
      </c>
      <c r="H35" s="3" t="str">
        <f>IFERROR(VLOOKUP($C35,'_METADATA_TEMPLATE'!$B$2:$H$826,7,FALSE),"")</f>
        <v/>
      </c>
      <c r="I35" s="3" t="str">
        <f>IFERROR(VLOOKUP(C35,'_METADATA_DEFAULT'!$A:$B,2,FALSE),"")</f>
        <v/>
      </c>
    </row>
    <row r="36" ht="15.75" customHeight="1">
      <c r="A36" s="2" t="s">
        <v>324</v>
      </c>
      <c r="B36" s="2" t="s">
        <v>221</v>
      </c>
      <c r="C36" s="2" t="s">
        <v>221</v>
      </c>
      <c r="D36" s="2" t="str">
        <f>IFERROR(VLOOKUP($C36,'_METADATA_TEMPLATE'!$B$2:$H$826,2,FALSE),"")</f>
        <v/>
      </c>
      <c r="E36" s="2" t="str">
        <f>IFERROR(VLOOKUP($C36,'_METADATA_TEMPLATE'!$B$2:$H$826,4,FALSE),"")</f>
        <v/>
      </c>
      <c r="F36" s="2" t="str">
        <f>IFERROR(VLOOKUP($C36,'_METADATA_TEMPLATE'!$B$2:$H$826,5,FALSE),"")</f>
        <v/>
      </c>
      <c r="G36" s="2" t="str">
        <f>IFERROR(VLOOKUP($C36,'_METADATA_TEMPLATE'!$B$2:$H$826,6,FALSE),"")</f>
        <v/>
      </c>
      <c r="H36" s="2" t="str">
        <f>IFERROR(VLOOKUP($C36,'_METADATA_TEMPLATE'!$B$2:$H$826,7,FALSE),"")</f>
        <v/>
      </c>
      <c r="I36" s="2" t="str">
        <f>IFERROR(VLOOKUP(C36,'_METADATA_DEFAULT'!$A:$B,2,FALSE),"")</f>
        <v/>
      </c>
    </row>
    <row r="37" ht="15.75" customHeight="1">
      <c r="A37" s="3" t="s">
        <v>324</v>
      </c>
      <c r="B37" s="3" t="s">
        <v>225</v>
      </c>
      <c r="C37" s="3" t="s">
        <v>225</v>
      </c>
      <c r="D37" s="3" t="str">
        <f>IFERROR(VLOOKUP($C37,'_METADATA_TEMPLATE'!$B$2:$H$826,2,FALSE),"")</f>
        <v/>
      </c>
      <c r="E37" s="3" t="str">
        <f>IFERROR(VLOOKUP($C37,'_METADATA_TEMPLATE'!$B$2:$H$826,4,FALSE),"")</f>
        <v/>
      </c>
      <c r="F37" s="3" t="str">
        <f>IFERROR(VLOOKUP($C37,'_METADATA_TEMPLATE'!$B$2:$H$826,5,FALSE),"")</f>
        <v/>
      </c>
      <c r="G37" s="3" t="str">
        <f>IFERROR(VLOOKUP($C37,'_METADATA_TEMPLATE'!$B$2:$H$826,6,FALSE),"")</f>
        <v/>
      </c>
      <c r="H37" s="3" t="str">
        <f>IFERROR(VLOOKUP($C37,'_METADATA_TEMPLATE'!$B$2:$H$826,7,FALSE),"")</f>
        <v/>
      </c>
      <c r="I37" s="3" t="str">
        <f>IFERROR(VLOOKUP(C37,'_METADATA_DEFAULT'!$A:$B,2,FALSE),"")</f>
        <v/>
      </c>
    </row>
    <row r="38" ht="15.75" customHeight="1">
      <c r="A38" s="2" t="s">
        <v>324</v>
      </c>
      <c r="B38" s="2" t="s">
        <v>227</v>
      </c>
      <c r="C38" s="2" t="s">
        <v>227</v>
      </c>
      <c r="D38" s="2" t="str">
        <f>IFERROR(VLOOKUP($C38,'_METADATA_TEMPLATE'!$B$2:$H$826,2,FALSE),"")</f>
        <v/>
      </c>
      <c r="E38" s="2" t="str">
        <f>IFERROR(VLOOKUP($C38,'_METADATA_TEMPLATE'!$B$2:$H$826,4,FALSE),"")</f>
        <v/>
      </c>
      <c r="F38" s="2" t="str">
        <f>IFERROR(VLOOKUP($C38,'_METADATA_TEMPLATE'!$B$2:$H$826,5,FALSE),"")</f>
        <v/>
      </c>
      <c r="G38" s="2" t="str">
        <f>IFERROR(VLOOKUP($C38,'_METADATA_TEMPLATE'!$B$2:$H$826,6,FALSE),"")</f>
        <v/>
      </c>
      <c r="H38" s="2" t="str">
        <f>IFERROR(VLOOKUP($C38,'_METADATA_TEMPLATE'!$B$2:$H$826,7,FALSE),"")</f>
        <v/>
      </c>
      <c r="I38" s="2" t="str">
        <f>IFERROR(VLOOKUP(C38,'_METADATA_DEFAULT'!$A:$B,2,FALSE),"")</f>
        <v/>
      </c>
    </row>
    <row r="39" ht="15.75" customHeight="1">
      <c r="A39" s="3" t="s">
        <v>324</v>
      </c>
      <c r="B39" s="3" t="s">
        <v>230</v>
      </c>
      <c r="C39" s="3" t="s">
        <v>230</v>
      </c>
      <c r="D39" s="3" t="str">
        <f>IFERROR(VLOOKUP($C39,'_METADATA_TEMPLATE'!$B$2:$H$826,2,FALSE),"")</f>
        <v/>
      </c>
      <c r="E39" s="3" t="str">
        <f>IFERROR(VLOOKUP($C39,'_METADATA_TEMPLATE'!$B$2:$H$826,4,FALSE),"")</f>
        <v/>
      </c>
      <c r="F39" s="3" t="str">
        <f>IFERROR(VLOOKUP($C39,'_METADATA_TEMPLATE'!$B$2:$H$826,5,FALSE),"")</f>
        <v/>
      </c>
      <c r="G39" s="3" t="str">
        <f>IFERROR(VLOOKUP($C39,'_METADATA_TEMPLATE'!$B$2:$H$826,6,FALSE),"")</f>
        <v/>
      </c>
      <c r="H39" s="3" t="str">
        <f>IFERROR(VLOOKUP($C39,'_METADATA_TEMPLATE'!$B$2:$H$826,7,FALSE),"")</f>
        <v/>
      </c>
      <c r="I39" s="3" t="str">
        <f>IFERROR(VLOOKUP(C39,'_METADATA_DEFAULT'!$A:$B,2,FALSE),"")</f>
        <v/>
      </c>
    </row>
    <row r="40" ht="15.75" customHeight="1">
      <c r="A40" s="2" t="s">
        <v>324</v>
      </c>
      <c r="B40" s="2" t="s">
        <v>234</v>
      </c>
      <c r="C40" s="2" t="s">
        <v>234</v>
      </c>
      <c r="D40" s="2" t="str">
        <f>IFERROR(VLOOKUP($C40,'_METADATA_TEMPLATE'!$B$2:$H$826,2,FALSE),"")</f>
        <v/>
      </c>
      <c r="E40" s="2" t="str">
        <f>IFERROR(VLOOKUP($C40,'_METADATA_TEMPLATE'!$B$2:$H$826,4,FALSE),"")</f>
        <v/>
      </c>
      <c r="F40" s="2" t="str">
        <f>IFERROR(VLOOKUP($C40,'_METADATA_TEMPLATE'!$B$2:$H$826,5,FALSE),"")</f>
        <v/>
      </c>
      <c r="G40" s="2" t="str">
        <f>IFERROR(VLOOKUP($C40,'_METADATA_TEMPLATE'!$B$2:$H$826,6,FALSE),"")</f>
        <v/>
      </c>
      <c r="H40" s="2" t="str">
        <f>IFERROR(VLOOKUP($C40,'_METADATA_TEMPLATE'!$B$2:$H$826,7,FALSE),"")</f>
        <v/>
      </c>
      <c r="I40" s="2" t="str">
        <f>IFERROR(VLOOKUP(C40,'_METADATA_DEFAULT'!$A:$B,2,FALSE),"")</f>
        <v/>
      </c>
    </row>
    <row r="41" ht="15.75" customHeight="1">
      <c r="A41" s="3" t="s">
        <v>324</v>
      </c>
      <c r="B41" s="3" t="s">
        <v>355</v>
      </c>
      <c r="C41" s="3" t="s">
        <v>356</v>
      </c>
      <c r="D41" s="3" t="str">
        <f>IFERROR(VLOOKUP($C41,'_METADATA_TEMPLATE'!$B$2:$H$826,2,FALSE),"")</f>
        <v/>
      </c>
      <c r="E41" s="3" t="str">
        <f>IFERROR(VLOOKUP($C41,'_METADATA_TEMPLATE'!$B$2:$H$826,4,FALSE),"")</f>
        <v/>
      </c>
      <c r="F41" s="3" t="str">
        <f>IFERROR(VLOOKUP($C41,'_METADATA_TEMPLATE'!$B$2:$H$826,5,FALSE),"")</f>
        <v/>
      </c>
      <c r="G41" s="3" t="str">
        <f>IFERROR(VLOOKUP($C41,'_METADATA_TEMPLATE'!$B$2:$H$826,6,FALSE),"")</f>
        <v/>
      </c>
      <c r="H41" s="3" t="str">
        <f>IFERROR(VLOOKUP($C41,'_METADATA_TEMPLATE'!$B$2:$H$826,7,FALSE),"")</f>
        <v/>
      </c>
      <c r="I41" s="3" t="str">
        <f>IFERROR(VLOOKUP(C41,'_METADATA_DEFAULT'!$A:$B,2,FALSE),"")</f>
        <v/>
      </c>
    </row>
    <row r="42" ht="15.75" customHeight="1">
      <c r="A42" s="2" t="s">
        <v>324</v>
      </c>
      <c r="B42" s="2" t="s">
        <v>358</v>
      </c>
      <c r="C42" s="2" t="s">
        <v>356</v>
      </c>
      <c r="D42" s="2" t="str">
        <f>IFERROR(VLOOKUP($C42,'_METADATA_TEMPLATE'!$B$2:$H$826,2,FALSE),"")</f>
        <v/>
      </c>
      <c r="E42" s="2" t="str">
        <f>IFERROR(VLOOKUP($C42,'_METADATA_TEMPLATE'!$B$2:$H$826,4,FALSE),"")</f>
        <v/>
      </c>
      <c r="F42" s="2" t="str">
        <f>IFERROR(VLOOKUP($C42,'_METADATA_TEMPLATE'!$B$2:$H$826,5,FALSE),"")</f>
        <v/>
      </c>
      <c r="G42" s="2" t="str">
        <f>IFERROR(VLOOKUP($C42,'_METADATA_TEMPLATE'!$B$2:$H$826,6,FALSE),"")</f>
        <v/>
      </c>
      <c r="H42" s="2" t="str">
        <f>IFERROR(VLOOKUP($C42,'_METADATA_TEMPLATE'!$B$2:$H$826,7,FALSE),"")</f>
        <v/>
      </c>
      <c r="I42" s="2" t="str">
        <f>IFERROR(VLOOKUP(C42,'_METADATA_DEFAULT'!$A:$B,2,FALSE),"")</f>
        <v/>
      </c>
    </row>
    <row r="43" ht="15.75" customHeight="1">
      <c r="A43" s="3" t="s">
        <v>324</v>
      </c>
      <c r="B43" s="3" t="s">
        <v>75</v>
      </c>
      <c r="C43" s="3" t="s">
        <v>75</v>
      </c>
      <c r="D43" s="3" t="str">
        <f>IFERROR(VLOOKUP($C43,'_METADATA_TEMPLATE'!$B$2:$H$826,2,FALSE),"")</f>
        <v/>
      </c>
      <c r="E43" s="3" t="str">
        <f>IFERROR(VLOOKUP($C43,'_METADATA_TEMPLATE'!$B$2:$H$826,4,FALSE),"")</f>
        <v/>
      </c>
      <c r="F43" s="3" t="str">
        <f>IFERROR(VLOOKUP($C43,'_METADATA_TEMPLATE'!$B$2:$H$826,5,FALSE),"")</f>
        <v/>
      </c>
      <c r="G43" s="3" t="str">
        <f>IFERROR(VLOOKUP($C43,'_METADATA_TEMPLATE'!$B$2:$H$826,6,FALSE),"")</f>
        <v/>
      </c>
      <c r="H43" s="3" t="str">
        <f>IFERROR(VLOOKUP($C43,'_METADATA_TEMPLATE'!$B$2:$H$826,7,FALSE),"")</f>
        <v/>
      </c>
      <c r="I43" s="3" t="str">
        <f>IFERROR(VLOOKUP(C43,'_METADATA_DEFAULT'!$A:$B,2,FALSE),"")</f>
        <v>ID Periode Survei</v>
      </c>
    </row>
    <row r="44" ht="15.75" customHeight="1">
      <c r="A44" s="2" t="s">
        <v>324</v>
      </c>
      <c r="B44" s="2" t="s">
        <v>240</v>
      </c>
      <c r="C44" s="2" t="s">
        <v>240</v>
      </c>
      <c r="D44" s="2" t="str">
        <f>IFERROR(VLOOKUP($C44,'_METADATA_TEMPLATE'!$B$2:$H$826,2,FALSE),"")</f>
        <v/>
      </c>
      <c r="E44" s="2" t="str">
        <f>IFERROR(VLOOKUP($C44,'_METADATA_TEMPLATE'!$B$2:$H$826,4,FALSE),"")</f>
        <v/>
      </c>
      <c r="F44" s="2" t="str">
        <f>IFERROR(VLOOKUP($C44,'_METADATA_TEMPLATE'!$B$2:$H$826,5,FALSE),"")</f>
        <v/>
      </c>
      <c r="G44" s="2" t="str">
        <f>IFERROR(VLOOKUP($C44,'_METADATA_TEMPLATE'!$B$2:$H$826,6,FALSE),"")</f>
        <v/>
      </c>
      <c r="H44" s="2" t="str">
        <f>IFERROR(VLOOKUP($C44,'_METADATA_TEMPLATE'!$B$2:$H$826,7,FALSE),"")</f>
        <v/>
      </c>
      <c r="I44" s="2" t="str">
        <f>IFERROR(VLOOKUP(C44,'_METADATA_DEFAULT'!$A:$B,2,FALSE),"")</f>
        <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332</v>
      </c>
      <c r="B2" s="2" t="s">
        <v>333</v>
      </c>
      <c r="C2" s="2" t="s">
        <v>333</v>
      </c>
      <c r="D2" s="2">
        <f>IFERROR(VLOOKUP($C2,'_METADATA_TEMPLATE'!$B$2:$H$826,2,FALSE),"")</f>
        <v>1</v>
      </c>
      <c r="E2" s="2" t="str">
        <f>IFERROR(VLOOKUP($C2,'_METADATA_TEMPLATE'!$B$2:$H$826,4,FALSE),"")</f>
        <v>PENGANTAR</v>
      </c>
      <c r="F2" s="2" t="str">
        <f>IFERROR(VLOOKUP($C2,'_METADATA_TEMPLATE'!$B$2:$H$826,5,FALSE),"")</f>
        <v/>
      </c>
      <c r="G2" s="2" t="str">
        <f>IFERROR(VLOOKUP($C2,'_METADATA_TEMPLATE'!$B$2:$H$826,6,FALSE),"")</f>
        <v>Waktu Mulai</v>
      </c>
      <c r="H2" s="2" t="str">
        <f>IFERROR(VLOOKUP($C2,'_METADATA_TEMPLATE'!$B$2:$H$826,7,FALSE),"")</f>
        <v>NowInput</v>
      </c>
      <c r="I2" s="2" t="str">
        <f>IFERROR(VLOOKUP(C2,'_METADATA_DEFAULT'!$A:$B,2,FALSE),"")</f>
        <v/>
      </c>
    </row>
    <row r="3">
      <c r="A3" s="3" t="s">
        <v>332</v>
      </c>
      <c r="B3" s="3" t="s">
        <v>334</v>
      </c>
      <c r="C3" s="3" t="s">
        <v>334</v>
      </c>
      <c r="D3" s="3">
        <f>IFERROR(VLOOKUP($C3,'_METADATA_TEMPLATE'!$B$2:$H$826,2,FALSE),"")</f>
        <v>2</v>
      </c>
      <c r="E3" s="3" t="str">
        <f>IFERROR(VLOOKUP($C3,'_METADATA_TEMPLATE'!$B$2:$H$826,4,FALSE),"")</f>
        <v>PENGANTAR</v>
      </c>
      <c r="F3" s="3" t="str">
        <f>IFERROR(VLOOKUP($C3,'_METADATA_TEMPLATE'!$B$2:$H$826,5,FALSE),"")</f>
        <v/>
      </c>
      <c r="G3" s="3" t="str">
        <f>IFERROR(VLOOKUP($C3,'_METADATA_TEMPLATE'!$B$2:$H$826,6,FALSE),"")</f>
        <v>Waktu Kunjungan I</v>
      </c>
      <c r="H3" s="3" t="str">
        <f>IFERROR(VLOOKUP($C3,'_METADATA_TEMPLATE'!$B$2:$H$826,7,FALSE),"")</f>
        <v>NowInput</v>
      </c>
      <c r="I3" s="3" t="str">
        <f>IFERROR(VLOOKUP(C3,'_METADATA_DEFAULT'!$A:$B,2,FALSE),"")</f>
        <v/>
      </c>
    </row>
    <row r="4">
      <c r="A4" s="2" t="s">
        <v>332</v>
      </c>
      <c r="B4" s="2" t="s">
        <v>335</v>
      </c>
      <c r="C4" s="2" t="s">
        <v>335</v>
      </c>
      <c r="D4" s="2">
        <f>IFERROR(VLOOKUP($C4,'_METADATA_TEMPLATE'!$B$2:$H$826,2,FALSE),"")</f>
        <v>3</v>
      </c>
      <c r="E4" s="2" t="str">
        <f>IFERROR(VLOOKUP($C4,'_METADATA_TEMPLATE'!$B$2:$H$826,4,FALSE),"")</f>
        <v>PENGANTAR</v>
      </c>
      <c r="F4" s="2" t="str">
        <f>IFERROR(VLOOKUP($C4,'_METADATA_TEMPLATE'!$B$2:$H$826,5,FALSE),"")</f>
        <v/>
      </c>
      <c r="G4" s="2" t="str">
        <f>IFERROR(VLOOKUP($C4,'_METADATA_TEMPLATE'!$B$2:$H$826,6,FALSE),"")</f>
        <v>Catatan Kunjungan I</v>
      </c>
      <c r="H4" s="2" t="str">
        <f>IFERROR(VLOOKUP($C4,'_METADATA_TEMPLATE'!$B$2:$H$826,7,FALSE),"")</f>
        <v>Text Area</v>
      </c>
      <c r="I4" s="2" t="str">
        <f>IFERROR(VLOOKUP(C4,'_METADATA_DEFAULT'!$A:$B,2,FALSE),"")</f>
        <v/>
      </c>
    </row>
    <row r="5">
      <c r="A5" s="3" t="s">
        <v>332</v>
      </c>
      <c r="B5" s="3" t="s">
        <v>336</v>
      </c>
      <c r="C5" s="3" t="s">
        <v>336</v>
      </c>
      <c r="D5" s="3">
        <f>IFERROR(VLOOKUP($C5,'_METADATA_TEMPLATE'!$B$2:$H$826,2,FALSE),"")</f>
        <v>4</v>
      </c>
      <c r="E5" s="3" t="str">
        <f>IFERROR(VLOOKUP($C5,'_METADATA_TEMPLATE'!$B$2:$H$826,4,FALSE),"")</f>
        <v>PENGANTAR</v>
      </c>
      <c r="F5" s="3" t="str">
        <f>IFERROR(VLOOKUP($C5,'_METADATA_TEMPLATE'!$B$2:$H$826,5,FALSE),"")</f>
        <v/>
      </c>
      <c r="G5" s="3" t="str">
        <f>IFERROR(VLOOKUP($C5,'_METADATA_TEMPLATE'!$B$2:$H$826,6,FALSE),"")</f>
        <v>Waktu Kunjungan II Waktu Kunjungan II Hanya Dapat Diisi Empat Jam setelah Kunjungan I</v>
      </c>
      <c r="H5" s="3" t="str">
        <f>IFERROR(VLOOKUP($C5,'_METADATA_TEMPLATE'!$B$2:$H$826,7,FALSE),"")</f>
        <v>NowInput</v>
      </c>
      <c r="I5" s="3" t="str">
        <f>IFERROR(VLOOKUP(C5,'_METADATA_DEFAULT'!$A:$B,2,FALSE),"")</f>
        <v/>
      </c>
    </row>
    <row r="6">
      <c r="A6" s="2" t="s">
        <v>332</v>
      </c>
      <c r="B6" s="2" t="s">
        <v>337</v>
      </c>
      <c r="C6" s="2" t="s">
        <v>337</v>
      </c>
      <c r="D6" s="2">
        <f>IFERROR(VLOOKUP($C6,'_METADATA_TEMPLATE'!$B$2:$H$826,2,FALSE),"")</f>
        <v>5</v>
      </c>
      <c r="E6" s="2" t="str">
        <f>IFERROR(VLOOKUP($C6,'_METADATA_TEMPLATE'!$B$2:$H$826,4,FALSE),"")</f>
        <v>PENGANTAR</v>
      </c>
      <c r="F6" s="2" t="str">
        <f>IFERROR(VLOOKUP($C6,'_METADATA_TEMPLATE'!$B$2:$H$826,5,FALSE),"")</f>
        <v/>
      </c>
      <c r="G6" s="2" t="str">
        <f>IFERROR(VLOOKUP($C6,'_METADATA_TEMPLATE'!$B$2:$H$826,6,FALSE),"")</f>
        <v>Catatan Kunjungan II</v>
      </c>
      <c r="H6" s="2" t="str">
        <f>IFERROR(VLOOKUP($C6,'_METADATA_TEMPLATE'!$B$2:$H$826,7,FALSE),"")</f>
        <v>Text Area</v>
      </c>
      <c r="I6" s="2" t="str">
        <f>IFERROR(VLOOKUP(C6,'_METADATA_DEFAULT'!$A:$B,2,FALSE),"")</f>
        <v/>
      </c>
    </row>
    <row r="7">
      <c r="A7" s="3" t="s">
        <v>332</v>
      </c>
      <c r="B7" s="3" t="s">
        <v>338</v>
      </c>
      <c r="C7" s="3" t="s">
        <v>338</v>
      </c>
      <c r="D7" s="3">
        <f>IFERROR(VLOOKUP($C7,'_METADATA_TEMPLATE'!$B$2:$H$826,2,FALSE),"")</f>
        <v>6</v>
      </c>
      <c r="E7" s="3" t="str">
        <f>IFERROR(VLOOKUP($C7,'_METADATA_TEMPLATE'!$B$2:$H$826,4,FALSE),"")</f>
        <v>PENGANTAR</v>
      </c>
      <c r="F7" s="3" t="str">
        <f>IFERROR(VLOOKUP($C7,'_METADATA_TEMPLATE'!$B$2:$H$826,5,FALSE),"")</f>
        <v/>
      </c>
      <c r="G7" s="3" t="str">
        <f>IFERROR(VLOOKUP($C7,'_METADATA_TEMPLATE'!$B$2:$H$826,6,FALSE),"")</f>
        <v>Waktu Kunjungan III Waktu Kunjungan III Hanya Dapat Diisi Empat Jam setelah Kunjungan II</v>
      </c>
      <c r="H7" s="3" t="str">
        <f>IFERROR(VLOOKUP($C7,'_METADATA_TEMPLATE'!$B$2:$H$826,7,FALSE),"")</f>
        <v>NowInput</v>
      </c>
      <c r="I7" s="3" t="str">
        <f>IFERROR(VLOOKUP(C7,'_METADATA_DEFAULT'!$A:$B,2,FALSE),"")</f>
        <v/>
      </c>
    </row>
    <row r="8">
      <c r="A8" s="2" t="s">
        <v>332</v>
      </c>
      <c r="B8" s="2" t="s">
        <v>339</v>
      </c>
      <c r="C8" s="2" t="s">
        <v>340</v>
      </c>
      <c r="D8" s="2">
        <f>IFERROR(VLOOKUP($C8,'_METADATA_TEMPLATE'!$B$2:$H$826,2,FALSE),"")</f>
        <v>7</v>
      </c>
      <c r="E8" s="2" t="str">
        <f>IFERROR(VLOOKUP($C8,'_METADATA_TEMPLATE'!$B$2:$H$826,4,FALSE),"")</f>
        <v>PENGANTAR</v>
      </c>
      <c r="F8" s="2" t="str">
        <f>IFERROR(VLOOKUP($C8,'_METADATA_TEMPLATE'!$B$2:$H$826,5,FALSE),"")</f>
        <v/>
      </c>
      <c r="G8" s="2" t="str">
        <f>IFERROR(VLOOKUP($C8,'_METADATA_TEMPLATE'!$B$2:$H$826,6,FALSE),"")</f>
        <v>Alasan Nonrespon</v>
      </c>
      <c r="H8" s="2" t="str">
        <f>IFERROR(VLOOKUP($C8,'_METADATA_TEMPLATE'!$B$2:$H$826,7,FALSE),"")</f>
        <v>Radio Group</v>
      </c>
      <c r="I8" s="2" t="str">
        <f>IFERROR(VLOOKUP(C8,'_METADATA_DEFAULT'!$A:$B,2,FALSE),"")</f>
        <v/>
      </c>
    </row>
    <row r="9">
      <c r="A9" s="3" t="s">
        <v>332</v>
      </c>
      <c r="B9" s="3" t="s">
        <v>341</v>
      </c>
      <c r="C9" s="3" t="s">
        <v>340</v>
      </c>
      <c r="D9" s="3">
        <f>IFERROR(VLOOKUP($C9,'_METADATA_TEMPLATE'!$B$2:$H$826,2,FALSE),"")</f>
        <v>7</v>
      </c>
      <c r="E9" s="3" t="str">
        <f>IFERROR(VLOOKUP($C9,'_METADATA_TEMPLATE'!$B$2:$H$826,4,FALSE),"")</f>
        <v>PENGANTAR</v>
      </c>
      <c r="F9" s="3" t="str">
        <f>IFERROR(VLOOKUP($C9,'_METADATA_TEMPLATE'!$B$2:$H$826,5,FALSE),"")</f>
        <v/>
      </c>
      <c r="G9" s="3" t="str">
        <f>IFERROR(VLOOKUP($C9,'_METADATA_TEMPLATE'!$B$2:$H$826,6,FALSE),"")</f>
        <v>Alasan Nonrespon</v>
      </c>
      <c r="H9" s="3" t="str">
        <f>IFERROR(VLOOKUP($C9,'_METADATA_TEMPLATE'!$B$2:$H$826,7,FALSE),"")</f>
        <v>Radio Group</v>
      </c>
      <c r="I9" s="3" t="str">
        <f>IFERROR(VLOOKUP(C9,'_METADATA_DEFAULT'!$A:$B,2,FALSE),"")</f>
        <v/>
      </c>
    </row>
    <row r="10">
      <c r="A10" s="2" t="s">
        <v>332</v>
      </c>
      <c r="B10" s="2" t="s">
        <v>342</v>
      </c>
      <c r="C10" s="2" t="s">
        <v>342</v>
      </c>
      <c r="D10" s="2">
        <f>IFERROR(VLOOKUP($C10,'_METADATA_TEMPLATE'!$B$2:$H$826,2,FALSE),"")</f>
        <v>8</v>
      </c>
      <c r="E10" s="2" t="str">
        <f>IFERROR(VLOOKUP($C10,'_METADATA_TEMPLATE'!$B$2:$H$826,4,FALSE),"")</f>
        <v>PENGANTAR</v>
      </c>
      <c r="F10" s="2" t="str">
        <f>IFERROR(VLOOKUP($C10,'_METADATA_TEMPLATE'!$B$2:$H$826,5,FALSE),"")</f>
        <v/>
      </c>
      <c r="G10" s="2" t="str">
        <f>IFERROR(VLOOKUP($C10,'_METADATA_TEMPLATE'!$B$2:$H$826,6,FALSE),"")</f>
        <v>Catatan Kunjungan III</v>
      </c>
      <c r="H10" s="2" t="str">
        <f>IFERROR(VLOOKUP($C10,'_METADATA_TEMPLATE'!$B$2:$H$826,7,FALSE),"")</f>
        <v>Text Area</v>
      </c>
      <c r="I10" s="2" t="str">
        <f>IFERROR(VLOOKUP(C10,'_METADATA_DEFAULT'!$A:$B,2,FALSE),"")</f>
        <v/>
      </c>
    </row>
    <row r="11">
      <c r="A11" s="3" t="s">
        <v>332</v>
      </c>
      <c r="B11" s="3" t="s">
        <v>343</v>
      </c>
      <c r="C11" s="3" t="s">
        <v>343</v>
      </c>
      <c r="D11" s="3">
        <f>IFERROR(VLOOKUP($C11,'_METADATA_TEMPLATE'!$B$2:$H$826,2,FALSE),"")</f>
        <v>9</v>
      </c>
      <c r="E11" s="3" t="str">
        <f>IFERROR(VLOOKUP($C11,'_METADATA_TEMPLATE'!$B$2:$H$826,4,FALSE),"")</f>
        <v>PENGANTAR</v>
      </c>
      <c r="F11" s="3" t="str">
        <f>IFERROR(VLOOKUP($C11,'_METADATA_TEMPLATE'!$B$2:$H$826,5,FALSE),"")</f>
        <v/>
      </c>
      <c r="G11" s="3" t="str">
        <f>IFERROR(VLOOKUP($C11,'_METADATA_TEMPLATE'!$B$2:$H$826,6,FALSE),"")</f>
        <v>Waktu Kunjungan PML</v>
      </c>
      <c r="H11" s="3" t="str">
        <f>IFERROR(VLOOKUP($C11,'_METADATA_TEMPLATE'!$B$2:$H$826,7,FALSE),"")</f>
        <v>NowInput</v>
      </c>
      <c r="I11" s="3" t="str">
        <f>IFERROR(VLOOKUP(C11,'_METADATA_DEFAULT'!$A:$B,2,FALSE),"")</f>
        <v/>
      </c>
    </row>
    <row r="12">
      <c r="A12" s="2" t="s">
        <v>332</v>
      </c>
      <c r="B12" s="2" t="s">
        <v>344</v>
      </c>
      <c r="C12" s="2" t="s">
        <v>345</v>
      </c>
      <c r="D12" s="2">
        <f>IFERROR(VLOOKUP($C12,'_METADATA_TEMPLATE'!$B$2:$H$826,2,FALSE),"")</f>
        <v>10</v>
      </c>
      <c r="E12" s="2" t="str">
        <f>IFERROR(VLOOKUP($C12,'_METADATA_TEMPLATE'!$B$2:$H$826,4,FALSE),"")</f>
        <v>PENGANTAR</v>
      </c>
      <c r="F12" s="2" t="str">
        <f>IFERROR(VLOOKUP($C12,'_METADATA_TEMPLATE'!$B$2:$H$826,5,FALSE),"")</f>
        <v/>
      </c>
      <c r="G12" s="2" t="str">
        <f>IFERROR(VLOOKUP($C12,'_METADATA_TEMPLATE'!$B$2:$H$826,6,FALSE),"")</f>
        <v>Geotaging oleh PML</v>
      </c>
      <c r="H12" s="2" t="str">
        <f>IFERROR(VLOOKUP($C12,'_METADATA_TEMPLATE'!$B$2:$H$826,7,FALSE),"")</f>
        <v>GpsInput</v>
      </c>
      <c r="I12" s="2" t="str">
        <f>IFERROR(VLOOKUP(C12,'_METADATA_DEFAULT'!$A:$B,2,FALSE),"")</f>
        <v/>
      </c>
    </row>
    <row r="13">
      <c r="A13" s="3" t="s">
        <v>332</v>
      </c>
      <c r="B13" s="3" t="s">
        <v>346</v>
      </c>
      <c r="C13" s="3" t="s">
        <v>345</v>
      </c>
      <c r="D13" s="3">
        <f>IFERROR(VLOOKUP($C13,'_METADATA_TEMPLATE'!$B$2:$H$826,2,FALSE),"")</f>
        <v>10</v>
      </c>
      <c r="E13" s="3" t="str">
        <f>IFERROR(VLOOKUP($C13,'_METADATA_TEMPLATE'!$B$2:$H$826,4,FALSE),"")</f>
        <v>PENGANTAR</v>
      </c>
      <c r="F13" s="3" t="str">
        <f>IFERROR(VLOOKUP($C13,'_METADATA_TEMPLATE'!$B$2:$H$826,5,FALSE),"")</f>
        <v/>
      </c>
      <c r="G13" s="3" t="str">
        <f>IFERROR(VLOOKUP($C13,'_METADATA_TEMPLATE'!$B$2:$H$826,6,FALSE),"")</f>
        <v>Geotaging oleh PML</v>
      </c>
      <c r="H13" s="3" t="str">
        <f>IFERROR(VLOOKUP($C13,'_METADATA_TEMPLATE'!$B$2:$H$826,7,FALSE),"")</f>
        <v>GpsInput</v>
      </c>
      <c r="I13" s="3" t="str">
        <f>IFERROR(VLOOKUP(C13,'_METADATA_DEFAULT'!$A:$B,2,FALSE),"")</f>
        <v/>
      </c>
    </row>
    <row r="14">
      <c r="A14" s="2" t="s">
        <v>332</v>
      </c>
      <c r="B14" s="2" t="s">
        <v>347</v>
      </c>
      <c r="C14" s="2" t="s">
        <v>345</v>
      </c>
      <c r="D14" s="2">
        <f>IFERROR(VLOOKUP($C14,'_METADATA_TEMPLATE'!$B$2:$H$826,2,FALSE),"")</f>
        <v>10</v>
      </c>
      <c r="E14" s="2" t="str">
        <f>IFERROR(VLOOKUP($C14,'_METADATA_TEMPLATE'!$B$2:$H$826,4,FALSE),"")</f>
        <v>PENGANTAR</v>
      </c>
      <c r="F14" s="2" t="str">
        <f>IFERROR(VLOOKUP($C14,'_METADATA_TEMPLATE'!$B$2:$H$826,5,FALSE),"")</f>
        <v/>
      </c>
      <c r="G14" s="2" t="str">
        <f>IFERROR(VLOOKUP($C14,'_METADATA_TEMPLATE'!$B$2:$H$826,6,FALSE),"")</f>
        <v>Geotaging oleh PML</v>
      </c>
      <c r="H14" s="2" t="str">
        <f>IFERROR(VLOOKUP($C14,'_METADATA_TEMPLATE'!$B$2:$H$826,7,FALSE),"")</f>
        <v>GpsInput</v>
      </c>
      <c r="I14" s="2" t="str">
        <f>IFERROR(VLOOKUP(C14,'_METADATA_DEFAULT'!$A:$B,2,FALSE),"")</f>
        <v/>
      </c>
    </row>
    <row r="15">
      <c r="A15" s="3" t="s">
        <v>332</v>
      </c>
      <c r="B15" s="3" t="s">
        <v>348</v>
      </c>
      <c r="C15" s="3" t="s">
        <v>348</v>
      </c>
      <c r="D15" s="3">
        <f>IFERROR(VLOOKUP($C15,'_METADATA_TEMPLATE'!$B$2:$H$826,2,FALSE),"")</f>
        <v>11</v>
      </c>
      <c r="E15" s="3" t="str">
        <f>IFERROR(VLOOKUP($C15,'_METADATA_TEMPLATE'!$B$2:$H$826,4,FALSE),"")</f>
        <v>PENGANTAR</v>
      </c>
      <c r="F15" s="3" t="str">
        <f>IFERROR(VLOOKUP($C15,'_METADATA_TEMPLATE'!$B$2:$H$826,5,FALSE),"")</f>
        <v/>
      </c>
      <c r="G15" s="3" t="str">
        <f>IFERROR(VLOOKUP($C15,'_METADATA_TEMPLATE'!$B$2:$H$826,6,FALSE),"")</f>
        <v>Catatan Kunjungan PML</v>
      </c>
      <c r="H15" s="3" t="str">
        <f>IFERROR(VLOOKUP($C15,'_METADATA_TEMPLATE'!$B$2:$H$826,7,FALSE),"")</f>
        <v>Text Area</v>
      </c>
      <c r="I15" s="3" t="str">
        <f>IFERROR(VLOOKUP(C15,'_METADATA_DEFAULT'!$A:$B,2,FALSE),"")</f>
        <v/>
      </c>
    </row>
    <row r="16">
      <c r="A16" s="2" t="s">
        <v>332</v>
      </c>
      <c r="B16" s="2" t="s">
        <v>349</v>
      </c>
      <c r="C16" s="2" t="s">
        <v>349</v>
      </c>
      <c r="D16" s="2">
        <f>IFERROR(VLOOKUP($C16,'_METADATA_TEMPLATE'!$B$2:$H$826,2,FALSE),"")</f>
        <v>12</v>
      </c>
      <c r="E16" s="2" t="str">
        <f>IFERROR(VLOOKUP($C16,'_METADATA_TEMPLATE'!$B$2:$H$826,4,FALSE),"")</f>
        <v>IDENTITAS WILAYAH</v>
      </c>
      <c r="F16" s="2" t="str">
        <f>IFERROR(VLOOKUP($C16,'_METADATA_TEMPLATE'!$B$2:$H$826,5,FALSE),"")</f>
        <v>1</v>
      </c>
      <c r="G16" s="2" t="str">
        <f>IFERROR(VLOOKUP($C16,'_METADATA_TEMPLATE'!$B$2:$H$826,6,FALSE),"")</f>
        <v>Provinsi</v>
      </c>
      <c r="H16" s="2" t="str">
        <f>IFERROR(VLOOKUP($C16,'_METADATA_TEMPLATE'!$B$2:$H$826,7,FALSE),"")</f>
        <v>Text Input</v>
      </c>
      <c r="I16" s="2" t="str">
        <f>IFERROR(VLOOKUP(C16,'_METADATA_DEFAULT'!$A:$B,2,FALSE),"")</f>
        <v/>
      </c>
    </row>
    <row r="17">
      <c r="A17" s="3" t="s">
        <v>332</v>
      </c>
      <c r="B17" s="3" t="s">
        <v>350</v>
      </c>
      <c r="C17" s="3" t="s">
        <v>350</v>
      </c>
      <c r="D17" s="3">
        <f>IFERROR(VLOOKUP($C17,'_METADATA_TEMPLATE'!$B$2:$H$826,2,FALSE),"")</f>
        <v>13</v>
      </c>
      <c r="E17" s="3" t="str">
        <f>IFERROR(VLOOKUP($C17,'_METADATA_TEMPLATE'!$B$2:$H$826,4,FALSE),"")</f>
        <v>IDENTITAS WILAYAH</v>
      </c>
      <c r="F17" s="3" t="str">
        <f>IFERROR(VLOOKUP($C17,'_METADATA_TEMPLATE'!$B$2:$H$826,5,FALSE),"")</f>
        <v>2</v>
      </c>
      <c r="G17" s="3" t="str">
        <f>IFERROR(VLOOKUP($C17,'_METADATA_TEMPLATE'!$B$2:$H$826,6,FALSE),"")</f>
        <v>Kabupaten/Kota</v>
      </c>
      <c r="H17" s="3" t="str">
        <f>IFERROR(VLOOKUP($C17,'_METADATA_TEMPLATE'!$B$2:$H$826,7,FALSE),"")</f>
        <v>Text Input</v>
      </c>
      <c r="I17" s="3" t="str">
        <f>IFERROR(VLOOKUP(C17,'_METADATA_DEFAULT'!$A:$B,2,FALSE),"")</f>
        <v/>
      </c>
    </row>
    <row r="18">
      <c r="A18" s="2" t="s">
        <v>332</v>
      </c>
      <c r="B18" s="2" t="s">
        <v>351</v>
      </c>
      <c r="C18" s="2" t="s">
        <v>351</v>
      </c>
      <c r="D18" s="2">
        <f>IFERROR(VLOOKUP($C18,'_METADATA_TEMPLATE'!$B$2:$H$826,2,FALSE),"")</f>
        <v>14</v>
      </c>
      <c r="E18" s="2" t="str">
        <f>IFERROR(VLOOKUP($C18,'_METADATA_TEMPLATE'!$B$2:$H$826,4,FALSE),"")</f>
        <v>IDENTITAS WILAYAH</v>
      </c>
      <c r="F18" s="2" t="str">
        <f>IFERROR(VLOOKUP($C18,'_METADATA_TEMPLATE'!$B$2:$H$826,5,FALSE),"")</f>
        <v>3</v>
      </c>
      <c r="G18" s="2" t="str">
        <f>IFERROR(VLOOKUP($C18,'_METADATA_TEMPLATE'!$B$2:$H$826,6,FALSE),"")</f>
        <v>Kecamatan</v>
      </c>
      <c r="H18" s="2" t="str">
        <f>IFERROR(VLOOKUP($C18,'_METADATA_TEMPLATE'!$B$2:$H$826,7,FALSE),"")</f>
        <v>Text Input</v>
      </c>
      <c r="I18" s="2" t="str">
        <f>IFERROR(VLOOKUP(C18,'_METADATA_DEFAULT'!$A:$B,2,FALSE),"")</f>
        <v/>
      </c>
    </row>
    <row r="19">
      <c r="A19" s="3" t="s">
        <v>332</v>
      </c>
      <c r="B19" s="3" t="s">
        <v>352</v>
      </c>
      <c r="C19" s="3" t="s">
        <v>352</v>
      </c>
      <c r="D19" s="3">
        <f>IFERROR(VLOOKUP($C19,'_METADATA_TEMPLATE'!$B$2:$H$826,2,FALSE),"")</f>
        <v>15</v>
      </c>
      <c r="E19" s="3" t="str">
        <f>IFERROR(VLOOKUP($C19,'_METADATA_TEMPLATE'!$B$2:$H$826,4,FALSE),"")</f>
        <v>IDENTITAS WILAYAH</v>
      </c>
      <c r="F19" s="3" t="str">
        <f>IFERROR(VLOOKUP($C19,'_METADATA_TEMPLATE'!$B$2:$H$826,5,FALSE),"")</f>
        <v>4</v>
      </c>
      <c r="G19" s="3" t="str">
        <f>IFERROR(VLOOKUP($C19,'_METADATA_TEMPLATE'!$B$2:$H$826,6,FALSE),"")</f>
        <v>Desa/Kelurahan</v>
      </c>
      <c r="H19" s="3" t="str">
        <f>IFERROR(VLOOKUP($C19,'_METADATA_TEMPLATE'!$B$2:$H$826,7,FALSE),"")</f>
        <v>Text Input</v>
      </c>
      <c r="I19" s="3" t="str">
        <f>IFERROR(VLOOKUP(C19,'_METADATA_DEFAULT'!$A:$B,2,FALSE),"")</f>
        <v/>
      </c>
    </row>
    <row r="20">
      <c r="A20" s="2" t="s">
        <v>332</v>
      </c>
      <c r="B20" s="2" t="s">
        <v>353</v>
      </c>
      <c r="C20" s="2" t="s">
        <v>354</v>
      </c>
      <c r="D20" s="2">
        <f>IFERROR(VLOOKUP($C20,'_METADATA_TEMPLATE'!$B$2:$H$826,2,FALSE),"")</f>
        <v>16</v>
      </c>
      <c r="E20" s="2" t="str">
        <f>IFERROR(VLOOKUP($C20,'_METADATA_TEMPLATE'!$B$2:$H$826,4,FALSE),"")</f>
        <v>IDENTITAS WILAYAH</v>
      </c>
      <c r="F20" s="2" t="str">
        <f>IFERROR(VLOOKUP($C20,'_METADATA_TEMPLATE'!$B$2:$H$826,5,FALSE),"")</f>
        <v/>
      </c>
      <c r="G20" s="2" t="str">
        <f>IFERROR(VLOOKUP($C20,'_METADATA_TEMPLATE'!$B$2:$H$826,6,FALSE),"")</f>
        <v>Apakah Terdapat Perubahan Wilayah?</v>
      </c>
      <c r="H20" s="2" t="str">
        <f>IFERROR(VLOOKUP($C20,'_METADATA_TEMPLATE'!$B$2:$H$826,7,FALSE),"")</f>
        <v>Radio Group</v>
      </c>
      <c r="I20" s="2" t="str">
        <f>IFERROR(VLOOKUP(C20,'_METADATA_DEFAULT'!$A:$B,2,FALSE),"")</f>
        <v/>
      </c>
    </row>
    <row r="21" ht="15.75" customHeight="1">
      <c r="A21" s="3" t="s">
        <v>332</v>
      </c>
      <c r="B21" s="3" t="s">
        <v>357</v>
      </c>
      <c r="C21" s="3" t="s">
        <v>354</v>
      </c>
      <c r="D21" s="3">
        <f>IFERROR(VLOOKUP($C21,'_METADATA_TEMPLATE'!$B$2:$H$826,2,FALSE),"")</f>
        <v>16</v>
      </c>
      <c r="E21" s="3" t="str">
        <f>IFERROR(VLOOKUP($C21,'_METADATA_TEMPLATE'!$B$2:$H$826,4,FALSE),"")</f>
        <v>IDENTITAS WILAYAH</v>
      </c>
      <c r="F21" s="3" t="str">
        <f>IFERROR(VLOOKUP($C21,'_METADATA_TEMPLATE'!$B$2:$H$826,5,FALSE),"")</f>
        <v/>
      </c>
      <c r="G21" s="3" t="str">
        <f>IFERROR(VLOOKUP($C21,'_METADATA_TEMPLATE'!$B$2:$H$826,6,FALSE),"")</f>
        <v>Apakah Terdapat Perubahan Wilayah?</v>
      </c>
      <c r="H21" s="3" t="str">
        <f>IFERROR(VLOOKUP($C21,'_METADATA_TEMPLATE'!$B$2:$H$826,7,FALSE),"")</f>
        <v>Radio Group</v>
      </c>
      <c r="I21" s="3" t="str">
        <f>IFERROR(VLOOKUP(C21,'_METADATA_DEFAULT'!$A:$B,2,FALSE),"")</f>
        <v/>
      </c>
    </row>
    <row r="22" ht="15.75" customHeight="1">
      <c r="A22" s="2" t="s">
        <v>332</v>
      </c>
      <c r="B22" s="2" t="s">
        <v>359</v>
      </c>
      <c r="C22" s="2" t="s">
        <v>360</v>
      </c>
      <c r="D22" s="2">
        <f>IFERROR(VLOOKUP($C22,'_METADATA_TEMPLATE'!$B$2:$H$826,2,FALSE),"")</f>
        <v>17</v>
      </c>
      <c r="E22" s="2" t="str">
        <f>IFERROR(VLOOKUP($C22,'_METADATA_TEMPLATE'!$B$2:$H$826,4,FALSE),"")</f>
        <v>IDENTITAS WILAYAH</v>
      </c>
      <c r="F22" s="2" t="str">
        <f>IFERROR(VLOOKUP($C22,'_METADATA_TEMPLATE'!$B$2:$H$826,5,FALSE),"")</f>
        <v>2</v>
      </c>
      <c r="G22" s="2" t="str">
        <f>IFERROR(VLOOKUP($C22,'_METADATA_TEMPLATE'!$B$2:$H$826,6,FALSE),"")</f>
        <v>Kabupaten/Kota</v>
      </c>
      <c r="H22" s="2" t="str">
        <f>IFERROR(VLOOKUP($C22,'_METADATA_TEMPLATE'!$B$2:$H$826,7,FALSE),"")</f>
        <v>Select</v>
      </c>
      <c r="I22" s="2" t="str">
        <f>IFERROR(VLOOKUP(C22,'_METADATA_DEFAULT'!$A:$B,2,FALSE),"")</f>
        <v/>
      </c>
    </row>
    <row r="23" ht="15.75" customHeight="1">
      <c r="A23" s="3" t="s">
        <v>332</v>
      </c>
      <c r="B23" s="3" t="s">
        <v>361</v>
      </c>
      <c r="C23" s="3" t="s">
        <v>360</v>
      </c>
      <c r="D23" s="3">
        <f>IFERROR(VLOOKUP($C23,'_METADATA_TEMPLATE'!$B$2:$H$826,2,FALSE),"")</f>
        <v>17</v>
      </c>
      <c r="E23" s="3" t="str">
        <f>IFERROR(VLOOKUP($C23,'_METADATA_TEMPLATE'!$B$2:$H$826,4,FALSE),"")</f>
        <v>IDENTITAS WILAYAH</v>
      </c>
      <c r="F23" s="3" t="str">
        <f>IFERROR(VLOOKUP($C23,'_METADATA_TEMPLATE'!$B$2:$H$826,5,FALSE),"")</f>
        <v>2</v>
      </c>
      <c r="G23" s="3" t="str">
        <f>IFERROR(VLOOKUP($C23,'_METADATA_TEMPLATE'!$B$2:$H$826,6,FALSE),"")</f>
        <v>Kabupaten/Kota</v>
      </c>
      <c r="H23" s="3" t="str">
        <f>IFERROR(VLOOKUP($C23,'_METADATA_TEMPLATE'!$B$2:$H$826,7,FALSE),"")</f>
        <v>Select</v>
      </c>
      <c r="I23" s="3" t="str">
        <f>IFERROR(VLOOKUP(C23,'_METADATA_DEFAULT'!$A:$B,2,FALSE),"")</f>
        <v/>
      </c>
    </row>
    <row r="24" ht="15.75" customHeight="1">
      <c r="A24" s="2" t="s">
        <v>332</v>
      </c>
      <c r="B24" s="2" t="s">
        <v>362</v>
      </c>
      <c r="C24" s="2" t="s">
        <v>363</v>
      </c>
      <c r="D24" s="2">
        <f>IFERROR(VLOOKUP($C24,'_METADATA_TEMPLATE'!$B$2:$H$826,2,FALSE),"")</f>
        <v>18</v>
      </c>
      <c r="E24" s="2" t="str">
        <f>IFERROR(VLOOKUP($C24,'_METADATA_TEMPLATE'!$B$2:$H$826,4,FALSE),"")</f>
        <v>IDENTITAS WILAYAH</v>
      </c>
      <c r="F24" s="2" t="str">
        <f>IFERROR(VLOOKUP($C24,'_METADATA_TEMPLATE'!$B$2:$H$826,5,FALSE),"")</f>
        <v>3</v>
      </c>
      <c r="G24" s="2" t="str">
        <f>IFERROR(VLOOKUP($C24,'_METADATA_TEMPLATE'!$B$2:$H$826,6,FALSE),"")</f>
        <v>Kecamatan</v>
      </c>
      <c r="H24" s="2" t="str">
        <f>IFERROR(VLOOKUP($C24,'_METADATA_TEMPLATE'!$B$2:$H$826,7,FALSE),"")</f>
        <v>Select</v>
      </c>
      <c r="I24" s="2" t="str">
        <f>IFERROR(VLOOKUP(C24,'_METADATA_DEFAULT'!$A:$B,2,FALSE),"")</f>
        <v/>
      </c>
    </row>
    <row r="25" ht="15.75" customHeight="1">
      <c r="A25" s="3" t="s">
        <v>332</v>
      </c>
      <c r="B25" s="3" t="s">
        <v>364</v>
      </c>
      <c r="C25" s="3" t="s">
        <v>363</v>
      </c>
      <c r="D25" s="3">
        <f>IFERROR(VLOOKUP($C25,'_METADATA_TEMPLATE'!$B$2:$H$826,2,FALSE),"")</f>
        <v>18</v>
      </c>
      <c r="E25" s="3" t="str">
        <f>IFERROR(VLOOKUP($C25,'_METADATA_TEMPLATE'!$B$2:$H$826,4,FALSE),"")</f>
        <v>IDENTITAS WILAYAH</v>
      </c>
      <c r="F25" s="3" t="str">
        <f>IFERROR(VLOOKUP($C25,'_METADATA_TEMPLATE'!$B$2:$H$826,5,FALSE),"")</f>
        <v>3</v>
      </c>
      <c r="G25" s="3" t="str">
        <f>IFERROR(VLOOKUP($C25,'_METADATA_TEMPLATE'!$B$2:$H$826,6,FALSE),"")</f>
        <v>Kecamatan</v>
      </c>
      <c r="H25" s="3" t="str">
        <f>IFERROR(VLOOKUP($C25,'_METADATA_TEMPLATE'!$B$2:$H$826,7,FALSE),"")</f>
        <v>Select</v>
      </c>
      <c r="I25" s="3" t="str">
        <f>IFERROR(VLOOKUP(C25,'_METADATA_DEFAULT'!$A:$B,2,FALSE),"")</f>
        <v/>
      </c>
    </row>
    <row r="26" ht="15.75" customHeight="1">
      <c r="A26" s="2" t="s">
        <v>332</v>
      </c>
      <c r="B26" s="2" t="s">
        <v>365</v>
      </c>
      <c r="C26" s="2" t="s">
        <v>366</v>
      </c>
      <c r="D26" s="2">
        <f>IFERROR(VLOOKUP($C26,'_METADATA_TEMPLATE'!$B$2:$H$826,2,FALSE),"")</f>
        <v>19</v>
      </c>
      <c r="E26" s="2" t="str">
        <f>IFERROR(VLOOKUP($C26,'_METADATA_TEMPLATE'!$B$2:$H$826,4,FALSE),"")</f>
        <v>IDENTITAS WILAYAH</v>
      </c>
      <c r="F26" s="2" t="str">
        <f>IFERROR(VLOOKUP($C26,'_METADATA_TEMPLATE'!$B$2:$H$826,5,FALSE),"")</f>
        <v>4</v>
      </c>
      <c r="G26" s="2" t="str">
        <f>IFERROR(VLOOKUP($C26,'_METADATA_TEMPLATE'!$B$2:$H$826,6,FALSE),"")</f>
        <v>Desa/Kelurahan</v>
      </c>
      <c r="H26" s="2" t="str">
        <f>IFERROR(VLOOKUP($C26,'_METADATA_TEMPLATE'!$B$2:$H$826,7,FALSE),"")</f>
        <v>Select</v>
      </c>
      <c r="I26" s="2" t="str">
        <f>IFERROR(VLOOKUP(C26,'_METADATA_DEFAULT'!$A:$B,2,FALSE),"")</f>
        <v/>
      </c>
    </row>
    <row r="27" ht="15.75" customHeight="1">
      <c r="A27" s="3" t="s">
        <v>332</v>
      </c>
      <c r="B27" s="3" t="s">
        <v>367</v>
      </c>
      <c r="C27" s="3" t="s">
        <v>366</v>
      </c>
      <c r="D27" s="3">
        <f>IFERROR(VLOOKUP($C27,'_METADATA_TEMPLATE'!$B$2:$H$826,2,FALSE),"")</f>
        <v>19</v>
      </c>
      <c r="E27" s="3" t="str">
        <f>IFERROR(VLOOKUP($C27,'_METADATA_TEMPLATE'!$B$2:$H$826,4,FALSE),"")</f>
        <v>IDENTITAS WILAYAH</v>
      </c>
      <c r="F27" s="3" t="str">
        <f>IFERROR(VLOOKUP($C27,'_METADATA_TEMPLATE'!$B$2:$H$826,5,FALSE),"")</f>
        <v>4</v>
      </c>
      <c r="G27" s="3" t="str">
        <f>IFERROR(VLOOKUP($C27,'_METADATA_TEMPLATE'!$B$2:$H$826,6,FALSE),"")</f>
        <v>Desa/Kelurahan</v>
      </c>
      <c r="H27" s="3" t="str">
        <f>IFERROR(VLOOKUP($C27,'_METADATA_TEMPLATE'!$B$2:$H$826,7,FALSE),"")</f>
        <v>Select</v>
      </c>
      <c r="I27" s="3" t="str">
        <f>IFERROR(VLOOKUP(C27,'_METADATA_DEFAULT'!$A:$B,2,FALSE),"")</f>
        <v/>
      </c>
    </row>
    <row r="28" ht="15.75" customHeight="1">
      <c r="A28" s="2" t="s">
        <v>332</v>
      </c>
      <c r="B28" s="2" t="s">
        <v>368</v>
      </c>
      <c r="C28" s="2" t="s">
        <v>368</v>
      </c>
      <c r="D28" s="2">
        <f>IFERROR(VLOOKUP($C28,'_METADATA_TEMPLATE'!$B$2:$H$826,2,FALSE),"")</f>
        <v>20</v>
      </c>
      <c r="E28" s="2" t="str">
        <f>IFERROR(VLOOKUP($C28,'_METADATA_TEMPLATE'!$B$2:$H$826,4,FALSE),"")</f>
        <v>IDENTITAS WILAYAH</v>
      </c>
      <c r="F28" s="2" t="str">
        <f>IFERROR(VLOOKUP($C28,'_METADATA_TEMPLATE'!$B$2:$H$826,5,FALSE),"")</f>
        <v>5</v>
      </c>
      <c r="G28" s="2" t="str">
        <f>IFERROR(VLOOKUP($C28,'_METADATA_TEMPLATE'!$B$2:$H$826,6,FALSE),"")</f>
        <v>Klasifikasi Desa/Kelurahan</v>
      </c>
      <c r="H28" s="2" t="str">
        <f>IFERROR(VLOOKUP($C28,'_METADATA_TEMPLATE'!$B$2:$H$826,7,FALSE),"")</f>
        <v>Text Input</v>
      </c>
      <c r="I28" s="2" t="str">
        <f>IFERROR(VLOOKUP(C28,'_METADATA_DEFAULT'!$A:$B,2,FALSE),"")</f>
        <v/>
      </c>
    </row>
    <row r="29" ht="15.75" customHeight="1">
      <c r="A29" s="3" t="s">
        <v>332</v>
      </c>
      <c r="B29" s="3" t="s">
        <v>369</v>
      </c>
      <c r="C29" s="3" t="s">
        <v>369</v>
      </c>
      <c r="D29" s="3">
        <f>IFERROR(VLOOKUP($C29,'_METADATA_TEMPLATE'!$B$2:$H$826,2,FALSE),"")</f>
        <v>21</v>
      </c>
      <c r="E29" s="3" t="str">
        <f>IFERROR(VLOOKUP($C29,'_METADATA_TEMPLATE'!$B$2:$H$826,4,FALSE),"")</f>
        <v>IDENTITAS WILAYAH</v>
      </c>
      <c r="F29" s="3" t="str">
        <f>IFERROR(VLOOKUP($C29,'_METADATA_TEMPLATE'!$B$2:$H$826,5,FALSE),"")</f>
        <v>6</v>
      </c>
      <c r="G29" s="3" t="str">
        <f>IFERROR(VLOOKUP($C29,'_METADATA_TEMPLATE'!$B$2:$H$826,6,FALSE),"")</f>
        <v>Kode SLS/Non-SLS/Sub-SLS</v>
      </c>
      <c r="H29" s="3" t="str">
        <f>IFERROR(VLOOKUP($C29,'_METADATA_TEMPLATE'!$B$2:$H$826,7,FALSE),"")</f>
        <v>Text Input</v>
      </c>
      <c r="I29" s="3" t="str">
        <f>IFERROR(VLOOKUP(C29,'_METADATA_DEFAULT'!$A:$B,2,FALSE),"")</f>
        <v/>
      </c>
    </row>
    <row r="30" ht="15.75" customHeight="1">
      <c r="A30" s="2" t="s">
        <v>332</v>
      </c>
      <c r="B30" s="2" t="s">
        <v>370</v>
      </c>
      <c r="C30" s="2" t="s">
        <v>370</v>
      </c>
      <c r="D30" s="2">
        <f>IFERROR(VLOOKUP($C30,'_METADATA_TEMPLATE'!$B$2:$H$826,2,FALSE),"")</f>
        <v>22</v>
      </c>
      <c r="E30" s="2" t="str">
        <f>IFERROR(VLOOKUP($C30,'_METADATA_TEMPLATE'!$B$2:$H$826,4,FALSE),"")</f>
        <v>IDENTITAS WILAYAH</v>
      </c>
      <c r="F30" s="2" t="str">
        <f>IFERROR(VLOOKUP($C30,'_METADATA_TEMPLATE'!$B$2:$H$826,5,FALSE),"")</f>
        <v>7</v>
      </c>
      <c r="G30" s="2" t="str">
        <f>IFERROR(VLOOKUP($C30,'_METADATA_TEMPLATE'!$B$2:$H$826,6,FALSE),"")</f>
        <v>Nama SLS/Non-SLS</v>
      </c>
      <c r="H30" s="2" t="str">
        <f>IFERROR(VLOOKUP($C30,'_METADATA_TEMPLATE'!$B$2:$H$826,7,FALSE),"")</f>
        <v>Text Input</v>
      </c>
      <c r="I30" s="2" t="str">
        <f>IFERROR(VLOOKUP(C30,'_METADATA_DEFAULT'!$A:$B,2,FALSE),"")</f>
        <v/>
      </c>
    </row>
    <row r="31" ht="15.75" customHeight="1">
      <c r="A31" s="3" t="s">
        <v>332</v>
      </c>
      <c r="B31" s="3" t="s">
        <v>371</v>
      </c>
      <c r="C31" s="3" t="s">
        <v>372</v>
      </c>
      <c r="D31" s="3">
        <f>IFERROR(VLOOKUP($C31,'_METADATA_TEMPLATE'!$B$2:$H$826,2,FALSE),"")</f>
        <v>23</v>
      </c>
      <c r="E31" s="3" t="str">
        <f>IFERROR(VLOOKUP($C31,'_METADATA_TEMPLATE'!$B$2:$H$826,4,FALSE),"")</f>
        <v>IDENTITAS WILAYAH</v>
      </c>
      <c r="F31" s="3" t="str">
        <f>IFERROR(VLOOKUP($C31,'_METADATA_TEMPLATE'!$B$2:$H$826,5,FALSE),"")</f>
        <v>8</v>
      </c>
      <c r="G31" s="3" t="str">
        <f>IFERROR(VLOOKUP($C31,'_METADATA_TEMPLATE'!$B$2:$H$826,6,FALSE),"")</f>
        <v>Apakah mengalami perubahan SLS (pemekaran/penggabungan/perubahan nama/perubahan batas?)</v>
      </c>
      <c r="H31" s="3" t="str">
        <f>IFERROR(VLOOKUP($C31,'_METADATA_TEMPLATE'!$B$2:$H$826,7,FALSE),"")</f>
        <v>Radio Group</v>
      </c>
      <c r="I31" s="3" t="str">
        <f>IFERROR(VLOOKUP(C31,'_METADATA_DEFAULT'!$A:$B,2,FALSE),"")</f>
        <v/>
      </c>
    </row>
    <row r="32" ht="15.75" customHeight="1">
      <c r="A32" s="2" t="s">
        <v>332</v>
      </c>
      <c r="B32" s="2" t="s">
        <v>376</v>
      </c>
      <c r="C32" s="2" t="s">
        <v>372</v>
      </c>
      <c r="D32" s="2">
        <f>IFERROR(VLOOKUP($C32,'_METADATA_TEMPLATE'!$B$2:$H$826,2,FALSE),"")</f>
        <v>23</v>
      </c>
      <c r="E32" s="2" t="str">
        <f>IFERROR(VLOOKUP($C32,'_METADATA_TEMPLATE'!$B$2:$H$826,4,FALSE),"")</f>
        <v>IDENTITAS WILAYAH</v>
      </c>
      <c r="F32" s="2" t="str">
        <f>IFERROR(VLOOKUP($C32,'_METADATA_TEMPLATE'!$B$2:$H$826,5,FALSE),"")</f>
        <v>8</v>
      </c>
      <c r="G32" s="2" t="str">
        <f>IFERROR(VLOOKUP($C32,'_METADATA_TEMPLATE'!$B$2:$H$826,6,FALSE),"")</f>
        <v>Apakah mengalami perubahan SLS (pemekaran/penggabungan/perubahan nama/perubahan batas?)</v>
      </c>
      <c r="H32" s="2" t="str">
        <f>IFERROR(VLOOKUP($C32,'_METADATA_TEMPLATE'!$B$2:$H$826,7,FALSE),"")</f>
        <v>Radio Group</v>
      </c>
      <c r="I32" s="2" t="str">
        <f>IFERROR(VLOOKUP(C32,'_METADATA_DEFAULT'!$A:$B,2,FALSE),"")</f>
        <v/>
      </c>
    </row>
    <row r="33" ht="15.75" customHeight="1">
      <c r="A33" s="3" t="s">
        <v>332</v>
      </c>
      <c r="B33" s="3" t="s">
        <v>377</v>
      </c>
      <c r="C33" s="3" t="s">
        <v>377</v>
      </c>
      <c r="D33" s="3">
        <f>IFERROR(VLOOKUP($C33,'_METADATA_TEMPLATE'!$B$2:$H$826,2,FALSE),"")</f>
        <v>24</v>
      </c>
      <c r="E33" s="3" t="str">
        <f>IFERROR(VLOOKUP($C33,'_METADATA_TEMPLATE'!$B$2:$H$826,4,FALSE),"")</f>
        <v>IDENTITAS WILAYAH</v>
      </c>
      <c r="F33" s="3" t="str">
        <f>IFERROR(VLOOKUP($C33,'_METADATA_TEMPLATE'!$B$2:$H$826,5,FALSE),"")</f>
        <v>9</v>
      </c>
      <c r="G33" s="3" t="str">
        <f>IFERROR(VLOOKUP($C33,'_METADATA_TEMPLATE'!$B$2:$H$826,6,FALSE),"")</f>
        <v>Nama SLS/Non-SLS Lapangan</v>
      </c>
      <c r="H33" s="3" t="str">
        <f>IFERROR(VLOOKUP($C33,'_METADATA_TEMPLATE'!$B$2:$H$826,7,FALSE),"")</f>
        <v>Text Input</v>
      </c>
      <c r="I33" s="3" t="str">
        <f>IFERROR(VLOOKUP(C33,'_METADATA_DEFAULT'!$A:$B,2,FALSE),"")</f>
        <v/>
      </c>
    </row>
    <row r="34" ht="15.75" customHeight="1">
      <c r="A34" s="2" t="s">
        <v>332</v>
      </c>
      <c r="B34" s="2" t="s">
        <v>379</v>
      </c>
      <c r="C34" s="2" t="s">
        <v>379</v>
      </c>
      <c r="D34" s="2">
        <f>IFERROR(VLOOKUP($C34,'_METADATA_TEMPLATE'!$B$2:$H$826,2,FALSE),"")</f>
        <v>25</v>
      </c>
      <c r="E34" s="2" t="str">
        <f>IFERROR(VLOOKUP($C34,'_METADATA_TEMPLATE'!$B$2:$H$826,4,FALSE),"")</f>
        <v>IDENTITAS WILAYAH</v>
      </c>
      <c r="F34" s="2" t="str">
        <f>IFERROR(VLOOKUP($C34,'_METADATA_TEMPLATE'!$B$2:$H$826,5,FALSE),"")</f>
        <v>10</v>
      </c>
      <c r="G34" s="2" t="str">
        <f>IFERROR(VLOOKUP($C34,'_METADATA_TEMPLATE'!$B$2:$H$826,6,FALSE),"")</f>
        <v>Kodepos</v>
      </c>
      <c r="H34" s="2" t="str">
        <f>IFERROR(VLOOKUP($C34,'_METADATA_TEMPLATE'!$B$2:$H$826,7,FALSE),"")</f>
        <v>Text Input</v>
      </c>
      <c r="I34" s="2" t="str">
        <f>IFERROR(VLOOKUP(C34,'_METADATA_DEFAULT'!$A:$B,2,FALSE),"")</f>
        <v/>
      </c>
    </row>
    <row r="35" ht="15.75" customHeight="1">
      <c r="A35" s="3" t="s">
        <v>332</v>
      </c>
      <c r="B35" s="3" t="s">
        <v>380</v>
      </c>
      <c r="C35" s="3" t="s">
        <v>380</v>
      </c>
      <c r="D35" s="3">
        <f>IFERROR(VLOOKUP($C35,'_METADATA_TEMPLATE'!$B$2:$H$826,2,FALSE),"")</f>
        <v>26</v>
      </c>
      <c r="E35" s="3" t="str">
        <f>IFERROR(VLOOKUP($C35,'_METADATA_TEMPLATE'!$B$2:$H$826,4,FALSE),"")</f>
        <v>IDENTITAS WILAYAH</v>
      </c>
      <c r="F35" s="3" t="str">
        <f>IFERROR(VLOOKUP($C35,'_METADATA_TEMPLATE'!$B$2:$H$826,5,FALSE),"")</f>
        <v/>
      </c>
      <c r="G35" s="3" t="str">
        <f>IFERROR(VLOOKUP($C35,'_METADATA_TEMPLATE'!$B$2:$H$826,6,FALSE),"")</f>
        <v>Nama Jalan/Gang/Komplek/Gedung/dll (Tuliskan dengan rinci)</v>
      </c>
      <c r="H35" s="3" t="str">
        <f>IFERROR(VLOOKUP($C35,'_METADATA_TEMPLATE'!$B$2:$H$826,7,FALSE),"")</f>
        <v>Text Area</v>
      </c>
      <c r="I35" s="3" t="str">
        <f>IFERROR(VLOOKUP(C35,'_METADATA_DEFAULT'!$A:$B,2,FALSE),"")</f>
        <v/>
      </c>
    </row>
    <row r="36" ht="15.75" customHeight="1">
      <c r="A36" s="2" t="s">
        <v>332</v>
      </c>
      <c r="B36" s="2" t="s">
        <v>382</v>
      </c>
      <c r="C36" s="2" t="s">
        <v>382</v>
      </c>
      <c r="D36" s="2">
        <f>IFERROR(VLOOKUP($C36,'_METADATA_TEMPLATE'!$B$2:$H$826,2,FALSE),"")</f>
        <v>27</v>
      </c>
      <c r="E36" s="2" t="str">
        <f>IFERROR(VLOOKUP($C36,'_METADATA_TEMPLATE'!$B$2:$H$826,4,FALSE),"")</f>
        <v>IDENTITAS WILAYAH</v>
      </c>
      <c r="F36" s="2" t="str">
        <f>IFERROR(VLOOKUP($C36,'_METADATA_TEMPLATE'!$B$2:$H$826,5,FALSE),"")</f>
        <v/>
      </c>
      <c r="G36" s="2" t="str">
        <f>IFERROR(VLOOKUP($C36,'_METADATA_TEMPLATE'!$B$2:$H$826,6,FALSE),"")</f>
        <v>Blok/Nomor Rumah (Jika tidak ada nomor rumah, tulis strip (-))</v>
      </c>
      <c r="H36" s="2" t="str">
        <f>IFERROR(VLOOKUP($C36,'_METADATA_TEMPLATE'!$B$2:$H$826,7,FALSE),"")</f>
        <v>Text Input</v>
      </c>
      <c r="I36" s="2" t="str">
        <f>IFERROR(VLOOKUP(C36,'_METADATA_DEFAULT'!$A:$B,2,FALSE),"")</f>
        <v/>
      </c>
    </row>
    <row r="37" ht="15.75" customHeight="1">
      <c r="A37" s="3" t="s">
        <v>332</v>
      </c>
      <c r="B37" s="3" t="s">
        <v>384</v>
      </c>
      <c r="C37" s="3" t="s">
        <v>385</v>
      </c>
      <c r="D37" s="3">
        <f>IFERROR(VLOOKUP($C37,'_METADATA_TEMPLATE'!$B$2:$H$826,2,FALSE),"")</f>
        <v>28</v>
      </c>
      <c r="E37" s="3" t="str">
        <f>IFERROR(VLOOKUP($C37,'_METADATA_TEMPLATE'!$B$2:$H$826,4,FALSE),"")</f>
        <v>IDENTITAS WILAYAH</v>
      </c>
      <c r="F37" s="3" t="str">
        <f>IFERROR(VLOOKUP($C37,'_METADATA_TEMPLATE'!$B$2:$H$826,5,FALSE),"")</f>
        <v/>
      </c>
      <c r="G37" s="3" t="str">
        <f>IFERROR(VLOOKUP($C37,'_METADATA_TEMPLATE'!$B$2:$H$826,6,FALSE),"")</f>
        <v>Apakah alamat di atas sesuai dengan alamat pada Kartu Keluarga?</v>
      </c>
      <c r="H37" s="3" t="str">
        <f>IFERROR(VLOOKUP($C37,'_METADATA_TEMPLATE'!$B$2:$H$826,7,FALSE),"")</f>
        <v>Radio Group</v>
      </c>
      <c r="I37" s="3" t="str">
        <f>IFERROR(VLOOKUP(C37,'_METADATA_DEFAULT'!$A:$B,2,FALSE),"")</f>
        <v/>
      </c>
    </row>
    <row r="38" ht="15.75" customHeight="1">
      <c r="A38" s="2" t="s">
        <v>332</v>
      </c>
      <c r="B38" s="2" t="s">
        <v>387</v>
      </c>
      <c r="C38" s="2" t="s">
        <v>385</v>
      </c>
      <c r="D38" s="2">
        <f>IFERROR(VLOOKUP($C38,'_METADATA_TEMPLATE'!$B$2:$H$826,2,FALSE),"")</f>
        <v>28</v>
      </c>
      <c r="E38" s="2" t="str">
        <f>IFERROR(VLOOKUP($C38,'_METADATA_TEMPLATE'!$B$2:$H$826,4,FALSE),"")</f>
        <v>IDENTITAS WILAYAH</v>
      </c>
      <c r="F38" s="2" t="str">
        <f>IFERROR(VLOOKUP($C38,'_METADATA_TEMPLATE'!$B$2:$H$826,5,FALSE),"")</f>
        <v/>
      </c>
      <c r="G38" s="2" t="str">
        <f>IFERROR(VLOOKUP($C38,'_METADATA_TEMPLATE'!$B$2:$H$826,6,FALSE),"")</f>
        <v>Apakah alamat di atas sesuai dengan alamat pada Kartu Keluarga?</v>
      </c>
      <c r="H38" s="2" t="str">
        <f>IFERROR(VLOOKUP($C38,'_METADATA_TEMPLATE'!$B$2:$H$826,7,FALSE),"")</f>
        <v>Radio Group</v>
      </c>
      <c r="I38" s="2" t="str">
        <f>IFERROR(VLOOKUP(C38,'_METADATA_DEFAULT'!$A:$B,2,FALSE),"")</f>
        <v/>
      </c>
    </row>
    <row r="39" ht="15.75" customHeight="1">
      <c r="A39" s="3" t="s">
        <v>332</v>
      </c>
      <c r="B39" s="3" t="s">
        <v>389</v>
      </c>
      <c r="C39" s="3" t="s">
        <v>389</v>
      </c>
      <c r="D39" s="3">
        <f>IFERROR(VLOOKUP($C39,'_METADATA_TEMPLATE'!$B$2:$H$826,2,FALSE),"")</f>
        <v>29</v>
      </c>
      <c r="E39" s="3" t="str">
        <f>IFERROR(VLOOKUP($C39,'_METADATA_TEMPLATE'!$B$2:$H$826,4,FALSE),"")</f>
        <v>SE2026 - P</v>
      </c>
      <c r="F39" s="3" t="str">
        <f>IFERROR(VLOOKUP($C39,'_METADATA_TEMPLATE'!$B$2:$H$826,5,FALSE),"")</f>
        <v/>
      </c>
      <c r="G39" s="3" t="str">
        <f>IFERROR(VLOOKUP($C39,'_METADATA_TEMPLATE'!$B$2:$H$826,6,FALSE),"")</f>
        <v>Jenis Prelist</v>
      </c>
      <c r="H39" s="3" t="str">
        <f>IFERROR(VLOOKUP($C39,'_METADATA_TEMPLATE'!$B$2:$H$826,7,FALSE),"")</f>
        <v>Variable</v>
      </c>
      <c r="I39" s="3" t="str">
        <f>IFERROR(VLOOKUP(C39,'_METADATA_DEFAULT'!$A:$B,2,FALSE),"")</f>
        <v/>
      </c>
    </row>
    <row r="40" ht="15.75" customHeight="1">
      <c r="A40" s="2" t="s">
        <v>332</v>
      </c>
      <c r="B40" s="2" t="s">
        <v>390</v>
      </c>
      <c r="C40" s="2" t="s">
        <v>391</v>
      </c>
      <c r="D40" s="2">
        <f>IFERROR(VLOOKUP($C40,'_METADATA_TEMPLATE'!$B$2:$H$826,2,FALSE),"")</f>
        <v>30</v>
      </c>
      <c r="E40" s="2" t="str">
        <f>IFERROR(VLOOKUP($C40,'_METADATA_TEMPLATE'!$B$2:$H$826,4,FALSE),"")</f>
        <v>SE2026 - P</v>
      </c>
      <c r="F40" s="2" t="str">
        <f>IFERROR(VLOOKUP($C40,'_METADATA_TEMPLATE'!$B$2:$H$826,5,FALSE),"")</f>
        <v/>
      </c>
      <c r="G40" s="2" t="str">
        <f>IFERROR(VLOOKUP($C40,'_METADATA_TEMPLATE'!$B$2:$H$826,6,FALSE),"")</f>
        <v>Tambah : Pilih jenis assignment yang akan ditambahkan</v>
      </c>
      <c r="H40" s="2" t="str">
        <f>IFERROR(VLOOKUP($C40,'_METADATA_TEMPLATE'!$B$2:$H$826,7,FALSE),"")</f>
        <v>Radio Group</v>
      </c>
      <c r="I40" s="2" t="str">
        <f>IFERROR(VLOOKUP(C40,'_METADATA_DEFAULT'!$A:$B,2,FALSE),"")</f>
        <v/>
      </c>
    </row>
    <row r="41" ht="15.75" customHeight="1">
      <c r="A41" s="3" t="s">
        <v>332</v>
      </c>
      <c r="B41" s="3" t="s">
        <v>394</v>
      </c>
      <c r="C41" s="3" t="s">
        <v>391</v>
      </c>
      <c r="D41" s="3">
        <f>IFERROR(VLOOKUP($C41,'_METADATA_TEMPLATE'!$B$2:$H$826,2,FALSE),"")</f>
        <v>30</v>
      </c>
      <c r="E41" s="3" t="str">
        <f>IFERROR(VLOOKUP($C41,'_METADATA_TEMPLATE'!$B$2:$H$826,4,FALSE),"")</f>
        <v>SE2026 - P</v>
      </c>
      <c r="F41" s="3" t="str">
        <f>IFERROR(VLOOKUP($C41,'_METADATA_TEMPLATE'!$B$2:$H$826,5,FALSE),"")</f>
        <v/>
      </c>
      <c r="G41" s="3" t="str">
        <f>IFERROR(VLOOKUP($C41,'_METADATA_TEMPLATE'!$B$2:$H$826,6,FALSE),"")</f>
        <v>Tambah : Pilih jenis assignment yang akan ditambahkan</v>
      </c>
      <c r="H41" s="3" t="str">
        <f>IFERROR(VLOOKUP($C41,'_METADATA_TEMPLATE'!$B$2:$H$826,7,FALSE),"")</f>
        <v>Radio Group</v>
      </c>
      <c r="I41" s="3" t="str">
        <f>IFERROR(VLOOKUP(C41,'_METADATA_DEFAULT'!$A:$B,2,FALSE),"")</f>
        <v/>
      </c>
    </row>
    <row r="42" ht="15.75" customHeight="1">
      <c r="A42" s="2" t="s">
        <v>332</v>
      </c>
      <c r="B42" s="2" t="s">
        <v>396</v>
      </c>
      <c r="C42" s="2" t="s">
        <v>397</v>
      </c>
      <c r="D42" s="2">
        <f>IFERROR(VLOOKUP($C42,'_METADATA_TEMPLATE'!$B$2:$H$826,2,FALSE),"")</f>
        <v>31</v>
      </c>
      <c r="E42" s="2" t="str">
        <f>IFERROR(VLOOKUP($C42,'_METADATA_TEMPLATE'!$B$2:$H$826,4,FALSE),"")</f>
        <v>SE2026 - P</v>
      </c>
      <c r="F42" s="2" t="str">
        <f>IFERROR(VLOOKUP($C42,'_METADATA_TEMPLATE'!$B$2:$H$826,5,FALSE),"")</f>
        <v/>
      </c>
      <c r="G42" s="2" t="str">
        <f>IFERROR(VLOOKUP($C42,'_METADATA_TEMPLATE'!$B$2:$H$826,6,FALSE),"")</f>
        <v>Daftar Usaha Non Prelist Pilih "Tidak Ditemukan" jika nama usaha tidak ada di daftar usaha</v>
      </c>
      <c r="H42" s="2" t="str">
        <f>IFERROR(VLOOKUP($C42,'_METADATA_TEMPLATE'!$B$2:$H$826,7,FALSE),"")</f>
        <v>Select</v>
      </c>
      <c r="I42" s="2" t="str">
        <f>IFERROR(VLOOKUP(C42,'_METADATA_DEFAULT'!$A:$B,2,FALSE),"")</f>
        <v/>
      </c>
    </row>
    <row r="43" ht="15.75" customHeight="1">
      <c r="A43" s="3" t="s">
        <v>332</v>
      </c>
      <c r="B43" s="3" t="s">
        <v>399</v>
      </c>
      <c r="C43" s="3" t="s">
        <v>397</v>
      </c>
      <c r="D43" s="3">
        <f>IFERROR(VLOOKUP($C43,'_METADATA_TEMPLATE'!$B$2:$H$826,2,FALSE),"")</f>
        <v>31</v>
      </c>
      <c r="E43" s="3" t="str">
        <f>IFERROR(VLOOKUP($C43,'_METADATA_TEMPLATE'!$B$2:$H$826,4,FALSE),"")</f>
        <v>SE2026 - P</v>
      </c>
      <c r="F43" s="3" t="str">
        <f>IFERROR(VLOOKUP($C43,'_METADATA_TEMPLATE'!$B$2:$H$826,5,FALSE),"")</f>
        <v/>
      </c>
      <c r="G43" s="3" t="str">
        <f>IFERROR(VLOOKUP($C43,'_METADATA_TEMPLATE'!$B$2:$H$826,6,FALSE),"")</f>
        <v>Daftar Usaha Non Prelist Pilih "Tidak Ditemukan" jika nama usaha tidak ada di daftar usaha</v>
      </c>
      <c r="H43" s="3" t="str">
        <f>IFERROR(VLOOKUP($C43,'_METADATA_TEMPLATE'!$B$2:$H$826,7,FALSE),"")</f>
        <v>Select</v>
      </c>
      <c r="I43" s="3" t="str">
        <f>IFERROR(VLOOKUP(C43,'_METADATA_DEFAULT'!$A:$B,2,FALSE),"")</f>
        <v/>
      </c>
    </row>
    <row r="44" ht="15.75" customHeight="1">
      <c r="A44" s="2" t="s">
        <v>332</v>
      </c>
      <c r="B44" s="2" t="s">
        <v>401</v>
      </c>
      <c r="C44" s="2" t="s">
        <v>401</v>
      </c>
      <c r="D44" s="2">
        <f>IFERROR(VLOOKUP($C44,'_METADATA_TEMPLATE'!$B$2:$H$826,2,FALSE),"")</f>
        <v>32</v>
      </c>
      <c r="E44" s="2" t="str">
        <f>IFERROR(VLOOKUP($C44,'_METADATA_TEMPLATE'!$B$2:$H$826,4,FALSE),"")</f>
        <v>SE2026 - P</v>
      </c>
      <c r="F44" s="2" t="str">
        <f>IFERROR(VLOOKUP($C44,'_METADATA_TEMPLATE'!$B$2:$H$826,5,FALSE),"")</f>
        <v/>
      </c>
      <c r="G44" s="2" t="str">
        <f>IFERROR(VLOOKUP($C44,'_METADATA_TEMPLATE'!$B$2:$H$826,6,FALSE),"")</f>
        <v>Nama dari Lookup</v>
      </c>
      <c r="H44" s="2" t="str">
        <f>IFERROR(VLOOKUP($C44,'_METADATA_TEMPLATE'!$B$2:$H$826,7,FALSE),"")</f>
        <v>Variable</v>
      </c>
      <c r="I44" s="2" t="str">
        <f>IFERROR(VLOOKUP(C44,'_METADATA_DEFAULT'!$A:$B,2,FALSE),"")</f>
        <v/>
      </c>
    </row>
    <row r="45" ht="15.75" customHeight="1">
      <c r="A45" s="3" t="s">
        <v>332</v>
      </c>
      <c r="B45" s="3" t="s">
        <v>403</v>
      </c>
      <c r="C45" s="3" t="s">
        <v>403</v>
      </c>
      <c r="D45" s="3">
        <f>IFERROR(VLOOKUP($C45,'_METADATA_TEMPLATE'!$B$2:$H$826,2,FALSE),"")</f>
        <v>33</v>
      </c>
      <c r="E45" s="3" t="str">
        <f>IFERROR(VLOOKUP($C45,'_METADATA_TEMPLATE'!$B$2:$H$826,4,FALSE),"")</f>
        <v>SE2026 - P</v>
      </c>
      <c r="F45" s="3" t="str">
        <f>IFERROR(VLOOKUP($C45,'_METADATA_TEMPLATE'!$B$2:$H$826,5,FALSE),"")</f>
        <v/>
      </c>
      <c r="G45" s="3" t="str">
        <f>IFERROR(VLOOKUP($C45,'_METADATA_TEMPLATE'!$B$2:$H$826,6,FALSE),"")</f>
        <v>Nama Bangunan/ Usaha/ Perusahaan $ket</v>
      </c>
      <c r="H45" s="3" t="str">
        <f>IFERROR(VLOOKUP($C45,'_METADATA_TEMPLATE'!$B$2:$H$826,7,FALSE),"")</f>
        <v>Text Input</v>
      </c>
      <c r="I45" s="3" t="str">
        <f>IFERROR(VLOOKUP(C45,'_METADATA_DEFAULT'!$A:$B,2,FALSE),"")</f>
        <v/>
      </c>
    </row>
    <row r="46" ht="15.75" customHeight="1">
      <c r="A46" s="2" t="s">
        <v>332</v>
      </c>
      <c r="B46" s="2" t="s">
        <v>404</v>
      </c>
      <c r="C46" s="2" t="s">
        <v>404</v>
      </c>
      <c r="D46" s="2">
        <f>IFERROR(VLOOKUP($C46,'_METADATA_TEMPLATE'!$B$2:$H$826,2,FALSE),"")</f>
        <v>34</v>
      </c>
      <c r="E46" s="2" t="str">
        <f>IFERROR(VLOOKUP($C46,'_METADATA_TEMPLATE'!$B$2:$H$826,4,FALSE),"")</f>
        <v>SE2026 - P</v>
      </c>
      <c r="F46" s="2" t="str">
        <f>IFERROR(VLOOKUP($C46,'_METADATA_TEMPLATE'!$B$2:$H$826,5,FALSE),"")</f>
        <v/>
      </c>
      <c r="G46" s="2" t="str">
        <f>IFERROR(VLOOKUP($C46,'_METADATA_TEMPLATE'!$B$2:$H$826,6,FALSE),"")</f>
        <v>Nomor KK $ket</v>
      </c>
      <c r="H46" s="2" t="str">
        <f>IFERROR(VLOOKUP($C46,'_METADATA_TEMPLATE'!$B$2:$H$826,7,FALSE),"")</f>
        <v>Text Input</v>
      </c>
      <c r="I46" s="2" t="str">
        <f>IFERROR(VLOOKUP(C46,'_METADATA_DEFAULT'!$A:$B,2,FALSE),"")</f>
        <v/>
      </c>
    </row>
    <row r="47" ht="15.75" customHeight="1">
      <c r="A47" s="3" t="s">
        <v>332</v>
      </c>
      <c r="B47" s="3" t="s">
        <v>406</v>
      </c>
      <c r="C47" s="3" t="s">
        <v>406</v>
      </c>
      <c r="D47" s="3">
        <f>IFERROR(VLOOKUP($C47,'_METADATA_TEMPLATE'!$B$2:$H$826,2,FALSE),"")</f>
        <v>35</v>
      </c>
      <c r="E47" s="3" t="str">
        <f>IFERROR(VLOOKUP($C47,'_METADATA_TEMPLATE'!$B$2:$H$826,4,FALSE),"")</f>
        <v>SE2026 - P</v>
      </c>
      <c r="F47" s="3" t="str">
        <f>IFERROR(VLOOKUP($C47,'_METADATA_TEMPLATE'!$B$2:$H$826,5,FALSE),"")</f>
        <v/>
      </c>
      <c r="G47" s="3" t="str">
        <f>IFERROR(VLOOKUP($C47,'_METADATA_TEMPLATE'!$B$2:$H$826,6,FALSE),"")</f>
        <v>NIK $ket</v>
      </c>
      <c r="H47" s="3" t="str">
        <f>IFERROR(VLOOKUP($C47,'_METADATA_TEMPLATE'!$B$2:$H$826,7,FALSE),"")</f>
        <v>Text Input</v>
      </c>
      <c r="I47" s="3" t="str">
        <f>IFERROR(VLOOKUP(C47,'_METADATA_DEFAULT'!$A:$B,2,FALSE),"")</f>
        <v/>
      </c>
    </row>
    <row r="48" ht="15.75" customHeight="1">
      <c r="A48" s="2" t="s">
        <v>332</v>
      </c>
      <c r="B48" s="2" t="s">
        <v>409</v>
      </c>
      <c r="C48" s="2" t="s">
        <v>409</v>
      </c>
      <c r="D48" s="2">
        <f>IFERROR(VLOOKUP($C48,'_METADATA_TEMPLATE'!$B$2:$H$826,2,FALSE),"")</f>
        <v>36</v>
      </c>
      <c r="E48" s="2" t="str">
        <f>IFERROR(VLOOKUP($C48,'_METADATA_TEMPLATE'!$B$2:$H$826,4,FALSE),"")</f>
        <v>SE2026 - P</v>
      </c>
      <c r="F48" s="2" t="str">
        <f>IFERROR(VLOOKUP($C48,'_METADATA_TEMPLATE'!$B$2:$H$826,5,FALSE),"")</f>
        <v/>
      </c>
      <c r="G48" s="2" t="str">
        <f>IFERROR(VLOOKUP($C48,'_METADATA_TEMPLATE'!$B$2:$H$826,6,FALSE),"")</f>
        <v>Nama Kepala Keluarga (KK) $ket</v>
      </c>
      <c r="H48" s="2" t="str">
        <f>IFERROR(VLOOKUP($C48,'_METADATA_TEMPLATE'!$B$2:$H$826,7,FALSE),"")</f>
        <v>Text Input</v>
      </c>
      <c r="I48" s="2" t="str">
        <f>IFERROR(VLOOKUP(C48,'_METADATA_DEFAULT'!$A:$B,2,FALSE),"")</f>
        <v/>
      </c>
    </row>
    <row r="49" ht="15.75" customHeight="1">
      <c r="A49" s="3" t="s">
        <v>332</v>
      </c>
      <c r="B49" s="3" t="s">
        <v>410</v>
      </c>
      <c r="C49" s="3" t="s">
        <v>410</v>
      </c>
      <c r="D49" s="3">
        <f>IFERROR(VLOOKUP($C49,'_METADATA_TEMPLATE'!$B$2:$H$826,2,FALSE),"")</f>
        <v>37</v>
      </c>
      <c r="E49" s="3" t="str">
        <f>IFERROR(VLOOKUP($C49,'_METADATA_TEMPLATE'!$B$2:$H$826,4,FALSE),"")</f>
        <v>SE2026 - P</v>
      </c>
      <c r="F49" s="3" t="str">
        <f>IFERROR(VLOOKUP($C49,'_METADATA_TEMPLATE'!$B$2:$H$826,5,FALSE),"")</f>
        <v/>
      </c>
      <c r="G49" s="3" t="str">
        <f>IFERROR(VLOOKUP($C49,'_METADATA_TEMPLATE'!$B$2:$H$826,6,FALSE),"")</f>
        <v>‎ Hasil Pengecekan NIK</v>
      </c>
      <c r="H49" s="3" t="str">
        <f>IFERROR(VLOOKUP($C49,'_METADATA_TEMPLATE'!$B$2:$H$826,7,FALSE),"")</f>
        <v>Variable</v>
      </c>
      <c r="I49" s="3" t="str">
        <f>IFERROR(VLOOKUP(C49,'_METADATA_DEFAULT'!$A:$B,2,FALSE),"")</f>
        <v/>
      </c>
    </row>
    <row r="50" ht="15.75" customHeight="1">
      <c r="A50" s="2" t="s">
        <v>332</v>
      </c>
      <c r="B50" s="2" t="s">
        <v>412</v>
      </c>
      <c r="C50" s="2" t="s">
        <v>412</v>
      </c>
      <c r="D50" s="2">
        <f>IFERROR(VLOOKUP($C50,'_METADATA_TEMPLATE'!$B$2:$H$826,2,FALSE),"")</f>
        <v>38</v>
      </c>
      <c r="E50" s="2" t="str">
        <f>IFERROR(VLOOKUP($C50,'_METADATA_TEMPLATE'!$B$2:$H$826,4,FALSE),"")</f>
        <v>SE2026 - P</v>
      </c>
      <c r="F50" s="2" t="str">
        <f>IFERROR(VLOOKUP($C50,'_METADATA_TEMPLATE'!$B$2:$H$826,5,FALSE),"")</f>
        <v/>
      </c>
      <c r="G50" s="2" t="str">
        <f>IFERROR(VLOOKUP($C50,'_METADATA_TEMPLATE'!$B$2:$H$826,6,FALSE),"")</f>
        <v>Nama Anggota Keluarga Lainnya $ket</v>
      </c>
      <c r="H50" s="2" t="str">
        <f>IFERROR(VLOOKUP($C50,'_METADATA_TEMPLATE'!$B$2:$H$826,7,FALSE),"")</f>
        <v>Text Input</v>
      </c>
      <c r="I50" s="2" t="str">
        <f>IFERROR(VLOOKUP(C50,'_METADATA_DEFAULT'!$A:$B,2,FALSE),"")</f>
        <v/>
      </c>
    </row>
    <row r="51" ht="15.75" customHeight="1">
      <c r="A51" s="3" t="s">
        <v>332</v>
      </c>
      <c r="B51" s="3" t="s">
        <v>413</v>
      </c>
      <c r="C51" s="3" t="s">
        <v>413</v>
      </c>
      <c r="D51" s="3">
        <f>IFERROR(VLOOKUP($C51,'_METADATA_TEMPLATE'!$B$2:$H$826,2,FALSE),"")</f>
        <v>39</v>
      </c>
      <c r="E51" s="3" t="str">
        <f>IFERROR(VLOOKUP($C51,'_METADATA_TEMPLATE'!$B$2:$H$826,4,FALSE),"")</f>
        <v>SE2026 - P</v>
      </c>
      <c r="F51" s="3" t="str">
        <f>IFERROR(VLOOKUP($C51,'_METADATA_TEMPLATE'!$B$2:$H$826,5,FALSE),"")</f>
        <v/>
      </c>
      <c r="G51" s="3" t="str">
        <f>IFERROR(VLOOKUP($C51,'_METADATA_TEMPLATE'!$B$2:$H$826,6,FALSE),"")</f>
        <v>Alamat dari lookup</v>
      </c>
      <c r="H51" s="3" t="str">
        <f>IFERROR(VLOOKUP($C51,'_METADATA_TEMPLATE'!$B$2:$H$826,7,FALSE),"")</f>
        <v>Variable</v>
      </c>
      <c r="I51" s="3" t="str">
        <f>IFERROR(VLOOKUP(C51,'_METADATA_DEFAULT'!$A:$B,2,FALSE),"")</f>
        <v/>
      </c>
    </row>
    <row r="52" ht="15.75" customHeight="1">
      <c r="A52" s="2" t="s">
        <v>332</v>
      </c>
      <c r="B52" s="2" t="s">
        <v>415</v>
      </c>
      <c r="C52" s="2" t="s">
        <v>415</v>
      </c>
      <c r="D52" s="2">
        <f>IFERROR(VLOOKUP($C52,'_METADATA_TEMPLATE'!$B$2:$H$826,2,FALSE),"")</f>
        <v>40</v>
      </c>
      <c r="E52" s="2" t="str">
        <f>IFERROR(VLOOKUP($C52,'_METADATA_TEMPLATE'!$B$2:$H$826,4,FALSE),"")</f>
        <v>SE2026 - P</v>
      </c>
      <c r="F52" s="2" t="str">
        <f>IFERROR(VLOOKUP($C52,'_METADATA_TEMPLATE'!$B$2:$H$826,5,FALSE),"")</f>
        <v/>
      </c>
      <c r="G52" s="2" t="str">
        <f>IFERROR(VLOOKUP($C52,'_METADATA_TEMPLATE'!$B$2:$H$826,6,FALSE),"")</f>
        <v>Jumlah Usaha yang Dimiliki Seluruh Anggota Keluarga (Sumber: UMKM dan ST2023)</v>
      </c>
      <c r="H52" s="2" t="str">
        <f>IFERROR(VLOOKUP($C52,'_METADATA_TEMPLATE'!$B$2:$H$826,7,FALSE),"")</f>
        <v>Text Input</v>
      </c>
      <c r="I52" s="2" t="str">
        <f>IFERROR(VLOOKUP(C52,'_METADATA_DEFAULT'!$A:$B,2,FALSE),"")</f>
        <v/>
      </c>
    </row>
    <row r="53" ht="15.75" customHeight="1">
      <c r="A53" s="3" t="s">
        <v>332</v>
      </c>
      <c r="B53" s="3" t="s">
        <v>416</v>
      </c>
      <c r="C53" s="3" t="s">
        <v>418</v>
      </c>
      <c r="D53" s="3">
        <f>IFERROR(VLOOKUP($C53,'_METADATA_TEMPLATE'!$B$2:$H$826,2,FALSE),"")</f>
        <v>41</v>
      </c>
      <c r="E53" s="3" t="str">
        <f>IFERROR(VLOOKUP($C53,'_METADATA_TEMPLATE'!$B$2:$H$826,4,FALSE),"")</f>
        <v>SE2026 - P</v>
      </c>
      <c r="F53" s="3" t="str">
        <f>IFERROR(VLOOKUP($C53,'_METADATA_TEMPLATE'!$B$2:$H$826,5,FALSE),"")</f>
        <v/>
      </c>
      <c r="G53" s="3" t="str">
        <f>IFERROR(VLOOKUP($C53,'_METADATA_TEMPLATE'!$B$2:$H$826,6,FALSE),"")</f>
        <v>Keberadaan Keluarga</v>
      </c>
      <c r="H53" s="3" t="str">
        <f>IFERROR(VLOOKUP($C53,'_METADATA_TEMPLATE'!$B$2:$H$826,7,FALSE),"")</f>
        <v>Radio Group</v>
      </c>
      <c r="I53" s="3" t="str">
        <f>IFERROR(VLOOKUP(C53,'_METADATA_DEFAULT'!$A:$B,2,FALSE),"")</f>
        <v/>
      </c>
    </row>
    <row r="54" ht="15.75" customHeight="1">
      <c r="A54" s="2" t="s">
        <v>332</v>
      </c>
      <c r="B54" s="2" t="s">
        <v>419</v>
      </c>
      <c r="C54" s="2" t="s">
        <v>418</v>
      </c>
      <c r="D54" s="2">
        <f>IFERROR(VLOOKUP($C54,'_METADATA_TEMPLATE'!$B$2:$H$826,2,FALSE),"")</f>
        <v>41</v>
      </c>
      <c r="E54" s="2" t="str">
        <f>IFERROR(VLOOKUP($C54,'_METADATA_TEMPLATE'!$B$2:$H$826,4,FALSE),"")</f>
        <v>SE2026 - P</v>
      </c>
      <c r="F54" s="2" t="str">
        <f>IFERROR(VLOOKUP($C54,'_METADATA_TEMPLATE'!$B$2:$H$826,5,FALSE),"")</f>
        <v/>
      </c>
      <c r="G54" s="2" t="str">
        <f>IFERROR(VLOOKUP($C54,'_METADATA_TEMPLATE'!$B$2:$H$826,6,FALSE),"")</f>
        <v>Keberadaan Keluarga</v>
      </c>
      <c r="H54" s="2" t="str">
        <f>IFERROR(VLOOKUP($C54,'_METADATA_TEMPLATE'!$B$2:$H$826,7,FALSE),"")</f>
        <v>Radio Group</v>
      </c>
      <c r="I54" s="2" t="str">
        <f>IFERROR(VLOOKUP(C54,'_METADATA_DEFAULT'!$A:$B,2,FALSE),"")</f>
        <v/>
      </c>
    </row>
    <row r="55" ht="15.75" customHeight="1">
      <c r="A55" s="3" t="s">
        <v>332</v>
      </c>
      <c r="B55" s="3" t="s">
        <v>421</v>
      </c>
      <c r="C55" s="3" t="s">
        <v>422</v>
      </c>
      <c r="D55" s="3">
        <f>IFERROR(VLOOKUP($C55,'_METADATA_TEMPLATE'!$B$2:$H$826,2,FALSE),"")</f>
        <v>42</v>
      </c>
      <c r="E55" s="3" t="str">
        <f>IFERROR(VLOOKUP($C55,'_METADATA_TEMPLATE'!$B$2:$H$826,4,FALSE),"")</f>
        <v>SE2026 - P</v>
      </c>
      <c r="F55" s="3" t="str">
        <f>IFERROR(VLOOKUP($C55,'_METADATA_TEMPLATE'!$B$2:$H$826,5,FALSE),"")</f>
        <v/>
      </c>
      <c r="G55" s="3" t="str">
        <f>IFERROR(VLOOKUP($C55,'_METADATA_TEMPLATE'!$B$2:$H$826,6,FALSE),"")</f>
        <v>Keberadaan Bangunan Lainnya/ Usaha</v>
      </c>
      <c r="H55" s="3" t="str">
        <f>IFERROR(VLOOKUP($C55,'_METADATA_TEMPLATE'!$B$2:$H$826,7,FALSE),"")</f>
        <v>Radio Group</v>
      </c>
      <c r="I55" s="3" t="str">
        <f>IFERROR(VLOOKUP(C55,'_METADATA_DEFAULT'!$A:$B,2,FALSE),"")</f>
        <v/>
      </c>
    </row>
    <row r="56" ht="15.75" customHeight="1">
      <c r="A56" s="2" t="s">
        <v>332</v>
      </c>
      <c r="B56" s="2" t="s">
        <v>423</v>
      </c>
      <c r="C56" s="2" t="s">
        <v>422</v>
      </c>
      <c r="D56" s="2">
        <f>IFERROR(VLOOKUP($C56,'_METADATA_TEMPLATE'!$B$2:$H$826,2,FALSE),"")</f>
        <v>42</v>
      </c>
      <c r="E56" s="2" t="str">
        <f>IFERROR(VLOOKUP($C56,'_METADATA_TEMPLATE'!$B$2:$H$826,4,FALSE),"")</f>
        <v>SE2026 - P</v>
      </c>
      <c r="F56" s="2" t="str">
        <f>IFERROR(VLOOKUP($C56,'_METADATA_TEMPLATE'!$B$2:$H$826,5,FALSE),"")</f>
        <v/>
      </c>
      <c r="G56" s="2" t="str">
        <f>IFERROR(VLOOKUP($C56,'_METADATA_TEMPLATE'!$B$2:$H$826,6,FALSE),"")</f>
        <v>Keberadaan Bangunan Lainnya/ Usaha</v>
      </c>
      <c r="H56" s="2" t="str">
        <f>IFERROR(VLOOKUP($C56,'_METADATA_TEMPLATE'!$B$2:$H$826,7,FALSE),"")</f>
        <v>Radio Group</v>
      </c>
      <c r="I56" s="2" t="str">
        <f>IFERROR(VLOOKUP(C56,'_METADATA_DEFAULT'!$A:$B,2,FALSE),"")</f>
        <v/>
      </c>
    </row>
    <row r="57" ht="15.75" customHeight="1">
      <c r="A57" s="3" t="s">
        <v>332</v>
      </c>
      <c r="B57" s="3" t="s">
        <v>425</v>
      </c>
      <c r="C57" s="3" t="s">
        <v>425</v>
      </c>
      <c r="D57" s="3">
        <f>IFERROR(VLOOKUP($C57,'_METADATA_TEMPLATE'!$B$2:$H$826,2,FALSE),"")</f>
        <v>43</v>
      </c>
      <c r="E57" s="3" t="str">
        <f>IFERROR(VLOOKUP($C57,'_METADATA_TEMPLATE'!$B$2:$H$826,4,FALSE),"")</f>
        <v>SE2026 - P</v>
      </c>
      <c r="F57" s="3" t="str">
        <f>IFERROR(VLOOKUP($C57,'_METADATA_TEMPLATE'!$B$2:$H$826,5,FALSE),"")</f>
        <v/>
      </c>
      <c r="G57" s="3" t="str">
        <f>IFERROR(VLOOKUP($C57,'_METADATA_TEMPLATE'!$B$2:$H$826,6,FALSE),"")</f>
        <v>Alamat (Prelist)</v>
      </c>
      <c r="H57" s="3" t="str">
        <f>IFERROR(VLOOKUP($C57,'_METADATA_TEMPLATE'!$B$2:$H$826,7,FALSE),"")</f>
        <v>Text Area</v>
      </c>
      <c r="I57" s="3" t="str">
        <f>IFERROR(VLOOKUP(C57,'_METADATA_DEFAULT'!$A:$B,2,FALSE),"")</f>
        <v/>
      </c>
    </row>
    <row r="58" ht="15.75" customHeight="1">
      <c r="A58" s="2" t="s">
        <v>332</v>
      </c>
      <c r="B58" s="2" t="s">
        <v>427</v>
      </c>
      <c r="C58" s="2" t="s">
        <v>427</v>
      </c>
      <c r="D58" s="2">
        <f>IFERROR(VLOOKUP($C58,'_METADATA_TEMPLATE'!$B$2:$H$826,2,FALSE),"")</f>
        <v>44</v>
      </c>
      <c r="E58" s="2" t="str">
        <f>IFERROR(VLOOKUP($C58,'_METADATA_TEMPLATE'!$B$2:$H$826,4,FALSE),"")</f>
        <v>SE2026 - P</v>
      </c>
      <c r="F58" s="2" t="str">
        <f>IFERROR(VLOOKUP($C58,'_METADATA_TEMPLATE'!$B$2:$H$826,5,FALSE),"")</f>
        <v/>
      </c>
      <c r="G58" s="2" t="str">
        <f>IFERROR(VLOOKUP($C58,'_METADATA_TEMPLATE'!$B$2:$H$826,6,FALSE),"")</f>
        <v>Nama Jalan/Gang/Komplek/Gedung/dll (Tuliskan dengan rinci)</v>
      </c>
      <c r="H58" s="2" t="str">
        <f>IFERROR(VLOOKUP($C58,'_METADATA_TEMPLATE'!$B$2:$H$826,7,FALSE),"")</f>
        <v>Text Area</v>
      </c>
      <c r="I58" s="2" t="str">
        <f>IFERROR(VLOOKUP(C58,'_METADATA_DEFAULT'!$A:$B,2,FALSE),"")</f>
        <v/>
      </c>
    </row>
    <row r="59" ht="15.75" customHeight="1">
      <c r="A59" s="3" t="s">
        <v>332</v>
      </c>
      <c r="B59" s="3" t="s">
        <v>429</v>
      </c>
      <c r="C59" s="3" t="s">
        <v>429</v>
      </c>
      <c r="D59" s="3">
        <f>IFERROR(VLOOKUP($C59,'_METADATA_TEMPLATE'!$B$2:$H$826,2,FALSE),"")</f>
        <v>45</v>
      </c>
      <c r="E59" s="3" t="str">
        <f>IFERROR(VLOOKUP($C59,'_METADATA_TEMPLATE'!$B$2:$H$826,4,FALSE),"")</f>
        <v>SE2026 - P</v>
      </c>
      <c r="F59" s="3" t="str">
        <f>IFERROR(VLOOKUP($C59,'_METADATA_TEMPLATE'!$B$2:$H$826,5,FALSE),"")</f>
        <v/>
      </c>
      <c r="G59" s="3" t="str">
        <f>IFERROR(VLOOKUP($C59,'_METADATA_TEMPLATE'!$B$2:$H$826,6,FALSE),"")</f>
        <v>Blok/Nomor Rumah (Jika tidak ada nomor rumah, tulis strip (-))</v>
      </c>
      <c r="H59" s="3" t="str">
        <f>IFERROR(VLOOKUP($C59,'_METADATA_TEMPLATE'!$B$2:$H$826,7,FALSE),"")</f>
        <v>Text Input</v>
      </c>
      <c r="I59" s="3" t="str">
        <f>IFERROR(VLOOKUP(C59,'_METADATA_DEFAULT'!$A:$B,2,FALSE),"")</f>
        <v/>
      </c>
    </row>
    <row r="60" ht="15.75" customHeight="1">
      <c r="A60" s="2" t="s">
        <v>332</v>
      </c>
      <c r="B60" s="2" t="s">
        <v>430</v>
      </c>
      <c r="C60" s="2" t="s">
        <v>431</v>
      </c>
      <c r="D60" s="2">
        <f>IFERROR(VLOOKUP($C60,'_METADATA_TEMPLATE'!$B$2:$H$826,2,FALSE),"")</f>
        <v>46</v>
      </c>
      <c r="E60" s="2" t="str">
        <f>IFERROR(VLOOKUP($C60,'_METADATA_TEMPLATE'!$B$2:$H$826,4,FALSE),"")</f>
        <v>SE2026 - P</v>
      </c>
      <c r="F60" s="2" t="str">
        <f>IFERROR(VLOOKUP($C60,'_METADATA_TEMPLATE'!$B$2:$H$826,5,FALSE),"")</f>
        <v/>
      </c>
      <c r="G60" s="2" t="str">
        <f>IFERROR(VLOOKUP($C60,'_METADATA_TEMPLATE'!$B$2:$H$826,6,FALSE),"")</f>
        <v>Apakah alamat tersebut sesuai dengan alamat pada Kartu Keluarga?</v>
      </c>
      <c r="H60" s="2" t="str">
        <f>IFERROR(VLOOKUP($C60,'_METADATA_TEMPLATE'!$B$2:$H$826,7,FALSE),"")</f>
        <v>Radio Group</v>
      </c>
      <c r="I60" s="2" t="str">
        <f>IFERROR(VLOOKUP(C60,'_METADATA_DEFAULT'!$A:$B,2,FALSE),"")</f>
        <v/>
      </c>
    </row>
    <row r="61" ht="15.75" customHeight="1">
      <c r="A61" s="3" t="s">
        <v>332</v>
      </c>
      <c r="B61" s="3" t="s">
        <v>433</v>
      </c>
      <c r="C61" s="3" t="s">
        <v>431</v>
      </c>
      <c r="D61" s="3">
        <f>IFERROR(VLOOKUP($C61,'_METADATA_TEMPLATE'!$B$2:$H$826,2,FALSE),"")</f>
        <v>46</v>
      </c>
      <c r="E61" s="3" t="str">
        <f>IFERROR(VLOOKUP($C61,'_METADATA_TEMPLATE'!$B$2:$H$826,4,FALSE),"")</f>
        <v>SE2026 - P</v>
      </c>
      <c r="F61" s="3" t="str">
        <f>IFERROR(VLOOKUP($C61,'_METADATA_TEMPLATE'!$B$2:$H$826,5,FALSE),"")</f>
        <v/>
      </c>
      <c r="G61" s="3" t="str">
        <f>IFERROR(VLOOKUP($C61,'_METADATA_TEMPLATE'!$B$2:$H$826,6,FALSE),"")</f>
        <v>Apakah alamat tersebut sesuai dengan alamat pada Kartu Keluarga?</v>
      </c>
      <c r="H61" s="3" t="str">
        <f>IFERROR(VLOOKUP($C61,'_METADATA_TEMPLATE'!$B$2:$H$826,7,FALSE),"")</f>
        <v>Radio Group</v>
      </c>
      <c r="I61" s="3" t="str">
        <f>IFERROR(VLOOKUP(C61,'_METADATA_DEFAULT'!$A:$B,2,FALSE),"")</f>
        <v/>
      </c>
    </row>
    <row r="62" ht="15.75" customHeight="1">
      <c r="A62" s="2" t="s">
        <v>332</v>
      </c>
      <c r="B62" s="2" t="s">
        <v>434</v>
      </c>
      <c r="C62" s="2" t="s">
        <v>434</v>
      </c>
      <c r="D62" s="2">
        <f>IFERROR(VLOOKUP($C62,'_METADATA_TEMPLATE'!$B$2:$H$826,2,FALSE),"")</f>
        <v>48</v>
      </c>
      <c r="E62" s="2" t="str">
        <f>IFERROR(VLOOKUP($C62,'_METADATA_TEMPLATE'!$B$2:$H$826,4,FALSE),"")</f>
        <v>SE2026 - P</v>
      </c>
      <c r="F62" s="2" t="str">
        <f>IFERROR(VLOOKUP($C62,'_METADATA_TEMPLATE'!$B$2:$H$826,5,FALSE),"")</f>
        <v/>
      </c>
      <c r="G62" s="2" t="str">
        <f>IFERROR(VLOOKUP($C62,'_METADATA_TEMPLATE'!$B$2:$H$826,6,FALSE),"")</f>
        <v>NOMOR URUT BANGUNAN TERBESAR:</v>
      </c>
      <c r="H62" s="2" t="str">
        <f>IFERROR(VLOOKUP($C62,'_METADATA_TEMPLATE'!$B$2:$H$826,7,FALSE),"")</f>
        <v>Variable</v>
      </c>
      <c r="I62" s="2" t="str">
        <f>IFERROR(VLOOKUP(C62,'_METADATA_DEFAULT'!$A:$B,2,FALSE),"")</f>
        <v/>
      </c>
    </row>
    <row r="63" ht="15.75" customHeight="1">
      <c r="A63" s="3" t="s">
        <v>332</v>
      </c>
      <c r="B63" s="3" t="s">
        <v>436</v>
      </c>
      <c r="C63" s="3" t="s">
        <v>436</v>
      </c>
      <c r="D63" s="3">
        <f>IFERROR(VLOOKUP($C63,'_METADATA_TEMPLATE'!$B$2:$H$826,2,FALSE),"")</f>
        <v>49</v>
      </c>
      <c r="E63" s="3" t="str">
        <f>IFERROR(VLOOKUP($C63,'_METADATA_TEMPLATE'!$B$2:$H$826,4,FALSE),"")</f>
        <v>SE2026 - P</v>
      </c>
      <c r="F63" s="3" t="str">
        <f>IFERROR(VLOOKUP($C63,'_METADATA_TEMPLATE'!$B$2:$H$826,5,FALSE),"")</f>
        <v/>
      </c>
      <c r="G63" s="3" t="str">
        <f>IFERROR(VLOOKUP($C63,'_METADATA_TEMPLATE'!$B$2:$H$826,6,FALSE),"")</f>
        <v>Nomor Urut Bangunan</v>
      </c>
      <c r="H63" s="3" t="str">
        <f>IFERROR(VLOOKUP($C63,'_METADATA_TEMPLATE'!$B$2:$H$826,7,FALSE),"")</f>
        <v>Number</v>
      </c>
      <c r="I63" s="3" t="str">
        <f>IFERROR(VLOOKUP(C63,'_METADATA_DEFAULT'!$A:$B,2,FALSE),"")</f>
        <v/>
      </c>
    </row>
    <row r="64" ht="15.75" customHeight="1">
      <c r="A64" s="2" t="s">
        <v>332</v>
      </c>
      <c r="B64" s="2" t="s">
        <v>438</v>
      </c>
      <c r="C64" s="2" t="s">
        <v>439</v>
      </c>
      <c r="D64" s="2">
        <f>IFERROR(VLOOKUP($C64,'_METADATA_TEMPLATE'!$B$2:$H$826,2,FALSE),"")</f>
        <v>50</v>
      </c>
      <c r="E64" s="2" t="str">
        <f>IFERROR(VLOOKUP($C64,'_METADATA_TEMPLATE'!$B$2:$H$826,4,FALSE),"")</f>
        <v>SE2026 - P</v>
      </c>
      <c r="F64" s="2" t="str">
        <f>IFERROR(VLOOKUP($C64,'_METADATA_TEMPLATE'!$B$2:$H$826,5,FALSE),"")</f>
        <v/>
      </c>
      <c r="G64" s="2" t="str">
        <f>IFERROR(VLOOKUP($C64,'_METADATA_TEMPLATE'!$B$2:$H$826,6,FALSE),"")</f>
        <v>Kode Penggunaan Bangunan</v>
      </c>
      <c r="H64" s="2" t="str">
        <f>IFERROR(VLOOKUP($C64,'_METADATA_TEMPLATE'!$B$2:$H$826,7,FALSE),"")</f>
        <v>Radio Group</v>
      </c>
      <c r="I64" s="2" t="str">
        <f>IFERROR(VLOOKUP(C64,'_METADATA_DEFAULT'!$A:$B,2,FALSE),"")</f>
        <v/>
      </c>
    </row>
    <row r="65" ht="15.75" customHeight="1">
      <c r="A65" s="3" t="s">
        <v>332</v>
      </c>
      <c r="B65" s="3" t="s">
        <v>441</v>
      </c>
      <c r="C65" s="3" t="s">
        <v>439</v>
      </c>
      <c r="D65" s="3">
        <f>IFERROR(VLOOKUP($C65,'_METADATA_TEMPLATE'!$B$2:$H$826,2,FALSE),"")</f>
        <v>50</v>
      </c>
      <c r="E65" s="3" t="str">
        <f>IFERROR(VLOOKUP($C65,'_METADATA_TEMPLATE'!$B$2:$H$826,4,FALSE),"")</f>
        <v>SE2026 - P</v>
      </c>
      <c r="F65" s="3" t="str">
        <f>IFERROR(VLOOKUP($C65,'_METADATA_TEMPLATE'!$B$2:$H$826,5,FALSE),"")</f>
        <v/>
      </c>
      <c r="G65" s="3" t="str">
        <f>IFERROR(VLOOKUP($C65,'_METADATA_TEMPLATE'!$B$2:$H$826,6,FALSE),"")</f>
        <v>Kode Penggunaan Bangunan</v>
      </c>
      <c r="H65" s="3" t="str">
        <f>IFERROR(VLOOKUP($C65,'_METADATA_TEMPLATE'!$B$2:$H$826,7,FALSE),"")</f>
        <v>Radio Group</v>
      </c>
      <c r="I65" s="3" t="str">
        <f>IFERROR(VLOOKUP(C65,'_METADATA_DEFAULT'!$A:$B,2,FALSE),"")</f>
        <v/>
      </c>
    </row>
    <row r="66" ht="15.75" customHeight="1">
      <c r="A66" s="2" t="s">
        <v>332</v>
      </c>
      <c r="B66" s="2" t="s">
        <v>442</v>
      </c>
      <c r="C66" s="2" t="s">
        <v>443</v>
      </c>
      <c r="D66" s="2">
        <f>IFERROR(VLOOKUP($C66,'_METADATA_TEMPLATE'!$B$2:$H$826,2,FALSE),"")</f>
        <v>51</v>
      </c>
      <c r="E66" s="2" t="str">
        <f>IFERROR(VLOOKUP($C66,'_METADATA_TEMPLATE'!$B$2:$H$826,4,FALSE),"")</f>
        <v>SE2026 - P</v>
      </c>
      <c r="F66" s="2" t="str">
        <f>IFERROR(VLOOKUP($C66,'_METADATA_TEMPLATE'!$B$2:$H$826,5,FALSE),"")</f>
        <v/>
      </c>
      <c r="G66" s="2" t="str">
        <f>IFERROR(VLOOKUP($C66,'_METADATA_TEMPLATE'!$B$2:$H$826,6,FALSE),"")</f>
        <v>Geotagging</v>
      </c>
      <c r="H66" s="2" t="str">
        <f>IFERROR(VLOOKUP($C66,'_METADATA_TEMPLATE'!$B$2:$H$826,7,FALSE),"")</f>
        <v>GpsInput</v>
      </c>
      <c r="I66" s="2" t="str">
        <f>IFERROR(VLOOKUP(C66,'_METADATA_DEFAULT'!$A:$B,2,FALSE),"")</f>
        <v/>
      </c>
    </row>
    <row r="67" ht="15.75" customHeight="1">
      <c r="A67" s="3" t="s">
        <v>332</v>
      </c>
      <c r="B67" s="3" t="s">
        <v>444</v>
      </c>
      <c r="C67" s="3" t="s">
        <v>443</v>
      </c>
      <c r="D67" s="3">
        <f>IFERROR(VLOOKUP($C67,'_METADATA_TEMPLATE'!$B$2:$H$826,2,FALSE),"")</f>
        <v>51</v>
      </c>
      <c r="E67" s="3" t="str">
        <f>IFERROR(VLOOKUP($C67,'_METADATA_TEMPLATE'!$B$2:$H$826,4,FALSE),"")</f>
        <v>SE2026 - P</v>
      </c>
      <c r="F67" s="3" t="str">
        <f>IFERROR(VLOOKUP($C67,'_METADATA_TEMPLATE'!$B$2:$H$826,5,FALSE),"")</f>
        <v/>
      </c>
      <c r="G67" s="3" t="str">
        <f>IFERROR(VLOOKUP($C67,'_METADATA_TEMPLATE'!$B$2:$H$826,6,FALSE),"")</f>
        <v>Geotagging</v>
      </c>
      <c r="H67" s="3" t="str">
        <f>IFERROR(VLOOKUP($C67,'_METADATA_TEMPLATE'!$B$2:$H$826,7,FALSE),"")</f>
        <v>GpsInput</v>
      </c>
      <c r="I67" s="3" t="str">
        <f>IFERROR(VLOOKUP(C67,'_METADATA_DEFAULT'!$A:$B,2,FALSE),"")</f>
        <v/>
      </c>
    </row>
    <row r="68" ht="15.75" customHeight="1">
      <c r="A68" s="2" t="s">
        <v>332</v>
      </c>
      <c r="B68" s="2" t="s">
        <v>446</v>
      </c>
      <c r="C68" s="2" t="s">
        <v>443</v>
      </c>
      <c r="D68" s="2">
        <f>IFERROR(VLOOKUP($C68,'_METADATA_TEMPLATE'!$B$2:$H$826,2,FALSE),"")</f>
        <v>51</v>
      </c>
      <c r="E68" s="2" t="str">
        <f>IFERROR(VLOOKUP($C68,'_METADATA_TEMPLATE'!$B$2:$H$826,4,FALSE),"")</f>
        <v>SE2026 - P</v>
      </c>
      <c r="F68" s="2" t="str">
        <f>IFERROR(VLOOKUP($C68,'_METADATA_TEMPLATE'!$B$2:$H$826,5,FALSE),"")</f>
        <v/>
      </c>
      <c r="G68" s="2" t="str">
        <f>IFERROR(VLOOKUP($C68,'_METADATA_TEMPLATE'!$B$2:$H$826,6,FALSE),"")</f>
        <v>Geotagging</v>
      </c>
      <c r="H68" s="2" t="str">
        <f>IFERROR(VLOOKUP($C68,'_METADATA_TEMPLATE'!$B$2:$H$826,7,FALSE),"")</f>
        <v>GpsInput</v>
      </c>
      <c r="I68" s="2" t="str">
        <f>IFERROR(VLOOKUP(C68,'_METADATA_DEFAULT'!$A:$B,2,FALSE),"")</f>
        <v/>
      </c>
    </row>
    <row r="69" ht="15.75" customHeight="1">
      <c r="A69" s="3" t="s">
        <v>332</v>
      </c>
      <c r="B69" s="3" t="s">
        <v>448</v>
      </c>
      <c r="C69" s="3" t="s">
        <v>449</v>
      </c>
      <c r="D69" s="3">
        <f>IFERROR(VLOOKUP($C69,'_METADATA_TEMPLATE'!$B$2:$H$826,2,FALSE),"")</f>
        <v>52</v>
      </c>
      <c r="E69" s="3" t="str">
        <f>IFERROR(VLOOKUP($C69,'_METADATA_TEMPLATE'!$B$2:$H$826,4,FALSE),"")</f>
        <v>SE2026 - P</v>
      </c>
      <c r="F69" s="3" t="str">
        <f>IFERROR(VLOOKUP($C69,'_METADATA_TEMPLATE'!$B$2:$H$826,5,FALSE),"")</f>
        <v/>
      </c>
      <c r="G69" s="3" t="str">
        <f>IFERROR(VLOOKUP($C69,'_METADATA_TEMPLATE'!$B$2:$H$826,6,FALSE),"")</f>
        <v>Foto tampak depan (harus mencakup atap dan dinding)</v>
      </c>
      <c r="H69" s="3" t="str">
        <f>IFERROR(VLOOKUP($C69,'_METADATA_TEMPLATE'!$B$2:$H$826,7,FALSE),"")</f>
        <v>PhotoInput</v>
      </c>
      <c r="I69" s="3" t="str">
        <f>IFERROR(VLOOKUP(C69,'_METADATA_DEFAULT'!$A:$B,2,FALSE),"")</f>
        <v/>
      </c>
    </row>
    <row r="70" ht="15.75" customHeight="1">
      <c r="A70" s="2" t="s">
        <v>332</v>
      </c>
      <c r="B70" s="2" t="s">
        <v>450</v>
      </c>
      <c r="C70" s="2" t="s">
        <v>449</v>
      </c>
      <c r="D70" s="2">
        <f>IFERROR(VLOOKUP($C70,'_METADATA_TEMPLATE'!$B$2:$H$826,2,FALSE),"")</f>
        <v>52</v>
      </c>
      <c r="E70" s="2" t="str">
        <f>IFERROR(VLOOKUP($C70,'_METADATA_TEMPLATE'!$B$2:$H$826,4,FALSE),"")</f>
        <v>SE2026 - P</v>
      </c>
      <c r="F70" s="2" t="str">
        <f>IFERROR(VLOOKUP($C70,'_METADATA_TEMPLATE'!$B$2:$H$826,5,FALSE),"")</f>
        <v/>
      </c>
      <c r="G70" s="2" t="str">
        <f>IFERROR(VLOOKUP($C70,'_METADATA_TEMPLATE'!$B$2:$H$826,6,FALSE),"")</f>
        <v>Foto tampak depan (harus mencakup atap dan dinding)</v>
      </c>
      <c r="H70" s="2" t="str">
        <f>IFERROR(VLOOKUP($C70,'_METADATA_TEMPLATE'!$B$2:$H$826,7,FALSE),"")</f>
        <v>PhotoInput</v>
      </c>
      <c r="I70" s="2" t="str">
        <f>IFERROR(VLOOKUP(C70,'_METADATA_DEFAULT'!$A:$B,2,FALSE),"")</f>
        <v/>
      </c>
    </row>
    <row r="71" ht="15.75" customHeight="1">
      <c r="A71" s="3" t="s">
        <v>332</v>
      </c>
      <c r="B71" s="3" t="s">
        <v>453</v>
      </c>
      <c r="C71" s="3" t="s">
        <v>449</v>
      </c>
      <c r="D71" s="3">
        <f>IFERROR(VLOOKUP($C71,'_METADATA_TEMPLATE'!$B$2:$H$826,2,FALSE),"")</f>
        <v>52</v>
      </c>
      <c r="E71" s="3" t="str">
        <f>IFERROR(VLOOKUP($C71,'_METADATA_TEMPLATE'!$B$2:$H$826,4,FALSE),"")</f>
        <v>SE2026 - P</v>
      </c>
      <c r="F71" s="3" t="str">
        <f>IFERROR(VLOOKUP($C71,'_METADATA_TEMPLATE'!$B$2:$H$826,5,FALSE),"")</f>
        <v/>
      </c>
      <c r="G71" s="3" t="str">
        <f>IFERROR(VLOOKUP($C71,'_METADATA_TEMPLATE'!$B$2:$H$826,6,FALSE),"")</f>
        <v>Foto tampak depan (harus mencakup atap dan dinding)</v>
      </c>
      <c r="H71" s="3" t="str">
        <f>IFERROR(VLOOKUP($C71,'_METADATA_TEMPLATE'!$B$2:$H$826,7,FALSE),"")</f>
        <v>PhotoInput</v>
      </c>
      <c r="I71" s="3" t="str">
        <f>IFERROR(VLOOKUP(C71,'_METADATA_DEFAULT'!$A:$B,2,FALSE),"")</f>
        <v/>
      </c>
    </row>
    <row r="72" ht="15.75" customHeight="1">
      <c r="A72" s="2" t="s">
        <v>332</v>
      </c>
      <c r="B72" s="2" t="s">
        <v>455</v>
      </c>
      <c r="C72" s="2" t="s">
        <v>455</v>
      </c>
      <c r="D72" s="2">
        <f>IFERROR(VLOOKUP($C72,'_METADATA_TEMPLATE'!$B$2:$H$826,2,FALSE),"")</f>
        <v>53</v>
      </c>
      <c r="E72" s="2" t="str">
        <f>IFERROR(VLOOKUP($C72,'_METADATA_TEMPLATE'!$B$2:$H$826,4,FALSE),"")</f>
        <v>SE2026 - P</v>
      </c>
      <c r="F72" s="2" t="str">
        <f>IFERROR(VLOOKUP($C72,'_METADATA_TEMPLATE'!$B$2:$H$826,5,FALSE),"")</f>
        <v/>
      </c>
      <c r="G72" s="2" t="str">
        <f>IFERROR(VLOOKUP($C72,'_METADATA_TEMPLATE'!$B$2:$H$826,6,FALSE),"")</f>
        <v>Jumlah Anggota Keluarga Berdasarkan Kartu Keluarga</v>
      </c>
      <c r="H72" s="2" t="str">
        <f>IFERROR(VLOOKUP($C72,'_METADATA_TEMPLATE'!$B$2:$H$826,7,FALSE),"")</f>
        <v>Number</v>
      </c>
      <c r="I72" s="2" t="str">
        <f>IFERROR(VLOOKUP(C72,'_METADATA_DEFAULT'!$A:$B,2,FALSE),"")</f>
        <v/>
      </c>
    </row>
    <row r="73" ht="15.75" customHeight="1">
      <c r="A73" s="3" t="s">
        <v>332</v>
      </c>
      <c r="B73" s="3" t="s">
        <v>458</v>
      </c>
      <c r="C73" s="3" t="s">
        <v>458</v>
      </c>
      <c r="D73" s="3">
        <f>IFERROR(VLOOKUP($C73,'_METADATA_TEMPLATE'!$B$2:$H$826,2,FALSE),"")</f>
        <v>54</v>
      </c>
      <c r="E73" s="3" t="str">
        <f>IFERROR(VLOOKUP($C73,'_METADATA_TEMPLATE'!$B$2:$H$826,4,FALSE),"")</f>
        <v>SE2026 - P</v>
      </c>
      <c r="F73" s="3" t="str">
        <f>IFERROR(VLOOKUP($C73,'_METADATA_TEMPLATE'!$B$2:$H$826,5,FALSE),"")</f>
        <v/>
      </c>
      <c r="G73" s="3" t="str">
        <f>IFERROR(VLOOKUP($C73,'_METADATA_TEMPLATE'!$B$2:$H$826,6,FALSE),"")</f>
        <v>Jumlah Anggota Keluarga Yang menetap di dalam bangunan tempat tinggal minimal 1 tahun, atau kurang dari 1 tahun dan berniat menetap</v>
      </c>
      <c r="H73" s="3" t="str">
        <f>IFERROR(VLOOKUP($C73,'_METADATA_TEMPLATE'!$B$2:$H$826,7,FALSE),"")</f>
        <v>Text Input</v>
      </c>
      <c r="I73" s="3" t="str">
        <f>IFERROR(VLOOKUP(C73,'_METADATA_DEFAULT'!$A:$B,2,FALSE),"")</f>
        <v/>
      </c>
    </row>
    <row r="74" ht="15.75" customHeight="1">
      <c r="A74" s="2" t="s">
        <v>332</v>
      </c>
      <c r="B74" s="2" t="s">
        <v>459</v>
      </c>
      <c r="C74" s="2" t="s">
        <v>460</v>
      </c>
      <c r="D74" s="2">
        <f>IFERROR(VLOOKUP($C74,'_METADATA_TEMPLATE'!$B$2:$H$826,2,FALSE),"")</f>
        <v>55</v>
      </c>
      <c r="E74" s="2" t="str">
        <f>IFERROR(VLOOKUP($C74,'_METADATA_TEMPLATE'!$B$2:$H$826,4,FALSE),"")</f>
        <v>SE2026 - P</v>
      </c>
      <c r="F74" s="2" t="str">
        <f>IFERROR(VLOOKUP($C74,'_METADATA_TEMPLATE'!$B$2:$H$826,5,FALSE),"")</f>
        <v/>
      </c>
      <c r="G74" s="2" t="str">
        <f>IFERROR(VLOOKUP($C74,'_METADATA_TEMPLATE'!$B$2:$H$826,6,FALSE),"")</f>
        <v>Apakah $namaKK atau anggota keluarga dari $namaKK memiliki usaha penyewaan lahan atau kontrakan atau kos kosan?</v>
      </c>
      <c r="H74" s="2" t="str">
        <f>IFERROR(VLOOKUP($C74,'_METADATA_TEMPLATE'!$B$2:$H$826,7,FALSE),"")</f>
        <v>Radio Group</v>
      </c>
      <c r="I74" s="2" t="str">
        <f>IFERROR(VLOOKUP(C74,'_METADATA_DEFAULT'!$A:$B,2,FALSE),"")</f>
        <v/>
      </c>
    </row>
    <row r="75" ht="15.75" customHeight="1">
      <c r="A75" s="3" t="s">
        <v>332</v>
      </c>
      <c r="B75" s="3" t="s">
        <v>462</v>
      </c>
      <c r="C75" s="3" t="s">
        <v>460</v>
      </c>
      <c r="D75" s="3">
        <f>IFERROR(VLOOKUP($C75,'_METADATA_TEMPLATE'!$B$2:$H$826,2,FALSE),"")</f>
        <v>55</v>
      </c>
      <c r="E75" s="3" t="str">
        <f>IFERROR(VLOOKUP($C75,'_METADATA_TEMPLATE'!$B$2:$H$826,4,FALSE),"")</f>
        <v>SE2026 - P</v>
      </c>
      <c r="F75" s="3" t="str">
        <f>IFERROR(VLOOKUP($C75,'_METADATA_TEMPLATE'!$B$2:$H$826,5,FALSE),"")</f>
        <v/>
      </c>
      <c r="G75" s="3" t="str">
        <f>IFERROR(VLOOKUP($C75,'_METADATA_TEMPLATE'!$B$2:$H$826,6,FALSE),"")</f>
        <v>Apakah $namaKK atau anggota keluarga dari $namaKK memiliki usaha penyewaan lahan atau kontrakan atau kos kosan?</v>
      </c>
      <c r="H75" s="3" t="str">
        <f>IFERROR(VLOOKUP($C75,'_METADATA_TEMPLATE'!$B$2:$H$826,7,FALSE),"")</f>
        <v>Radio Group</v>
      </c>
      <c r="I75" s="3" t="str">
        <f>IFERROR(VLOOKUP(C75,'_METADATA_DEFAULT'!$A:$B,2,FALSE),"")</f>
        <v/>
      </c>
    </row>
    <row r="76" ht="15.75" customHeight="1">
      <c r="A76" s="2" t="s">
        <v>332</v>
      </c>
      <c r="B76" s="2" t="s">
        <v>464</v>
      </c>
      <c r="C76" s="2" t="s">
        <v>465</v>
      </c>
      <c r="D76" s="2">
        <f>IFERROR(VLOOKUP($C76,'_METADATA_TEMPLATE'!$B$2:$H$826,2,FALSE),"")</f>
        <v>56</v>
      </c>
      <c r="E76" s="2" t="str">
        <f>IFERROR(VLOOKUP($C76,'_METADATA_TEMPLATE'!$B$2:$H$826,4,FALSE),"")</f>
        <v>SE2026 - P</v>
      </c>
      <c r="F76" s="2" t="str">
        <f>IFERROR(VLOOKUP($C76,'_METADATA_TEMPLATE'!$B$2:$H$826,5,FALSE),"")</f>
        <v/>
      </c>
      <c r="G76" s="2" t="str">
        <f>IFERROR(VLOOKUP($C76,'_METADATA_TEMPLATE'!$B$2:$H$826,6,FALSE),"")</f>
        <v>Apakah $namaKK atau anggota keluarga dari $namaKK memiliki usaha keliling (pedagang sayur keliling, ojek keliling, tukang becak keliling, supir</v>
      </c>
      <c r="H76" s="2" t="str">
        <f>IFERROR(VLOOKUP($C76,'_METADATA_TEMPLATE'!$B$2:$H$826,7,FALSE),"")</f>
        <v>Radio Group</v>
      </c>
      <c r="I76" s="2" t="str">
        <f>IFERROR(VLOOKUP(C76,'_METADATA_DEFAULT'!$A:$B,2,FALSE),"")</f>
        <v/>
      </c>
    </row>
    <row r="77" ht="15.75" customHeight="1">
      <c r="A77" s="3" t="s">
        <v>332</v>
      </c>
      <c r="B77" s="3" t="s">
        <v>466</v>
      </c>
      <c r="C77" s="3" t="s">
        <v>465</v>
      </c>
      <c r="D77" s="3">
        <f>IFERROR(VLOOKUP($C77,'_METADATA_TEMPLATE'!$B$2:$H$826,2,FALSE),"")</f>
        <v>56</v>
      </c>
      <c r="E77" s="3" t="str">
        <f>IFERROR(VLOOKUP($C77,'_METADATA_TEMPLATE'!$B$2:$H$826,4,FALSE),"")</f>
        <v>SE2026 - P</v>
      </c>
      <c r="F77" s="3" t="str">
        <f>IFERROR(VLOOKUP($C77,'_METADATA_TEMPLATE'!$B$2:$H$826,5,FALSE),"")</f>
        <v/>
      </c>
      <c r="G77" s="3" t="str">
        <f>IFERROR(VLOOKUP($C77,'_METADATA_TEMPLATE'!$B$2:$H$826,6,FALSE),"")</f>
        <v>Apakah $namaKK atau anggota keluarga dari $namaKK memiliki usaha keliling (pedagang sayur keliling, ojek keliling, tukang becak keliling, supir</v>
      </c>
      <c r="H77" s="3" t="str">
        <f>IFERROR(VLOOKUP($C77,'_METADATA_TEMPLATE'!$B$2:$H$826,7,FALSE),"")</f>
        <v>Radio Group</v>
      </c>
      <c r="I77" s="3" t="str">
        <f>IFERROR(VLOOKUP(C77,'_METADATA_DEFAULT'!$A:$B,2,FALSE),"")</f>
        <v/>
      </c>
    </row>
    <row r="78" ht="15.75" customHeight="1">
      <c r="A78" s="2" t="s">
        <v>332</v>
      </c>
      <c r="B78" s="2" t="s">
        <v>469</v>
      </c>
      <c r="C78" s="2" t="s">
        <v>470</v>
      </c>
      <c r="D78" s="2">
        <f>IFERROR(VLOOKUP($C78,'_METADATA_TEMPLATE'!$B$2:$H$826,2,FALSE),"")</f>
        <v>57</v>
      </c>
      <c r="E78" s="2" t="str">
        <f>IFERROR(VLOOKUP($C78,'_METADATA_TEMPLATE'!$B$2:$H$826,4,FALSE),"")</f>
        <v>SE2026 - P</v>
      </c>
      <c r="F78" s="2" t="str">
        <f>IFERROR(VLOOKUP($C78,'_METADATA_TEMPLATE'!$B$2:$H$826,5,FALSE),"")</f>
        <v/>
      </c>
      <c r="G78" s="2" t="str">
        <f>IFERROR(VLOOKUP($C78,'_METADATA_TEMPLATE'!$B$2:$H$826,6,FALSE),"")</f>
        <v>Apakah $namaKK atau anggota keluarga dari $namaKK memiliki usaha online contoh: menjual barang melalui tokopedia/ shopee/website/ instagram tanpa memiliki toko?</v>
      </c>
      <c r="H78" s="2" t="str">
        <f>IFERROR(VLOOKUP($C78,'_METADATA_TEMPLATE'!$B$2:$H$826,7,FALSE),"")</f>
        <v>Radio Group</v>
      </c>
      <c r="I78" s="2" t="str">
        <f>IFERROR(VLOOKUP(C78,'_METADATA_DEFAULT'!$A:$B,2,FALSE),"")</f>
        <v/>
      </c>
    </row>
    <row r="79" ht="15.75" customHeight="1">
      <c r="A79" s="3" t="s">
        <v>332</v>
      </c>
      <c r="B79" s="3" t="s">
        <v>472</v>
      </c>
      <c r="C79" s="3" t="s">
        <v>470</v>
      </c>
      <c r="D79" s="3">
        <f>IFERROR(VLOOKUP($C79,'_METADATA_TEMPLATE'!$B$2:$H$826,2,FALSE),"")</f>
        <v>57</v>
      </c>
      <c r="E79" s="3" t="str">
        <f>IFERROR(VLOOKUP($C79,'_METADATA_TEMPLATE'!$B$2:$H$826,4,FALSE),"")</f>
        <v>SE2026 - P</v>
      </c>
      <c r="F79" s="3" t="str">
        <f>IFERROR(VLOOKUP($C79,'_METADATA_TEMPLATE'!$B$2:$H$826,5,FALSE),"")</f>
        <v/>
      </c>
      <c r="G79" s="3" t="str">
        <f>IFERROR(VLOOKUP($C79,'_METADATA_TEMPLATE'!$B$2:$H$826,6,FALSE),"")</f>
        <v>Apakah $namaKK atau anggota keluarga dari $namaKK memiliki usaha online contoh: menjual barang melalui tokopedia/ shopee/website/ instagram tanpa memiliki toko?</v>
      </c>
      <c r="H79" s="3" t="str">
        <f>IFERROR(VLOOKUP($C79,'_METADATA_TEMPLATE'!$B$2:$H$826,7,FALSE),"")</f>
        <v>Radio Group</v>
      </c>
      <c r="I79" s="3" t="str">
        <f>IFERROR(VLOOKUP(C79,'_METADATA_DEFAULT'!$A:$B,2,FALSE),"")</f>
        <v/>
      </c>
    </row>
    <row r="80" ht="15.75" customHeight="1">
      <c r="A80" s="2" t="s">
        <v>332</v>
      </c>
      <c r="B80" s="2" t="s">
        <v>474</v>
      </c>
      <c r="C80" s="2" t="s">
        <v>475</v>
      </c>
      <c r="D80" s="2">
        <f>IFERROR(VLOOKUP($C80,'_METADATA_TEMPLATE'!$B$2:$H$826,2,FALSE),"")</f>
        <v>58</v>
      </c>
      <c r="E80" s="2" t="str">
        <f>IFERROR(VLOOKUP($C80,'_METADATA_TEMPLATE'!$B$2:$H$826,4,FALSE),"")</f>
        <v>SE2026 - P</v>
      </c>
      <c r="F80" s="2" t="str">
        <f>IFERROR(VLOOKUP($C80,'_METADATA_TEMPLATE'!$B$2:$H$826,5,FALSE),"")</f>
        <v/>
      </c>
      <c r="G80" s="2" t="str">
        <f>IFERROR(VLOOKUP($C80,'_METADATA_TEMPLATE'!$B$2:$H$826,6,FALSE),"")</f>
        <v>Apakah $namaKK atau anggota keluarga dari $namaKK memiliki usaha di luar tempat tinggal, yang lokasi usahanya tetap tetapi peralatan/ perlengkapan usahanya dipindah/ dibawa pulang/ dibongkar pasang (misal: usaha kaki lima/ tenda seafood yang jika sudah tutup semua peralatan akan dibawa pulang, usaha dagang martabak gerobakan yang mangkal di pinggir jalan namun jika sudah selesai gerobak akan dibawa pulang, dan usaha lain yang sejenis)</v>
      </c>
      <c r="H80" s="2" t="str">
        <f>IFERROR(VLOOKUP($C80,'_METADATA_TEMPLATE'!$B$2:$H$826,7,FALSE),"")</f>
        <v>Radio Group</v>
      </c>
      <c r="I80" s="2" t="str">
        <f>IFERROR(VLOOKUP(C80,'_METADATA_DEFAULT'!$A:$B,2,FALSE),"")</f>
        <v/>
      </c>
    </row>
    <row r="81" ht="15.75" customHeight="1">
      <c r="A81" s="3" t="s">
        <v>332</v>
      </c>
      <c r="B81" s="3" t="s">
        <v>476</v>
      </c>
      <c r="C81" s="3" t="s">
        <v>475</v>
      </c>
      <c r="D81" s="3">
        <f>IFERROR(VLOOKUP($C81,'_METADATA_TEMPLATE'!$B$2:$H$826,2,FALSE),"")</f>
        <v>58</v>
      </c>
      <c r="E81" s="3" t="str">
        <f>IFERROR(VLOOKUP($C81,'_METADATA_TEMPLATE'!$B$2:$H$826,4,FALSE),"")</f>
        <v>SE2026 - P</v>
      </c>
      <c r="F81" s="3" t="str">
        <f>IFERROR(VLOOKUP($C81,'_METADATA_TEMPLATE'!$B$2:$H$826,5,FALSE),"")</f>
        <v/>
      </c>
      <c r="G81" s="3" t="str">
        <f>IFERROR(VLOOKUP($C81,'_METADATA_TEMPLATE'!$B$2:$H$826,6,FALSE),"")</f>
        <v>Apakah $namaKK atau anggota keluarga dari $namaKK memiliki usaha di luar tempat tinggal, yang lokasi usahanya tetap tetapi peralatan/ perlengkapan usahanya dipindah/ dibawa pulang/ dibongkar pasang (misal: usaha kaki lima/ tenda seafood yang jika sudah tutup semua peralatan akan dibawa pulang, usaha dagang martabak gerobakan yang mangkal di pinggir jalan namun jika sudah selesai gerobak akan dibawa pulang, dan usaha lain yang sejenis)</v>
      </c>
      <c r="H81" s="3" t="str">
        <f>IFERROR(VLOOKUP($C81,'_METADATA_TEMPLATE'!$B$2:$H$826,7,FALSE),"")</f>
        <v>Radio Group</v>
      </c>
      <c r="I81" s="3" t="str">
        <f>IFERROR(VLOOKUP(C81,'_METADATA_DEFAULT'!$A:$B,2,FALSE),"")</f>
        <v/>
      </c>
    </row>
    <row r="82" ht="15.75" customHeight="1">
      <c r="A82" s="2" t="s">
        <v>332</v>
      </c>
      <c r="B82" s="2" t="s">
        <v>479</v>
      </c>
      <c r="C82" s="2" t="s">
        <v>480</v>
      </c>
      <c r="D82" s="2">
        <f>IFERROR(VLOOKUP($C82,'_METADATA_TEMPLATE'!$B$2:$H$826,2,FALSE),"")</f>
        <v>59</v>
      </c>
      <c r="E82" s="2" t="str">
        <f>IFERROR(VLOOKUP($C82,'_METADATA_TEMPLATE'!$B$2:$H$826,4,FALSE),"")</f>
        <v>SE2026 - P</v>
      </c>
      <c r="F82" s="2" t="str">
        <f>IFERROR(VLOOKUP($C82,'_METADATA_TEMPLATE'!$B$2:$H$826,5,FALSE),"")</f>
        <v/>
      </c>
      <c r="G82" s="2" t="str">
        <f>IFERROR(VLOOKUP($C82,'_METADATA_TEMPLATE'!$B$2:$H$826,6,FALSE),"")</f>
        <v>Apakah $namaKK atau anggota keluarga dari $namaKK memiliki usaha sebagai pemborong konstruksi/perusahaan konstruksi yang berlokasi di tempat tinggal ini atau penggalian perorangan?</v>
      </c>
      <c r="H82" s="2" t="str">
        <f>IFERROR(VLOOKUP($C82,'_METADATA_TEMPLATE'!$B$2:$H$826,7,FALSE),"")</f>
        <v>Radio Group</v>
      </c>
      <c r="I82" s="2" t="str">
        <f>IFERROR(VLOOKUP(C82,'_METADATA_DEFAULT'!$A:$B,2,FALSE),"")</f>
        <v/>
      </c>
    </row>
    <row r="83" ht="15.75" customHeight="1">
      <c r="A83" s="3" t="s">
        <v>332</v>
      </c>
      <c r="B83" s="3" t="s">
        <v>482</v>
      </c>
      <c r="C83" s="3" t="s">
        <v>480</v>
      </c>
      <c r="D83" s="3">
        <f>IFERROR(VLOOKUP($C83,'_METADATA_TEMPLATE'!$B$2:$H$826,2,FALSE),"")</f>
        <v>59</v>
      </c>
      <c r="E83" s="3" t="str">
        <f>IFERROR(VLOOKUP($C83,'_METADATA_TEMPLATE'!$B$2:$H$826,4,FALSE),"")</f>
        <v>SE2026 - P</v>
      </c>
      <c r="F83" s="3" t="str">
        <f>IFERROR(VLOOKUP($C83,'_METADATA_TEMPLATE'!$B$2:$H$826,5,FALSE),"")</f>
        <v/>
      </c>
      <c r="G83" s="3" t="str">
        <f>IFERROR(VLOOKUP($C83,'_METADATA_TEMPLATE'!$B$2:$H$826,6,FALSE),"")</f>
        <v>Apakah $namaKK atau anggota keluarga dari $namaKK memiliki usaha sebagai pemborong konstruksi/perusahaan konstruksi yang berlokasi di tempat tinggal ini atau penggalian perorangan?</v>
      </c>
      <c r="H83" s="3" t="str">
        <f>IFERROR(VLOOKUP($C83,'_METADATA_TEMPLATE'!$B$2:$H$826,7,FALSE),"")</f>
        <v>Radio Group</v>
      </c>
      <c r="I83" s="3" t="str">
        <f>IFERROR(VLOOKUP(C83,'_METADATA_DEFAULT'!$A:$B,2,FALSE),"")</f>
        <v/>
      </c>
    </row>
    <row r="84" ht="15.75" customHeight="1">
      <c r="A84" s="2" t="s">
        <v>332</v>
      </c>
      <c r="B84" s="2" t="s">
        <v>485</v>
      </c>
      <c r="C84" s="2" t="s">
        <v>486</v>
      </c>
      <c r="D84" s="2">
        <f>IFERROR(VLOOKUP($C84,'_METADATA_TEMPLATE'!$B$2:$H$826,2,FALSE),"")</f>
        <v>60</v>
      </c>
      <c r="E84" s="2" t="str">
        <f>IFERROR(VLOOKUP($C84,'_METADATA_TEMPLATE'!$B$2:$H$826,4,FALSE),"")</f>
        <v>SE2026 - P</v>
      </c>
      <c r="F84" s="2" t="str">
        <f>IFERROR(VLOOKUP($C84,'_METADATA_TEMPLATE'!$B$2:$H$826,5,FALSE),"")</f>
        <v/>
      </c>
      <c r="G84" s="2" t="str">
        <f>IFERROR(VLOOKUP($C84,'_METADATA_TEMPLATE'!$B$2:$H$826,6,FALSE),"")</f>
        <v>Apakah $namaKK atau anggota keluarga dari $namaKK memiliki usaha lain? Seperti mengajar privat dari rumah ke rumah, Freelance, YouTuber, Konten Kreator, Afiliator, dan semua usaha lainnya yang dilakukan dalam bangunan ini?</v>
      </c>
      <c r="H84" s="2" t="str">
        <f>IFERROR(VLOOKUP($C84,'_METADATA_TEMPLATE'!$B$2:$H$826,7,FALSE),"")</f>
        <v>Radio Group</v>
      </c>
      <c r="I84" s="2" t="str">
        <f>IFERROR(VLOOKUP(C84,'_METADATA_DEFAULT'!$A:$B,2,FALSE),"")</f>
        <v/>
      </c>
    </row>
    <row r="85" ht="15.75" customHeight="1">
      <c r="A85" s="3" t="s">
        <v>332</v>
      </c>
      <c r="B85" s="3" t="s">
        <v>487</v>
      </c>
      <c r="C85" s="3" t="s">
        <v>486</v>
      </c>
      <c r="D85" s="3">
        <f>IFERROR(VLOOKUP($C85,'_METADATA_TEMPLATE'!$B$2:$H$826,2,FALSE),"")</f>
        <v>60</v>
      </c>
      <c r="E85" s="3" t="str">
        <f>IFERROR(VLOOKUP($C85,'_METADATA_TEMPLATE'!$B$2:$H$826,4,FALSE),"")</f>
        <v>SE2026 - P</v>
      </c>
      <c r="F85" s="3" t="str">
        <f>IFERROR(VLOOKUP($C85,'_METADATA_TEMPLATE'!$B$2:$H$826,5,FALSE),"")</f>
        <v/>
      </c>
      <c r="G85" s="3" t="str">
        <f>IFERROR(VLOOKUP($C85,'_METADATA_TEMPLATE'!$B$2:$H$826,6,FALSE),"")</f>
        <v>Apakah $namaKK atau anggota keluarga dari $namaKK memiliki usaha lain? Seperti mengajar privat dari rumah ke rumah, Freelance, YouTuber, Konten Kreator, Afiliator, dan semua usaha lainnya yang dilakukan dalam bangunan ini?</v>
      </c>
      <c r="H85" s="3" t="str">
        <f>IFERROR(VLOOKUP($C85,'_METADATA_TEMPLATE'!$B$2:$H$826,7,FALSE),"")</f>
        <v>Radio Group</v>
      </c>
      <c r="I85" s="3" t="str">
        <f>IFERROR(VLOOKUP(C85,'_METADATA_DEFAULT'!$A:$B,2,FALSE),"")</f>
        <v/>
      </c>
    </row>
    <row r="86" ht="15.75" customHeight="1">
      <c r="A86" s="2" t="s">
        <v>332</v>
      </c>
      <c r="B86" s="2" t="s">
        <v>489</v>
      </c>
      <c r="C86" s="2" t="s">
        <v>490</v>
      </c>
      <c r="D86" s="2">
        <f>IFERROR(VLOOKUP($C86,'_METADATA_TEMPLATE'!$B$2:$H$826,2,FALSE),"")</f>
        <v>61</v>
      </c>
      <c r="E86" s="2" t="str">
        <f>IFERROR(VLOOKUP($C86,'_METADATA_TEMPLATE'!$B$2:$H$826,4,FALSE),"")</f>
        <v>SE2026 - P</v>
      </c>
      <c r="F86" s="2" t="str">
        <f>IFERROR(VLOOKUP($C86,'_METADATA_TEMPLATE'!$B$2:$H$826,5,FALSE),"")</f>
        <v/>
      </c>
      <c r="G86" s="2" t="str">
        <f>IFERROR(VLOOKUP($C86,'_METADATA_TEMPLATE'!$B$2:$H$826,6,FALSE),"")</f>
        <v>Apakah $namaKK atau anggota keluarga dari $namaKK selama setahun yang lalu mengelola usaha pertanian Tanaman Pangan dengan tujuan sebagian atau seluruh hasilnya untuk dijual/ditukar? termasuk yang seluruhnya dikonsumsi sendiri (padi, jagung, kedelai, kacang tanah, kacang hijau, ubi kayu, ubi jalar, talas, ganyong, dan palawija lainnya)</v>
      </c>
      <c r="H86" s="2" t="str">
        <f>IFERROR(VLOOKUP($C86,'_METADATA_TEMPLATE'!$B$2:$H$826,7,FALSE),"")</f>
        <v>Radio Group</v>
      </c>
      <c r="I86" s="2" t="str">
        <f>IFERROR(VLOOKUP(C86,'_METADATA_DEFAULT'!$A:$B,2,FALSE),"")</f>
        <v/>
      </c>
    </row>
    <row r="87" ht="15.75" customHeight="1">
      <c r="A87" s="3" t="s">
        <v>332</v>
      </c>
      <c r="B87" s="3" t="s">
        <v>493</v>
      </c>
      <c r="C87" s="3" t="s">
        <v>490</v>
      </c>
      <c r="D87" s="3">
        <f>IFERROR(VLOOKUP($C87,'_METADATA_TEMPLATE'!$B$2:$H$826,2,FALSE),"")</f>
        <v>61</v>
      </c>
      <c r="E87" s="3" t="str">
        <f>IFERROR(VLOOKUP($C87,'_METADATA_TEMPLATE'!$B$2:$H$826,4,FALSE),"")</f>
        <v>SE2026 - P</v>
      </c>
      <c r="F87" s="3" t="str">
        <f>IFERROR(VLOOKUP($C87,'_METADATA_TEMPLATE'!$B$2:$H$826,5,FALSE),"")</f>
        <v/>
      </c>
      <c r="G87" s="3" t="str">
        <f>IFERROR(VLOOKUP($C87,'_METADATA_TEMPLATE'!$B$2:$H$826,6,FALSE),"")</f>
        <v>Apakah $namaKK atau anggota keluarga dari $namaKK selama setahun yang lalu mengelola usaha pertanian Tanaman Pangan dengan tujuan sebagian atau seluruh hasilnya untuk dijual/ditukar? termasuk yang seluruhnya dikonsumsi sendiri (padi, jagung, kedelai, kacang tanah, kacang hijau, ubi kayu, ubi jalar, talas, ganyong, dan palawija lainnya)</v>
      </c>
      <c r="H87" s="3" t="str">
        <f>IFERROR(VLOOKUP($C87,'_METADATA_TEMPLATE'!$B$2:$H$826,7,FALSE),"")</f>
        <v>Radio Group</v>
      </c>
      <c r="I87" s="3" t="str">
        <f>IFERROR(VLOOKUP(C87,'_METADATA_DEFAULT'!$A:$B,2,FALSE),"")</f>
        <v/>
      </c>
    </row>
    <row r="88" ht="15.75" customHeight="1">
      <c r="A88" s="2" t="s">
        <v>332</v>
      </c>
      <c r="B88" s="2" t="s">
        <v>495</v>
      </c>
      <c r="C88" s="2" t="s">
        <v>496</v>
      </c>
      <c r="D88" s="2">
        <f>IFERROR(VLOOKUP($C88,'_METADATA_TEMPLATE'!$B$2:$H$826,2,FALSE),"")</f>
        <v>62</v>
      </c>
      <c r="E88" s="2" t="str">
        <f>IFERROR(VLOOKUP($C88,'_METADATA_TEMPLATE'!$B$2:$H$826,4,FALSE),"")</f>
        <v>SE2026 - P</v>
      </c>
      <c r="F88" s="2" t="str">
        <f>IFERROR(VLOOKUP($C88,'_METADATA_TEMPLATE'!$B$2:$H$826,5,FALSE),"")</f>
        <v/>
      </c>
      <c r="G88" s="2" t="str">
        <f>IFERROR(VLOOKUP($C88,'_METADATA_TEMPLATE'!$B$2:$H$826,6,FALSE),"")</f>
        <v>Apakah $namaKK atau anggota keluarga dari $namaKK selama setahun yang lalu mengelola usaha pertanian Hortikultura dengan tujuan sebagian atau seluruh hasilnya untuk dijual/ditukar?</v>
      </c>
      <c r="H88" s="2" t="str">
        <f>IFERROR(VLOOKUP($C88,'_METADATA_TEMPLATE'!$B$2:$H$826,7,FALSE),"")</f>
        <v>Radio Group</v>
      </c>
      <c r="I88" s="2" t="str">
        <f>IFERROR(VLOOKUP(C88,'_METADATA_DEFAULT'!$A:$B,2,FALSE),"")</f>
        <v/>
      </c>
    </row>
    <row r="89" ht="15.75" customHeight="1">
      <c r="A89" s="3" t="s">
        <v>332</v>
      </c>
      <c r="B89" s="3" t="s">
        <v>498</v>
      </c>
      <c r="C89" s="3" t="s">
        <v>496</v>
      </c>
      <c r="D89" s="3">
        <f>IFERROR(VLOOKUP($C89,'_METADATA_TEMPLATE'!$B$2:$H$826,2,FALSE),"")</f>
        <v>62</v>
      </c>
      <c r="E89" s="3" t="str">
        <f>IFERROR(VLOOKUP($C89,'_METADATA_TEMPLATE'!$B$2:$H$826,4,FALSE),"")</f>
        <v>SE2026 - P</v>
      </c>
      <c r="F89" s="3" t="str">
        <f>IFERROR(VLOOKUP($C89,'_METADATA_TEMPLATE'!$B$2:$H$826,5,FALSE),"")</f>
        <v/>
      </c>
      <c r="G89" s="3" t="str">
        <f>IFERROR(VLOOKUP($C89,'_METADATA_TEMPLATE'!$B$2:$H$826,6,FALSE),"")</f>
        <v>Apakah $namaKK atau anggota keluarga dari $namaKK selama setahun yang lalu mengelola usaha pertanian Hortikultura dengan tujuan sebagian atau seluruh hasilnya untuk dijual/ditukar?</v>
      </c>
      <c r="H89" s="3" t="str">
        <f>IFERROR(VLOOKUP($C89,'_METADATA_TEMPLATE'!$B$2:$H$826,7,FALSE),"")</f>
        <v>Radio Group</v>
      </c>
      <c r="I89" s="3" t="str">
        <f>IFERROR(VLOOKUP(C89,'_METADATA_DEFAULT'!$A:$B,2,FALSE),"")</f>
        <v/>
      </c>
    </row>
    <row r="90" ht="15.75" customHeight="1">
      <c r="A90" s="2" t="s">
        <v>332</v>
      </c>
      <c r="B90" s="2" t="s">
        <v>501</v>
      </c>
      <c r="C90" s="2" t="s">
        <v>502</v>
      </c>
      <c r="D90" s="2">
        <f>IFERROR(VLOOKUP($C90,'_METADATA_TEMPLATE'!$B$2:$H$826,2,FALSE),"")</f>
        <v>63</v>
      </c>
      <c r="E90" s="2" t="str">
        <f>IFERROR(VLOOKUP($C90,'_METADATA_TEMPLATE'!$B$2:$H$826,4,FALSE),"")</f>
        <v>SE2026 - P</v>
      </c>
      <c r="F90" s="2" t="str">
        <f>IFERROR(VLOOKUP($C90,'_METADATA_TEMPLATE'!$B$2:$H$826,5,FALSE),"")</f>
        <v/>
      </c>
      <c r="G90" s="2" t="str">
        <f>IFERROR(VLOOKUP($C90,'_METADATA_TEMPLATE'!$B$2:$H$826,6,FALSE),"")</f>
        <v>Apakah $namaKK atau anggota keluarga dari $namaKK selama setahun yang lalu mengelola usaha pertanian Perkebunan dengan tujuan sebagian atau seluruh hasilnya untuk dijual/ditukar?</v>
      </c>
      <c r="H90" s="2" t="str">
        <f>IFERROR(VLOOKUP($C90,'_METADATA_TEMPLATE'!$B$2:$H$826,7,FALSE),"")</f>
        <v>Radio Group</v>
      </c>
      <c r="I90" s="2" t="str">
        <f>IFERROR(VLOOKUP(C90,'_METADATA_DEFAULT'!$A:$B,2,FALSE),"")</f>
        <v/>
      </c>
    </row>
    <row r="91" ht="15.75" customHeight="1">
      <c r="A91" s="3" t="s">
        <v>332</v>
      </c>
      <c r="B91" s="3" t="s">
        <v>504</v>
      </c>
      <c r="C91" s="3" t="s">
        <v>502</v>
      </c>
      <c r="D91" s="3">
        <f>IFERROR(VLOOKUP($C91,'_METADATA_TEMPLATE'!$B$2:$H$826,2,FALSE),"")</f>
        <v>63</v>
      </c>
      <c r="E91" s="3" t="str">
        <f>IFERROR(VLOOKUP($C91,'_METADATA_TEMPLATE'!$B$2:$H$826,4,FALSE),"")</f>
        <v>SE2026 - P</v>
      </c>
      <c r="F91" s="3" t="str">
        <f>IFERROR(VLOOKUP($C91,'_METADATA_TEMPLATE'!$B$2:$H$826,5,FALSE),"")</f>
        <v/>
      </c>
      <c r="G91" s="3" t="str">
        <f>IFERROR(VLOOKUP($C91,'_METADATA_TEMPLATE'!$B$2:$H$826,6,FALSE),"")</f>
        <v>Apakah $namaKK atau anggota keluarga dari $namaKK selama setahun yang lalu mengelola usaha pertanian Perkebunan dengan tujuan sebagian atau seluruh hasilnya untuk dijual/ditukar?</v>
      </c>
      <c r="H91" s="3" t="str">
        <f>IFERROR(VLOOKUP($C91,'_METADATA_TEMPLATE'!$B$2:$H$826,7,FALSE),"")</f>
        <v>Radio Group</v>
      </c>
      <c r="I91" s="3" t="str">
        <f>IFERROR(VLOOKUP(C91,'_METADATA_DEFAULT'!$A:$B,2,FALSE),"")</f>
        <v/>
      </c>
    </row>
    <row r="92" ht="15.75" customHeight="1">
      <c r="A92" s="2" t="s">
        <v>332</v>
      </c>
      <c r="B92" s="2" t="s">
        <v>506</v>
      </c>
      <c r="C92" s="2" t="s">
        <v>507</v>
      </c>
      <c r="D92" s="2">
        <f>IFERROR(VLOOKUP($C92,'_METADATA_TEMPLATE'!$B$2:$H$826,2,FALSE),"")</f>
        <v>64</v>
      </c>
      <c r="E92" s="2" t="str">
        <f>IFERROR(VLOOKUP($C92,'_METADATA_TEMPLATE'!$B$2:$H$826,4,FALSE),"")</f>
        <v>SE2026 - P</v>
      </c>
      <c r="F92" s="2" t="str">
        <f>IFERROR(VLOOKUP($C92,'_METADATA_TEMPLATE'!$B$2:$H$826,5,FALSE),"")</f>
        <v/>
      </c>
      <c r="G92" s="2" t="str">
        <f>IFERROR(VLOOKUP($C92,'_METADATA_TEMPLATE'!$B$2:$H$826,6,FALSE),"")</f>
        <v>Apakah $namaKK atau anggota keluarga dari $namaKK selama setahun yang lalu mengelola usaha pertanian Peternakan dengan tujuan sebagian atau seluruh hasilnya untuk dijual/ditukar?</v>
      </c>
      <c r="H92" s="2" t="str">
        <f>IFERROR(VLOOKUP($C92,'_METADATA_TEMPLATE'!$B$2:$H$826,7,FALSE),"")</f>
        <v>Radio Group</v>
      </c>
      <c r="I92" s="2" t="str">
        <f>IFERROR(VLOOKUP(C92,'_METADATA_DEFAULT'!$A:$B,2,FALSE),"")</f>
        <v/>
      </c>
    </row>
    <row r="93" ht="15.75" customHeight="1">
      <c r="A93" s="3" t="s">
        <v>332</v>
      </c>
      <c r="B93" s="3" t="s">
        <v>510</v>
      </c>
      <c r="C93" s="3" t="s">
        <v>507</v>
      </c>
      <c r="D93" s="3">
        <f>IFERROR(VLOOKUP($C93,'_METADATA_TEMPLATE'!$B$2:$H$826,2,FALSE),"")</f>
        <v>64</v>
      </c>
      <c r="E93" s="3" t="str">
        <f>IFERROR(VLOOKUP($C93,'_METADATA_TEMPLATE'!$B$2:$H$826,4,FALSE),"")</f>
        <v>SE2026 - P</v>
      </c>
      <c r="F93" s="3" t="str">
        <f>IFERROR(VLOOKUP($C93,'_METADATA_TEMPLATE'!$B$2:$H$826,5,FALSE),"")</f>
        <v/>
      </c>
      <c r="G93" s="3" t="str">
        <f>IFERROR(VLOOKUP($C93,'_METADATA_TEMPLATE'!$B$2:$H$826,6,FALSE),"")</f>
        <v>Apakah $namaKK atau anggota keluarga dari $namaKK selama setahun yang lalu mengelola usaha pertanian Peternakan dengan tujuan sebagian atau seluruh hasilnya untuk dijual/ditukar?</v>
      </c>
      <c r="H93" s="3" t="str">
        <f>IFERROR(VLOOKUP($C93,'_METADATA_TEMPLATE'!$B$2:$H$826,7,FALSE),"")</f>
        <v>Radio Group</v>
      </c>
      <c r="I93" s="3" t="str">
        <f>IFERROR(VLOOKUP(C93,'_METADATA_DEFAULT'!$A:$B,2,FALSE),"")</f>
        <v/>
      </c>
    </row>
    <row r="94" ht="15.75" customHeight="1">
      <c r="A94" s="2" t="s">
        <v>332</v>
      </c>
      <c r="B94" s="2" t="s">
        <v>512</v>
      </c>
      <c r="C94" s="2" t="s">
        <v>513</v>
      </c>
      <c r="D94" s="2">
        <f>IFERROR(VLOOKUP($C94,'_METADATA_TEMPLATE'!$B$2:$H$826,2,FALSE),"")</f>
        <v>65</v>
      </c>
      <c r="E94" s="2" t="str">
        <f>IFERROR(VLOOKUP($C94,'_METADATA_TEMPLATE'!$B$2:$H$826,4,FALSE),"")</f>
        <v>SE2026 - P</v>
      </c>
      <c r="F94" s="2" t="str">
        <f>IFERROR(VLOOKUP($C94,'_METADATA_TEMPLATE'!$B$2:$H$826,5,FALSE),"")</f>
        <v/>
      </c>
      <c r="G94" s="2" t="str">
        <f>IFERROR(VLOOKUP($C94,'_METADATA_TEMPLATE'!$B$2:$H$826,6,FALSE),"")</f>
        <v>Apakah $namaKK atau anggota keluarga dari $namaKK selama setahun yang lalu mengelola usaha pertanian Kehutanan dengan tujuan sebagian atau seluruh hasilnya untuk dijual/ditukar?</v>
      </c>
      <c r="H94" s="2" t="str">
        <f>IFERROR(VLOOKUP($C94,'_METADATA_TEMPLATE'!$B$2:$H$826,7,FALSE),"")</f>
        <v>Radio Group</v>
      </c>
      <c r="I94" s="2" t="str">
        <f>IFERROR(VLOOKUP(C94,'_METADATA_DEFAULT'!$A:$B,2,FALSE),"")</f>
        <v/>
      </c>
    </row>
    <row r="95" ht="15.75" customHeight="1">
      <c r="A95" s="3" t="s">
        <v>332</v>
      </c>
      <c r="B95" s="3" t="s">
        <v>516</v>
      </c>
      <c r="C95" s="3" t="s">
        <v>513</v>
      </c>
      <c r="D95" s="3">
        <f>IFERROR(VLOOKUP($C95,'_METADATA_TEMPLATE'!$B$2:$H$826,2,FALSE),"")</f>
        <v>65</v>
      </c>
      <c r="E95" s="3" t="str">
        <f>IFERROR(VLOOKUP($C95,'_METADATA_TEMPLATE'!$B$2:$H$826,4,FALSE),"")</f>
        <v>SE2026 - P</v>
      </c>
      <c r="F95" s="3" t="str">
        <f>IFERROR(VLOOKUP($C95,'_METADATA_TEMPLATE'!$B$2:$H$826,5,FALSE),"")</f>
        <v/>
      </c>
      <c r="G95" s="3" t="str">
        <f>IFERROR(VLOOKUP($C95,'_METADATA_TEMPLATE'!$B$2:$H$826,6,FALSE),"")</f>
        <v>Apakah $namaKK atau anggota keluarga dari $namaKK selama setahun yang lalu mengelola usaha pertanian Kehutanan dengan tujuan sebagian atau seluruh hasilnya untuk dijual/ditukar?</v>
      </c>
      <c r="H95" s="3" t="str">
        <f>IFERROR(VLOOKUP($C95,'_METADATA_TEMPLATE'!$B$2:$H$826,7,FALSE),"")</f>
        <v>Radio Group</v>
      </c>
      <c r="I95" s="3" t="str">
        <f>IFERROR(VLOOKUP(C95,'_METADATA_DEFAULT'!$A:$B,2,FALSE),"")</f>
        <v/>
      </c>
    </row>
    <row r="96" ht="15.75" customHeight="1">
      <c r="A96" s="2" t="s">
        <v>332</v>
      </c>
      <c r="B96" s="2" t="s">
        <v>518</v>
      </c>
      <c r="C96" s="2" t="s">
        <v>519</v>
      </c>
      <c r="D96" s="2">
        <f>IFERROR(VLOOKUP($C96,'_METADATA_TEMPLATE'!$B$2:$H$826,2,FALSE),"")</f>
        <v>66</v>
      </c>
      <c r="E96" s="2" t="str">
        <f>IFERROR(VLOOKUP($C96,'_METADATA_TEMPLATE'!$B$2:$H$826,4,FALSE),"")</f>
        <v>SE2026 - P</v>
      </c>
      <c r="F96" s="2" t="str">
        <f>IFERROR(VLOOKUP($C96,'_METADATA_TEMPLATE'!$B$2:$H$826,5,FALSE),"")</f>
        <v/>
      </c>
      <c r="G96" s="2" t="str">
        <f>IFERROR(VLOOKUP($C96,'_METADATA_TEMPLATE'!$B$2:$H$826,6,FALSE),"")</f>
        <v>Apakah $namaKK atau anggota keluarga dari $namaKK selama setahun yang lalu mengelola usaha pertanian Perikanan dengan tujuan sebagian atau seluruh hasilnya untuk dijual/ditukar?</v>
      </c>
      <c r="H96" s="2" t="str">
        <f>IFERROR(VLOOKUP($C96,'_METADATA_TEMPLATE'!$B$2:$H$826,7,FALSE),"")</f>
        <v>Radio Group</v>
      </c>
      <c r="I96" s="2" t="str">
        <f>IFERROR(VLOOKUP(C96,'_METADATA_DEFAULT'!$A:$B,2,FALSE),"")</f>
        <v/>
      </c>
    </row>
    <row r="97" ht="15.75" customHeight="1">
      <c r="A97" s="3" t="s">
        <v>332</v>
      </c>
      <c r="B97" s="3" t="s">
        <v>522</v>
      </c>
      <c r="C97" s="3" t="s">
        <v>519</v>
      </c>
      <c r="D97" s="3">
        <f>IFERROR(VLOOKUP($C97,'_METADATA_TEMPLATE'!$B$2:$H$826,2,FALSE),"")</f>
        <v>66</v>
      </c>
      <c r="E97" s="3" t="str">
        <f>IFERROR(VLOOKUP($C97,'_METADATA_TEMPLATE'!$B$2:$H$826,4,FALSE),"")</f>
        <v>SE2026 - P</v>
      </c>
      <c r="F97" s="3" t="str">
        <f>IFERROR(VLOOKUP($C97,'_METADATA_TEMPLATE'!$B$2:$H$826,5,FALSE),"")</f>
        <v/>
      </c>
      <c r="G97" s="3" t="str">
        <f>IFERROR(VLOOKUP($C97,'_METADATA_TEMPLATE'!$B$2:$H$826,6,FALSE),"")</f>
        <v>Apakah $namaKK atau anggota keluarga dari $namaKK selama setahun yang lalu mengelola usaha pertanian Perikanan dengan tujuan sebagian atau seluruh hasilnya untuk dijual/ditukar?</v>
      </c>
      <c r="H97" s="3" t="str">
        <f>IFERROR(VLOOKUP($C97,'_METADATA_TEMPLATE'!$B$2:$H$826,7,FALSE),"")</f>
        <v>Radio Group</v>
      </c>
      <c r="I97" s="3" t="str">
        <f>IFERROR(VLOOKUP(C97,'_METADATA_DEFAULT'!$A:$B,2,FALSE),"")</f>
        <v/>
      </c>
    </row>
    <row r="98" ht="15.75" customHeight="1">
      <c r="A98" s="2" t="s">
        <v>332</v>
      </c>
      <c r="B98" s="2" t="s">
        <v>524</v>
      </c>
      <c r="C98" s="2" t="s">
        <v>525</v>
      </c>
      <c r="D98" s="2">
        <f>IFERROR(VLOOKUP($C98,'_METADATA_TEMPLATE'!$B$2:$H$826,2,FALSE),"")</f>
        <v>67</v>
      </c>
      <c r="E98" s="2" t="str">
        <f>IFERROR(VLOOKUP($C98,'_METADATA_TEMPLATE'!$B$2:$H$826,4,FALSE),"")</f>
        <v>SE2026 - P</v>
      </c>
      <c r="F98" s="2" t="str">
        <f>IFERROR(VLOOKUP($C98,'_METADATA_TEMPLATE'!$B$2:$H$826,5,FALSE),"")</f>
        <v/>
      </c>
      <c r="G98" s="2" t="str">
        <f>IFERROR(VLOOKUP($C98,'_METADATA_TEMPLATE'!$B$2:$H$826,6,FALSE),"")</f>
        <v>Apakah $namaKK atau anggota keluarga dari $namaKK selama setahun yang lalu mengelola usaha pertanian Jasa Pertanian dengan tujuan sebagian atau seluruh hasilnya untuk dijual/ditukar?</v>
      </c>
      <c r="H98" s="2" t="str">
        <f>IFERROR(VLOOKUP($C98,'_METADATA_TEMPLATE'!$B$2:$H$826,7,FALSE),"")</f>
        <v>Radio Group</v>
      </c>
      <c r="I98" s="2" t="str">
        <f>IFERROR(VLOOKUP(C98,'_METADATA_DEFAULT'!$A:$B,2,FALSE),"")</f>
        <v/>
      </c>
    </row>
    <row r="99" ht="15.75" customHeight="1">
      <c r="A99" s="3" t="s">
        <v>332</v>
      </c>
      <c r="B99" s="3" t="s">
        <v>529</v>
      </c>
      <c r="C99" s="3" t="s">
        <v>525</v>
      </c>
      <c r="D99" s="3">
        <f>IFERROR(VLOOKUP($C99,'_METADATA_TEMPLATE'!$B$2:$H$826,2,FALSE),"")</f>
        <v>67</v>
      </c>
      <c r="E99" s="3" t="str">
        <f>IFERROR(VLOOKUP($C99,'_METADATA_TEMPLATE'!$B$2:$H$826,4,FALSE),"")</f>
        <v>SE2026 - P</v>
      </c>
      <c r="F99" s="3" t="str">
        <f>IFERROR(VLOOKUP($C99,'_METADATA_TEMPLATE'!$B$2:$H$826,5,FALSE),"")</f>
        <v/>
      </c>
      <c r="G99" s="3" t="str">
        <f>IFERROR(VLOOKUP($C99,'_METADATA_TEMPLATE'!$B$2:$H$826,6,FALSE),"")</f>
        <v>Apakah $namaKK atau anggota keluarga dari $namaKK selama setahun yang lalu mengelola usaha pertanian Jasa Pertanian dengan tujuan sebagian atau seluruh hasilnya untuk dijual/ditukar?</v>
      </c>
      <c r="H99" s="3" t="str">
        <f>IFERROR(VLOOKUP($C99,'_METADATA_TEMPLATE'!$B$2:$H$826,7,FALSE),"")</f>
        <v>Radio Group</v>
      </c>
      <c r="I99" s="3" t="str">
        <f>IFERROR(VLOOKUP(C99,'_METADATA_DEFAULT'!$A:$B,2,FALSE),"")</f>
        <v/>
      </c>
    </row>
    <row r="100" ht="15.75" customHeight="1">
      <c r="A100" s="2" t="s">
        <v>332</v>
      </c>
      <c r="B100" s="2" t="s">
        <v>531</v>
      </c>
      <c r="C100" s="2" t="s">
        <v>531</v>
      </c>
      <c r="D100" s="2">
        <f>IFERROR(VLOOKUP($C100,'_METADATA_TEMPLATE'!$B$2:$H$826,2,FALSE),"")</f>
        <v>68</v>
      </c>
      <c r="E100" s="2" t="str">
        <f>IFERROR(VLOOKUP($C100,'_METADATA_TEMPLATE'!$B$2:$H$826,4,FALSE),"")</f>
        <v>SE2026 - P</v>
      </c>
      <c r="F100" s="2" t="str">
        <f>IFERROR(VLOOKUP($C100,'_METADATA_TEMPLATE'!$B$2:$H$826,5,FALSE),"")</f>
        <v/>
      </c>
      <c r="G100" s="2" t="str">
        <f>IFERROR(VLOOKUP($C100,'_METADATA_TEMPLATE'!$B$2:$H$826,6,FALSE),"")</f>
        <v>Jumlah usaha yang ditemukan Jumlah usaha akan terisi dengan meng-update keberadaan usaha</v>
      </c>
      <c r="H100" s="2" t="str">
        <f>IFERROR(VLOOKUP($C100,'_METADATA_TEMPLATE'!$B$2:$H$826,7,FALSE),"")</f>
        <v>Variable</v>
      </c>
      <c r="I100" s="2" t="str">
        <f>IFERROR(VLOOKUP(C100,'_METADATA_DEFAULT'!$A:$B,2,FALSE),"")</f>
        <v/>
      </c>
    </row>
    <row r="101" ht="15.75" customHeight="1">
      <c r="A101" s="3" t="s">
        <v>332</v>
      </c>
      <c r="B101" s="3" t="s">
        <v>534</v>
      </c>
      <c r="C101" s="3" t="s">
        <v>534</v>
      </c>
      <c r="D101" s="3">
        <f>IFERROR(VLOOKUP($C101,'_METADATA_TEMPLATE'!$B$2:$H$826,2,FALSE),"")</f>
        <v>265</v>
      </c>
      <c r="E101" s="3" t="str">
        <f>IFERROR(VLOOKUP($C101,'_METADATA_TEMPLATE'!$B$2:$H$826,4,FALSE),"")</f>
        <v>SE2026 - L BLOK III</v>
      </c>
      <c r="F101" s="3" t="str">
        <f>IFERROR(VLOOKUP($C101,'_METADATA_TEMPLATE'!$B$2:$H$826,5,FALSE),"")</f>
        <v>1</v>
      </c>
      <c r="G101" s="3" t="str">
        <f>IFERROR(VLOOKUP($C101,'_METADATA_TEMPLATE'!$B$2:$H$826,6,FALSE),"")</f>
        <v>a. Nama Kepala Keluarga</v>
      </c>
      <c r="H101" s="3" t="str">
        <f>IFERROR(VLOOKUP($C101,'_METADATA_TEMPLATE'!$B$2:$H$826,7,FALSE),"")</f>
        <v>Variable</v>
      </c>
      <c r="I101" s="3" t="str">
        <f>IFERROR(VLOOKUP(C101,'_METADATA_DEFAULT'!$A:$B,2,FALSE),"")</f>
        <v/>
      </c>
    </row>
    <row r="102" ht="15.75" customHeight="1">
      <c r="A102" s="2" t="s">
        <v>332</v>
      </c>
      <c r="B102" s="2" t="s">
        <v>536</v>
      </c>
      <c r="C102" s="2" t="s">
        <v>536</v>
      </c>
      <c r="D102" s="2">
        <f>IFERROR(VLOOKUP($C102,'_METADATA_TEMPLATE'!$B$2:$H$826,2,FALSE),"")</f>
        <v>266</v>
      </c>
      <c r="E102" s="2" t="str">
        <f>IFERROR(VLOOKUP($C102,'_METADATA_TEMPLATE'!$B$2:$H$826,4,FALSE),"")</f>
        <v>SE2026 - L BLOK III</v>
      </c>
      <c r="F102" s="2" t="str">
        <f>IFERROR(VLOOKUP($C102,'_METADATA_TEMPLATE'!$B$2:$H$826,5,FALSE),"")</f>
        <v>1</v>
      </c>
      <c r="G102" s="2" t="str">
        <f>IFERROR(VLOOKUP($C102,'_METADATA_TEMPLATE'!$B$2:$H$826,6,FALSE),"")</f>
        <v>c. Nomor kartu keluarga</v>
      </c>
      <c r="H102" s="2" t="str">
        <f>IFERROR(VLOOKUP($C102,'_METADATA_TEMPLATE'!$B$2:$H$826,7,FALSE),"")</f>
        <v>Variable</v>
      </c>
      <c r="I102" s="2" t="str">
        <f>IFERROR(VLOOKUP(C102,'_METADATA_DEFAULT'!$A:$B,2,FALSE),"")</f>
        <v/>
      </c>
    </row>
    <row r="103" ht="15.75" customHeight="1">
      <c r="A103" s="3" t="s">
        <v>332</v>
      </c>
      <c r="B103" s="3" t="s">
        <v>538</v>
      </c>
      <c r="C103" s="3" t="s">
        <v>538</v>
      </c>
      <c r="D103" s="3">
        <f>IFERROR(VLOOKUP($C103,'_METADATA_TEMPLATE'!$B$2:$H$826,2,FALSE),"")</f>
        <v>267</v>
      </c>
      <c r="E103" s="3" t="str">
        <f>IFERROR(VLOOKUP($C103,'_METADATA_TEMPLATE'!$B$2:$H$826,4,FALSE),"")</f>
        <v>SE2026 - L BLOK III</v>
      </c>
      <c r="F103" s="3" t="str">
        <f>IFERROR(VLOOKUP($C103,'_METADATA_TEMPLATE'!$B$2:$H$826,5,FALSE),"")</f>
        <v>2</v>
      </c>
      <c r="G103" s="3" t="str">
        <f>IFERROR(VLOOKUP($C103,'_METADATA_TEMPLATE'!$B$2:$H$826,6,FALSE),"")</f>
        <v>a. Jumlah anggota keluarga sesuai KK</v>
      </c>
      <c r="H103" s="3" t="str">
        <f>IFERROR(VLOOKUP($C103,'_METADATA_TEMPLATE'!$B$2:$H$826,7,FALSE),"")</f>
        <v>Variable</v>
      </c>
      <c r="I103" s="3" t="str">
        <f>IFERROR(VLOOKUP(C103,'_METADATA_DEFAULT'!$A:$B,2,FALSE),"")</f>
        <v/>
      </c>
    </row>
    <row r="104" ht="15.75" customHeight="1">
      <c r="A104" s="2" t="s">
        <v>332</v>
      </c>
      <c r="B104" s="2" t="s">
        <v>540</v>
      </c>
      <c r="C104" s="2" t="s">
        <v>540</v>
      </c>
      <c r="D104" s="2">
        <f>IFERROR(VLOOKUP($C104,'_METADATA_TEMPLATE'!$B$2:$H$826,2,FALSE),"")</f>
        <v>269</v>
      </c>
      <c r="E104" s="2" t="str">
        <f>IFERROR(VLOOKUP($C104,'_METADATA_TEMPLATE'!$B$2:$H$826,4,FALSE),"")</f>
        <v>SE2026 - L BLOK III</v>
      </c>
      <c r="F104" s="2" t="str">
        <f>IFERROR(VLOOKUP($C104,'_METADATA_TEMPLATE'!$B$2:$H$826,5,FALSE),"")</f>
        <v>2</v>
      </c>
      <c r="G104" s="2" t="str">
        <f>IFERROR(VLOOKUP($C104,'_METADATA_TEMPLATE'!$B$2:$H$826,6,FALSE),"")</f>
        <v>b. Jumlah anggota keluarga sesuai hasil pendataan Jumlah anggota keluarga dnegan status keberadaan kode 1/3/4/5</v>
      </c>
      <c r="H104" s="2" t="str">
        <f>IFERROR(VLOOKUP($C104,'_METADATA_TEMPLATE'!$B$2:$H$826,7,FALSE),"")</f>
        <v>Variable</v>
      </c>
      <c r="I104" s="2" t="str">
        <f>IFERROR(VLOOKUP(C104,'_METADATA_DEFAULT'!$A:$B,2,FALSE),"")</f>
        <v/>
      </c>
    </row>
    <row r="105" ht="15.75" customHeight="1">
      <c r="A105" s="3" t="s">
        <v>332</v>
      </c>
      <c r="B105" s="3" t="s">
        <v>543</v>
      </c>
      <c r="C105" s="3" t="s">
        <v>544</v>
      </c>
      <c r="D105" s="3">
        <f>IFERROR(VLOOKUP($C105,'_METADATA_TEMPLATE'!$B$2:$H$826,2,FALSE),"")</f>
        <v>317</v>
      </c>
      <c r="E105" s="3" t="str">
        <f>IFERROR(VLOOKUP($C105,'_METADATA_TEMPLATE'!$B$2:$H$826,4,FALSE),"")</f>
        <v>SE2026 - L BLOK IV</v>
      </c>
      <c r="F105" s="3" t="str">
        <f>IFERROR(VLOOKUP($C105,'_METADATA_TEMPLATE'!$B$2:$H$826,5,FALSE),"")</f>
        <v>1</v>
      </c>
      <c r="G105" s="3" t="str">
        <f>IFERROR(VLOOKUP($C105,'_METADATA_TEMPLATE'!$B$2:$H$826,6,FALSE),"")</f>
        <v>a. Apa jenis bangunan tempat tinggal yang ditempati?</v>
      </c>
      <c r="H105" s="3" t="str">
        <f>IFERROR(VLOOKUP($C105,'_METADATA_TEMPLATE'!$B$2:$H$826,7,FALSE),"")</f>
        <v>Radio Group</v>
      </c>
      <c r="I105" s="3" t="str">
        <f>IFERROR(VLOOKUP(C105,'_METADATA_DEFAULT'!$A:$B,2,FALSE),"")</f>
        <v/>
      </c>
    </row>
    <row r="106" ht="15.75" customHeight="1">
      <c r="A106" s="2" t="s">
        <v>332</v>
      </c>
      <c r="B106" s="2" t="s">
        <v>546</v>
      </c>
      <c r="C106" s="2" t="s">
        <v>544</v>
      </c>
      <c r="D106" s="2">
        <f>IFERROR(VLOOKUP($C106,'_METADATA_TEMPLATE'!$B$2:$H$826,2,FALSE),"")</f>
        <v>317</v>
      </c>
      <c r="E106" s="2" t="str">
        <f>IFERROR(VLOOKUP($C106,'_METADATA_TEMPLATE'!$B$2:$H$826,4,FALSE),"")</f>
        <v>SE2026 - L BLOK IV</v>
      </c>
      <c r="F106" s="2" t="str">
        <f>IFERROR(VLOOKUP($C106,'_METADATA_TEMPLATE'!$B$2:$H$826,5,FALSE),"")</f>
        <v>1</v>
      </c>
      <c r="G106" s="2" t="str">
        <f>IFERROR(VLOOKUP($C106,'_METADATA_TEMPLATE'!$B$2:$H$826,6,FALSE),"")</f>
        <v>a. Apa jenis bangunan tempat tinggal yang ditempati?</v>
      </c>
      <c r="H106" s="2" t="str">
        <f>IFERROR(VLOOKUP($C106,'_METADATA_TEMPLATE'!$B$2:$H$826,7,FALSE),"")</f>
        <v>Radio Group</v>
      </c>
      <c r="I106" s="2" t="str">
        <f>IFERROR(VLOOKUP(C106,'_METADATA_DEFAULT'!$A:$B,2,FALSE),"")</f>
        <v/>
      </c>
    </row>
    <row r="107" ht="15.75" customHeight="1">
      <c r="A107" s="3" t="s">
        <v>332</v>
      </c>
      <c r="B107" s="3" t="s">
        <v>548</v>
      </c>
      <c r="C107" s="3" t="s">
        <v>548</v>
      </c>
      <c r="D107" s="3">
        <f>IFERROR(VLOOKUP($C107,'_METADATA_TEMPLATE'!$B$2:$H$826,2,FALSE),"")</f>
        <v>318</v>
      </c>
      <c r="E107" s="3" t="str">
        <f>IFERROR(VLOOKUP($C107,'_METADATA_TEMPLATE'!$B$2:$H$826,4,FALSE),"")</f>
        <v>SE2026 - L BLOK IV</v>
      </c>
      <c r="F107" s="3" t="str">
        <f>IFERROR(VLOOKUP($C107,'_METADATA_TEMPLATE'!$B$2:$H$826,5,FALSE),"")</f>
        <v>1</v>
      </c>
      <c r="G107" s="3" t="str">
        <f>IFERROR(VLOOKUP($C107,'_METADATA_TEMPLATE'!$B$2:$H$826,6,FALSE),"")</f>
        <v>a. Jenis bangunan tempat tinggal kode 5.Lainnya: .................</v>
      </c>
      <c r="H107" s="3" t="str">
        <f>IFERROR(VLOOKUP($C107,'_METADATA_TEMPLATE'!$B$2:$H$826,7,FALSE),"")</f>
        <v>Text Input</v>
      </c>
      <c r="I107" s="3" t="str">
        <f>IFERROR(VLOOKUP(C107,'_METADATA_DEFAULT'!$A:$B,2,FALSE),"")</f>
        <v/>
      </c>
    </row>
    <row r="108" ht="15.75" customHeight="1">
      <c r="A108" s="2" t="s">
        <v>332</v>
      </c>
      <c r="B108" s="2" t="s">
        <v>550</v>
      </c>
      <c r="C108" s="2" t="s">
        <v>550</v>
      </c>
      <c r="D108" s="2">
        <f>IFERROR(VLOOKUP($C108,'_METADATA_TEMPLATE'!$B$2:$H$826,2,FALSE),"")</f>
        <v>319</v>
      </c>
      <c r="E108" s="2" t="str">
        <f>IFERROR(VLOOKUP($C108,'_METADATA_TEMPLATE'!$B$2:$H$826,4,FALSE),"")</f>
        <v>SE2026 - L BLOK IV</v>
      </c>
      <c r="F108" s="2" t="str">
        <f>IFERROR(VLOOKUP($C108,'_METADATA_TEMPLATE'!$B$2:$H$826,5,FALSE),"")</f>
        <v>1</v>
      </c>
      <c r="G108" s="2" t="str">
        <f>IFERROR(VLOOKUP($C108,'_METADATA_TEMPLATE'!$B$2:$H$826,6,FALSE),"")</f>
        <v>b. Jika apartemen/rumah susun , sebutkan Nama/Nomor Lantai: .</v>
      </c>
      <c r="H108" s="2" t="str">
        <f>IFERROR(VLOOKUP($C108,'_METADATA_TEMPLATE'!$B$2:$H$826,7,FALSE),"")</f>
        <v>Text Input</v>
      </c>
      <c r="I108" s="2" t="str">
        <f>IFERROR(VLOOKUP(C108,'_METADATA_DEFAULT'!$A:$B,2,FALSE),"")</f>
        <v/>
      </c>
    </row>
    <row r="109" ht="15.75" customHeight="1">
      <c r="A109" s="3" t="s">
        <v>332</v>
      </c>
      <c r="B109" s="3" t="s">
        <v>552</v>
      </c>
      <c r="C109" s="3" t="s">
        <v>552</v>
      </c>
      <c r="D109" s="3">
        <f>IFERROR(VLOOKUP($C109,'_METADATA_TEMPLATE'!$B$2:$H$826,2,FALSE),"")</f>
        <v>320</v>
      </c>
      <c r="E109" s="3" t="str">
        <f>IFERROR(VLOOKUP($C109,'_METADATA_TEMPLATE'!$B$2:$H$826,4,FALSE),"")</f>
        <v>SE2026 - L BLOK IV</v>
      </c>
      <c r="F109" s="3" t="str">
        <f>IFERROR(VLOOKUP($C109,'_METADATA_TEMPLATE'!$B$2:$H$826,5,FALSE),"")</f>
        <v>2</v>
      </c>
      <c r="G109" s="3" t="str">
        <f>IFERROR(VLOOKUP($C109,'_METADATA_TEMPLATE'!$B$2:$H$826,6,FALSE),"")</f>
        <v>a. Berapa jumlah keluarga yang tinggal dalam 1 rumah/tempat tinggal?</v>
      </c>
      <c r="H109" s="3" t="str">
        <f>IFERROR(VLOOKUP($C109,'_METADATA_TEMPLATE'!$B$2:$H$826,7,FALSE),"")</f>
        <v>Number</v>
      </c>
      <c r="I109" s="3" t="str">
        <f>IFERROR(VLOOKUP(C109,'_METADATA_DEFAULT'!$A:$B,2,FALSE),"")</f>
        <v/>
      </c>
    </row>
    <row r="110" ht="15.75" customHeight="1">
      <c r="A110" s="2" t="s">
        <v>332</v>
      </c>
      <c r="B110" s="2" t="s">
        <v>554</v>
      </c>
      <c r="C110" s="2" t="s">
        <v>555</v>
      </c>
      <c r="D110" s="2">
        <f>IFERROR(VLOOKUP($C110,'_METADATA_TEMPLATE'!$B$2:$H$826,2,FALSE),"")</f>
        <v>322</v>
      </c>
      <c r="E110" s="2" t="str">
        <f>IFERROR(VLOOKUP($C110,'_METADATA_TEMPLATE'!$B$2:$H$826,4,FALSE),"")</f>
        <v>SE2026 - L BLOK IV</v>
      </c>
      <c r="F110" s="2" t="str">
        <f>IFERROR(VLOOKUP($C110,'_METADATA_TEMPLATE'!$B$2:$H$826,5,FALSE),"")</f>
        <v>3</v>
      </c>
      <c r="G110" s="2" t="str">
        <f>IFERROR(VLOOKUP($C110,'_METADATA_TEMPLATE'!$B$2:$H$826,6,FALSE),"")</f>
        <v>a. Apa status kepemilikan bangunan tempat tinggal yang ditempati?</v>
      </c>
      <c r="H110" s="2" t="str">
        <f>IFERROR(VLOOKUP($C110,'_METADATA_TEMPLATE'!$B$2:$H$826,7,FALSE),"")</f>
        <v>Radio Group</v>
      </c>
      <c r="I110" s="2" t="str">
        <f>IFERROR(VLOOKUP(C110,'_METADATA_DEFAULT'!$A:$B,2,FALSE),"")</f>
        <v/>
      </c>
    </row>
    <row r="111" ht="15.75" customHeight="1">
      <c r="A111" s="3" t="s">
        <v>332</v>
      </c>
      <c r="B111" s="3" t="s">
        <v>557</v>
      </c>
      <c r="C111" s="3" t="s">
        <v>555</v>
      </c>
      <c r="D111" s="3">
        <f>IFERROR(VLOOKUP($C111,'_METADATA_TEMPLATE'!$B$2:$H$826,2,FALSE),"")</f>
        <v>322</v>
      </c>
      <c r="E111" s="3" t="str">
        <f>IFERROR(VLOOKUP($C111,'_METADATA_TEMPLATE'!$B$2:$H$826,4,FALSE),"")</f>
        <v>SE2026 - L BLOK IV</v>
      </c>
      <c r="F111" s="3" t="str">
        <f>IFERROR(VLOOKUP($C111,'_METADATA_TEMPLATE'!$B$2:$H$826,5,FALSE),"")</f>
        <v>3</v>
      </c>
      <c r="G111" s="3" t="str">
        <f>IFERROR(VLOOKUP($C111,'_METADATA_TEMPLATE'!$B$2:$H$826,6,FALSE),"")</f>
        <v>a. Apa status kepemilikan bangunan tempat tinggal yang ditempati?</v>
      </c>
      <c r="H111" s="3" t="str">
        <f>IFERROR(VLOOKUP($C111,'_METADATA_TEMPLATE'!$B$2:$H$826,7,FALSE),"")</f>
        <v>Radio Group</v>
      </c>
      <c r="I111" s="3" t="str">
        <f>IFERROR(VLOOKUP(C111,'_METADATA_DEFAULT'!$A:$B,2,FALSE),"")</f>
        <v/>
      </c>
    </row>
    <row r="112" ht="15.75" customHeight="1">
      <c r="A112" s="2" t="s">
        <v>332</v>
      </c>
      <c r="B112" s="2" t="s">
        <v>560</v>
      </c>
      <c r="C112" s="2" t="s">
        <v>560</v>
      </c>
      <c r="D112" s="2">
        <f>IFERROR(VLOOKUP($C112,'_METADATA_TEMPLATE'!$B$2:$H$826,2,FALSE),"")</f>
        <v>323</v>
      </c>
      <c r="E112" s="2" t="str">
        <f>IFERROR(VLOOKUP($C112,'_METADATA_TEMPLATE'!$B$2:$H$826,4,FALSE),"")</f>
        <v>SE2026 - L BLOK IV</v>
      </c>
      <c r="F112" s="2" t="str">
        <f>IFERROR(VLOOKUP($C112,'_METADATA_TEMPLATE'!$B$2:$H$826,5,FALSE),"")</f>
        <v>3</v>
      </c>
      <c r="G112" s="2" t="str">
        <f>IFERROR(VLOOKUP($C112,'_METADATA_TEMPLATE'!$B$2:$H$826,6,FALSE),"")</f>
        <v>a. Deskripsi status kepemilikan bangunan tempat tinggal yang ditempati lainnya</v>
      </c>
      <c r="H112" s="2" t="str">
        <f>IFERROR(VLOOKUP($C112,'_METADATA_TEMPLATE'!$B$2:$H$826,7,FALSE),"")</f>
        <v>Text Input</v>
      </c>
      <c r="I112" s="2" t="str">
        <f>IFERROR(VLOOKUP(C112,'_METADATA_DEFAULT'!$A:$B,2,FALSE),"")</f>
        <v/>
      </c>
    </row>
    <row r="113" ht="15.75" customHeight="1">
      <c r="A113" s="3" t="s">
        <v>332</v>
      </c>
      <c r="B113" s="3" t="s">
        <v>562</v>
      </c>
      <c r="C113" s="3" t="s">
        <v>563</v>
      </c>
      <c r="D113" s="3">
        <f>IFERROR(VLOOKUP($C113,'_METADATA_TEMPLATE'!$B$2:$H$826,2,FALSE),"")</f>
        <v>324</v>
      </c>
      <c r="E113" s="3" t="str">
        <f>IFERROR(VLOOKUP($C113,'_METADATA_TEMPLATE'!$B$2:$H$826,4,FALSE),"")</f>
        <v>SE2026 - L BLOK IV</v>
      </c>
      <c r="F113" s="3" t="str">
        <f>IFERROR(VLOOKUP($C113,'_METADATA_TEMPLATE'!$B$2:$H$826,5,FALSE),"")</f>
        <v>3</v>
      </c>
      <c r="G113" s="3" t="str">
        <f>IFERROR(VLOOKUP($C113,'_METADATA_TEMPLATE'!$B$2:$H$826,6,FALSE),"")</f>
        <v>b. Jika tempat tinggal milik sendiri , apa jenis bukti kepemilikan tanah bangunan tempat tinggal ini?</v>
      </c>
      <c r="H113" s="3" t="str">
        <f>IFERROR(VLOOKUP($C113,'_METADATA_TEMPLATE'!$B$2:$H$826,7,FALSE),"")</f>
        <v>Radio Group</v>
      </c>
      <c r="I113" s="3" t="str">
        <f>IFERROR(VLOOKUP(C113,'_METADATA_DEFAULT'!$A:$B,2,FALSE),"")</f>
        <v/>
      </c>
    </row>
    <row r="114" ht="15.75" customHeight="1">
      <c r="A114" s="2" t="s">
        <v>332</v>
      </c>
      <c r="B114" s="2" t="s">
        <v>566</v>
      </c>
      <c r="C114" s="2" t="s">
        <v>563</v>
      </c>
      <c r="D114" s="2">
        <f>IFERROR(VLOOKUP($C114,'_METADATA_TEMPLATE'!$B$2:$H$826,2,FALSE),"")</f>
        <v>324</v>
      </c>
      <c r="E114" s="2" t="str">
        <f>IFERROR(VLOOKUP($C114,'_METADATA_TEMPLATE'!$B$2:$H$826,4,FALSE),"")</f>
        <v>SE2026 - L BLOK IV</v>
      </c>
      <c r="F114" s="2" t="str">
        <f>IFERROR(VLOOKUP($C114,'_METADATA_TEMPLATE'!$B$2:$H$826,5,FALSE),"")</f>
        <v>3</v>
      </c>
      <c r="G114" s="2" t="str">
        <f>IFERROR(VLOOKUP($C114,'_METADATA_TEMPLATE'!$B$2:$H$826,6,FALSE),"")</f>
        <v>b. Jika tempat tinggal milik sendiri , apa jenis bukti kepemilikan tanah bangunan tempat tinggal ini?</v>
      </c>
      <c r="H114" s="2" t="str">
        <f>IFERROR(VLOOKUP($C114,'_METADATA_TEMPLATE'!$B$2:$H$826,7,FALSE),"")</f>
        <v>Radio Group</v>
      </c>
      <c r="I114" s="2" t="str">
        <f>IFERROR(VLOOKUP(C114,'_METADATA_DEFAULT'!$A:$B,2,FALSE),"")</f>
        <v/>
      </c>
    </row>
    <row r="115" ht="15.75" customHeight="1">
      <c r="A115" s="3" t="s">
        <v>332</v>
      </c>
      <c r="B115" s="3" t="s">
        <v>568</v>
      </c>
      <c r="C115" s="3" t="s">
        <v>568</v>
      </c>
      <c r="D115" s="3">
        <f>IFERROR(VLOOKUP($C115,'_METADATA_TEMPLATE'!$B$2:$H$826,2,FALSE),"")</f>
        <v>325</v>
      </c>
      <c r="E115" s="3" t="str">
        <f>IFERROR(VLOOKUP($C115,'_METADATA_TEMPLATE'!$B$2:$H$826,4,FALSE),"")</f>
        <v>SE2026 - L BLOK IV</v>
      </c>
      <c r="F115" s="3" t="str">
        <f>IFERROR(VLOOKUP($C115,'_METADATA_TEMPLATE'!$B$2:$H$826,5,FALSE),"")</f>
        <v>a</v>
      </c>
      <c r="G115" s="3" t="str">
        <f>IFERROR(VLOOKUP($C115,'_METADATA_TEMPLATE'!$B$2:$H$826,6,FALSE),"")</f>
        <v>Jika milik sendiri/bebas sewa , perkiraan harga sewa sebulan:</v>
      </c>
      <c r="H115" s="3" t="str">
        <f>IFERROR(VLOOKUP($C115,'_METADATA_TEMPLATE'!$B$2:$H$826,7,FALSE),"")</f>
        <v>Currency</v>
      </c>
      <c r="I115" s="3" t="str">
        <f>IFERROR(VLOOKUP(C115,'_METADATA_DEFAULT'!$A:$B,2,FALSE),"")</f>
        <v/>
      </c>
    </row>
    <row r="116" ht="15.75" customHeight="1">
      <c r="A116" s="2" t="s">
        <v>332</v>
      </c>
      <c r="B116" s="2" t="s">
        <v>571</v>
      </c>
      <c r="C116" s="2" t="s">
        <v>571</v>
      </c>
      <c r="D116" s="2">
        <f>IFERROR(VLOOKUP($C116,'_METADATA_TEMPLATE'!$B$2:$H$826,2,FALSE),"")</f>
        <v>326</v>
      </c>
      <c r="E116" s="2" t="str">
        <f>IFERROR(VLOOKUP($C116,'_METADATA_TEMPLATE'!$B$2:$H$826,4,FALSE),"")</f>
        <v>SE2026 - L BLOK IV</v>
      </c>
      <c r="F116" s="2" t="str">
        <f>IFERROR(VLOOKUP($C116,'_METADATA_TEMPLATE'!$B$2:$H$826,5,FALSE),"")</f>
        <v>b</v>
      </c>
      <c r="G116" s="2" t="str">
        <f>IFERROR(VLOOKUP($C116,'_METADATA_TEMPLATE'!$B$2:$H$826,6,FALSE),"")</f>
        <v>Jika kontrak/sewa , nilai kontrak sebulan:</v>
      </c>
      <c r="H116" s="2" t="str">
        <f>IFERROR(VLOOKUP($C116,'_METADATA_TEMPLATE'!$B$2:$H$826,7,FALSE),"")</f>
        <v>Currency</v>
      </c>
      <c r="I116" s="2" t="str">
        <f>IFERROR(VLOOKUP(C116,'_METADATA_DEFAULT'!$A:$B,2,FALSE),"")</f>
        <v/>
      </c>
    </row>
    <row r="117" ht="15.75" customHeight="1">
      <c r="A117" s="3" t="s">
        <v>332</v>
      </c>
      <c r="B117" s="3" t="s">
        <v>573</v>
      </c>
      <c r="C117" s="3" t="s">
        <v>573</v>
      </c>
      <c r="D117" s="3">
        <f>IFERROR(VLOOKUP($C117,'_METADATA_TEMPLATE'!$B$2:$H$826,2,FALSE),"")</f>
        <v>327</v>
      </c>
      <c r="E117" s="3" t="str">
        <f>IFERROR(VLOOKUP($C117,'_METADATA_TEMPLATE'!$B$2:$H$826,4,FALSE),"")</f>
        <v>SE2026 - L BLOK IV</v>
      </c>
      <c r="F117" s="3" t="str">
        <f>IFERROR(VLOOKUP($C117,'_METADATA_TEMPLATE'!$B$2:$H$826,5,FALSE),"")</f>
        <v>c</v>
      </c>
      <c r="G117" s="3" t="str">
        <f>IFERROR(VLOOKUP($C117,'_METADATA_TEMPLATE'!$B$2:$H$826,6,FALSE),"")</f>
        <v>Jika dinas atau lainnya , perkiraan nilai sewa sebulan:</v>
      </c>
      <c r="H117" s="3" t="str">
        <f>IFERROR(VLOOKUP($C117,'_METADATA_TEMPLATE'!$B$2:$H$826,7,FALSE),"")</f>
        <v>Currency</v>
      </c>
      <c r="I117" s="3" t="str">
        <f>IFERROR(VLOOKUP(C117,'_METADATA_DEFAULT'!$A:$B,2,FALSE),"")</f>
        <v/>
      </c>
    </row>
    <row r="118" ht="15.75" customHeight="1">
      <c r="A118" s="2" t="s">
        <v>332</v>
      </c>
      <c r="B118" s="2" t="s">
        <v>576</v>
      </c>
      <c r="C118" s="2" t="s">
        <v>576</v>
      </c>
      <c r="D118" s="2">
        <f>IFERROR(VLOOKUP($C118,'_METADATA_TEMPLATE'!$B$2:$H$826,2,FALSE),"")</f>
        <v>328</v>
      </c>
      <c r="E118" s="2" t="str">
        <f>IFERROR(VLOOKUP($C118,'_METADATA_TEMPLATE'!$B$2:$H$826,4,FALSE),"")</f>
        <v>SE2026 - L BLOK IV</v>
      </c>
      <c r="F118" s="2" t="str">
        <f>IFERROR(VLOOKUP($C118,'_METADATA_TEMPLATE'!$B$2:$H$826,5,FALSE),"")</f>
        <v>5</v>
      </c>
      <c r="G118" s="2" t="str">
        <f>IFERROR(VLOOKUP($C118,'_METADATA_TEMPLATE'!$B$2:$H$826,6,FALSE),"")</f>
        <v>Berapa luas lantai bangunan tempat tinggal? (m²)</v>
      </c>
      <c r="H118" s="2" t="str">
        <f>IFERROR(VLOOKUP($C118,'_METADATA_TEMPLATE'!$B$2:$H$826,7,FALSE),"")</f>
        <v>Number</v>
      </c>
      <c r="I118" s="2" t="str">
        <f>IFERROR(VLOOKUP(C118,'_METADATA_DEFAULT'!$A:$B,2,FALSE),"")</f>
        <v/>
      </c>
    </row>
    <row r="119" ht="15.75" customHeight="1">
      <c r="A119" s="3" t="s">
        <v>332</v>
      </c>
      <c r="B119" s="3" t="s">
        <v>580</v>
      </c>
      <c r="C119" s="3" t="s">
        <v>582</v>
      </c>
      <c r="D119" s="3">
        <f>IFERROR(VLOOKUP($C119,'_METADATA_TEMPLATE'!$B$2:$H$826,2,FALSE),"")</f>
        <v>329</v>
      </c>
      <c r="E119" s="3" t="str">
        <f>IFERROR(VLOOKUP($C119,'_METADATA_TEMPLATE'!$B$2:$H$826,4,FALSE),"")</f>
        <v>SE2026 - L BLOK IV</v>
      </c>
      <c r="F119" s="3" t="str">
        <f>IFERROR(VLOOKUP($C119,'_METADATA_TEMPLATE'!$B$2:$H$826,5,FALSE),"")</f>
        <v>6</v>
      </c>
      <c r="G119" s="3" t="str">
        <f>IFERROR(VLOOKUP($C119,'_METADATA_TEMPLATE'!$B$2:$H$826,6,FALSE),"")</f>
        <v>a. Apakah bahan bangunan utama lantai rumah terluas?</v>
      </c>
      <c r="H119" s="3" t="str">
        <f>IFERROR(VLOOKUP($C119,'_METADATA_TEMPLATE'!$B$2:$H$826,7,FALSE),"")</f>
        <v>Radio Group</v>
      </c>
      <c r="I119" s="3" t="str">
        <f>IFERROR(VLOOKUP(C119,'_METADATA_DEFAULT'!$A:$B,2,FALSE),"")</f>
        <v/>
      </c>
    </row>
    <row r="120" ht="15.75" customHeight="1">
      <c r="A120" s="2" t="s">
        <v>332</v>
      </c>
      <c r="B120" s="2" t="s">
        <v>584</v>
      </c>
      <c r="C120" s="2" t="s">
        <v>582</v>
      </c>
      <c r="D120" s="2">
        <f>IFERROR(VLOOKUP($C120,'_METADATA_TEMPLATE'!$B$2:$H$826,2,FALSE),"")</f>
        <v>329</v>
      </c>
      <c r="E120" s="2" t="str">
        <f>IFERROR(VLOOKUP($C120,'_METADATA_TEMPLATE'!$B$2:$H$826,4,FALSE),"")</f>
        <v>SE2026 - L BLOK IV</v>
      </c>
      <c r="F120" s="2" t="str">
        <f>IFERROR(VLOOKUP($C120,'_METADATA_TEMPLATE'!$B$2:$H$826,5,FALSE),"")</f>
        <v>6</v>
      </c>
      <c r="G120" s="2" t="str">
        <f>IFERROR(VLOOKUP($C120,'_METADATA_TEMPLATE'!$B$2:$H$826,6,FALSE),"")</f>
        <v>a. Apakah bahan bangunan utama lantai rumah terluas?</v>
      </c>
      <c r="H120" s="2" t="str">
        <f>IFERROR(VLOOKUP($C120,'_METADATA_TEMPLATE'!$B$2:$H$826,7,FALSE),"")</f>
        <v>Radio Group</v>
      </c>
      <c r="I120" s="2" t="str">
        <f>IFERROR(VLOOKUP(C120,'_METADATA_DEFAULT'!$A:$B,2,FALSE),"")</f>
        <v/>
      </c>
    </row>
    <row r="121" ht="15.75" customHeight="1">
      <c r="A121" s="3" t="s">
        <v>332</v>
      </c>
      <c r="B121" s="3" t="s">
        <v>585</v>
      </c>
      <c r="C121" s="3" t="s">
        <v>586</v>
      </c>
      <c r="D121" s="3">
        <f>IFERROR(VLOOKUP($C121,'_METADATA_TEMPLATE'!$B$2:$H$826,2,FALSE),"")</f>
        <v>330</v>
      </c>
      <c r="E121" s="3" t="str">
        <f>IFERROR(VLOOKUP($C121,'_METADATA_TEMPLATE'!$B$2:$H$826,4,FALSE),"")</f>
        <v>SE2026 - L BLOK IV</v>
      </c>
      <c r="F121" s="3" t="str">
        <f>IFERROR(VLOOKUP($C121,'_METADATA_TEMPLATE'!$B$2:$H$826,5,FALSE),"")</f>
        <v>6</v>
      </c>
      <c r="G121" s="3" t="str">
        <f>IFERROR(VLOOKUP($C121,'_METADATA_TEMPLATE'!$B$2:$H$826,6,FALSE),"")</f>
        <v>b. Kondisi Lantai</v>
      </c>
      <c r="H121" s="3" t="str">
        <f>IFERROR(VLOOKUP($C121,'_METADATA_TEMPLATE'!$B$2:$H$826,7,FALSE),"")</f>
        <v>Radio Group</v>
      </c>
      <c r="I121" s="3" t="str">
        <f>IFERROR(VLOOKUP(C121,'_METADATA_DEFAULT'!$A:$B,2,FALSE),"")</f>
        <v/>
      </c>
    </row>
    <row r="122" ht="15.75" customHeight="1">
      <c r="A122" s="2" t="s">
        <v>332</v>
      </c>
      <c r="B122" s="2" t="s">
        <v>588</v>
      </c>
      <c r="C122" s="2" t="s">
        <v>586</v>
      </c>
      <c r="D122" s="2">
        <f>IFERROR(VLOOKUP($C122,'_METADATA_TEMPLATE'!$B$2:$H$826,2,FALSE),"")</f>
        <v>330</v>
      </c>
      <c r="E122" s="2" t="str">
        <f>IFERROR(VLOOKUP($C122,'_METADATA_TEMPLATE'!$B$2:$H$826,4,FALSE),"")</f>
        <v>SE2026 - L BLOK IV</v>
      </c>
      <c r="F122" s="2" t="str">
        <f>IFERROR(VLOOKUP($C122,'_METADATA_TEMPLATE'!$B$2:$H$826,5,FALSE),"")</f>
        <v>6</v>
      </c>
      <c r="G122" s="2" t="str">
        <f>IFERROR(VLOOKUP($C122,'_METADATA_TEMPLATE'!$B$2:$H$826,6,FALSE),"")</f>
        <v>b. Kondisi Lantai</v>
      </c>
      <c r="H122" s="2" t="str">
        <f>IFERROR(VLOOKUP($C122,'_METADATA_TEMPLATE'!$B$2:$H$826,7,FALSE),"")</f>
        <v>Radio Group</v>
      </c>
      <c r="I122" s="2" t="str">
        <f>IFERROR(VLOOKUP(C122,'_METADATA_DEFAULT'!$A:$B,2,FALSE),"")</f>
        <v/>
      </c>
    </row>
    <row r="123" ht="15.75" customHeight="1">
      <c r="A123" s="3" t="s">
        <v>332</v>
      </c>
      <c r="B123" s="3" t="s">
        <v>590</v>
      </c>
      <c r="C123" s="3" t="s">
        <v>591</v>
      </c>
      <c r="D123" s="3">
        <f>IFERROR(VLOOKUP($C123,'_METADATA_TEMPLATE'!$B$2:$H$826,2,FALSE),"")</f>
        <v>331</v>
      </c>
      <c r="E123" s="3" t="str">
        <f>IFERROR(VLOOKUP($C123,'_METADATA_TEMPLATE'!$B$2:$H$826,4,FALSE),"")</f>
        <v>SE2026 - L BLOK IV</v>
      </c>
      <c r="F123" s="3" t="str">
        <f>IFERROR(VLOOKUP($C123,'_METADATA_TEMPLATE'!$B$2:$H$826,5,FALSE),"")</f>
        <v>7</v>
      </c>
      <c r="G123" s="3" t="str">
        <f>IFERROR(VLOOKUP($C123,'_METADATA_TEMPLATE'!$B$2:$H$826,6,FALSE),"")</f>
        <v>a. Apakah bahan bangunan utama dinding rumah terluas?</v>
      </c>
      <c r="H123" s="3" t="str">
        <f>IFERROR(VLOOKUP($C123,'_METADATA_TEMPLATE'!$B$2:$H$826,7,FALSE),"")</f>
        <v>Radio Group</v>
      </c>
      <c r="I123" s="3" t="str">
        <f>IFERROR(VLOOKUP(C123,'_METADATA_DEFAULT'!$A:$B,2,FALSE),"")</f>
        <v/>
      </c>
    </row>
    <row r="124" ht="15.75" customHeight="1">
      <c r="A124" s="2" t="s">
        <v>332</v>
      </c>
      <c r="B124" s="2" t="s">
        <v>593</v>
      </c>
      <c r="C124" s="2" t="s">
        <v>591</v>
      </c>
      <c r="D124" s="2">
        <f>IFERROR(VLOOKUP($C124,'_METADATA_TEMPLATE'!$B$2:$H$826,2,FALSE),"")</f>
        <v>331</v>
      </c>
      <c r="E124" s="2" t="str">
        <f>IFERROR(VLOOKUP($C124,'_METADATA_TEMPLATE'!$B$2:$H$826,4,FALSE),"")</f>
        <v>SE2026 - L BLOK IV</v>
      </c>
      <c r="F124" s="2" t="str">
        <f>IFERROR(VLOOKUP($C124,'_METADATA_TEMPLATE'!$B$2:$H$826,5,FALSE),"")</f>
        <v>7</v>
      </c>
      <c r="G124" s="2" t="str">
        <f>IFERROR(VLOOKUP($C124,'_METADATA_TEMPLATE'!$B$2:$H$826,6,FALSE),"")</f>
        <v>a. Apakah bahan bangunan utama dinding rumah terluas?</v>
      </c>
      <c r="H124" s="2" t="str">
        <f>IFERROR(VLOOKUP($C124,'_METADATA_TEMPLATE'!$B$2:$H$826,7,FALSE),"")</f>
        <v>Radio Group</v>
      </c>
      <c r="I124" s="2" t="str">
        <f>IFERROR(VLOOKUP(C124,'_METADATA_DEFAULT'!$A:$B,2,FALSE),"")</f>
        <v/>
      </c>
    </row>
    <row r="125" ht="15.75" customHeight="1">
      <c r="A125" s="3" t="s">
        <v>332</v>
      </c>
      <c r="B125" s="3" t="s">
        <v>596</v>
      </c>
      <c r="C125" s="3" t="s">
        <v>597</v>
      </c>
      <c r="D125" s="3">
        <f>IFERROR(VLOOKUP($C125,'_METADATA_TEMPLATE'!$B$2:$H$826,2,FALSE),"")</f>
        <v>332</v>
      </c>
      <c r="E125" s="3" t="str">
        <f>IFERROR(VLOOKUP($C125,'_METADATA_TEMPLATE'!$B$2:$H$826,4,FALSE),"")</f>
        <v>SE2026 - L BLOK IV</v>
      </c>
      <c r="F125" s="3" t="str">
        <f>IFERROR(VLOOKUP($C125,'_METADATA_TEMPLATE'!$B$2:$H$826,5,FALSE),"")</f>
        <v>7</v>
      </c>
      <c r="G125" s="3" t="str">
        <f>IFERROR(VLOOKUP($C125,'_METADATA_TEMPLATE'!$B$2:$H$826,6,FALSE),"")</f>
        <v>b. Kondisi Dinding</v>
      </c>
      <c r="H125" s="3" t="str">
        <f>IFERROR(VLOOKUP($C125,'_METADATA_TEMPLATE'!$B$2:$H$826,7,FALSE),"")</f>
        <v>Radio Group</v>
      </c>
      <c r="I125" s="3" t="str">
        <f>IFERROR(VLOOKUP(C125,'_METADATA_DEFAULT'!$A:$B,2,FALSE),"")</f>
        <v/>
      </c>
    </row>
    <row r="126" ht="15.75" customHeight="1">
      <c r="A126" s="2" t="s">
        <v>332</v>
      </c>
      <c r="B126" s="2" t="s">
        <v>599</v>
      </c>
      <c r="C126" s="2" t="s">
        <v>597</v>
      </c>
      <c r="D126" s="2">
        <f>IFERROR(VLOOKUP($C126,'_METADATA_TEMPLATE'!$B$2:$H$826,2,FALSE),"")</f>
        <v>332</v>
      </c>
      <c r="E126" s="2" t="str">
        <f>IFERROR(VLOOKUP($C126,'_METADATA_TEMPLATE'!$B$2:$H$826,4,FALSE),"")</f>
        <v>SE2026 - L BLOK IV</v>
      </c>
      <c r="F126" s="2" t="str">
        <f>IFERROR(VLOOKUP($C126,'_METADATA_TEMPLATE'!$B$2:$H$826,5,FALSE),"")</f>
        <v>7</v>
      </c>
      <c r="G126" s="2" t="str">
        <f>IFERROR(VLOOKUP($C126,'_METADATA_TEMPLATE'!$B$2:$H$826,6,FALSE),"")</f>
        <v>b. Kondisi Dinding</v>
      </c>
      <c r="H126" s="2" t="str">
        <f>IFERROR(VLOOKUP($C126,'_METADATA_TEMPLATE'!$B$2:$H$826,7,FALSE),"")</f>
        <v>Radio Group</v>
      </c>
      <c r="I126" s="2" t="str">
        <f>IFERROR(VLOOKUP(C126,'_METADATA_DEFAULT'!$A:$B,2,FALSE),"")</f>
        <v/>
      </c>
    </row>
    <row r="127" ht="15.75" customHeight="1">
      <c r="A127" s="3" t="s">
        <v>332</v>
      </c>
      <c r="B127" s="3" t="s">
        <v>601</v>
      </c>
      <c r="C127" s="3" t="s">
        <v>603</v>
      </c>
      <c r="D127" s="3">
        <f>IFERROR(VLOOKUP($C127,'_METADATA_TEMPLATE'!$B$2:$H$826,2,FALSE),"")</f>
        <v>333</v>
      </c>
      <c r="E127" s="3" t="str">
        <f>IFERROR(VLOOKUP($C127,'_METADATA_TEMPLATE'!$B$2:$H$826,4,FALSE),"")</f>
        <v>SE2026 - L BLOK IV</v>
      </c>
      <c r="F127" s="3" t="str">
        <f>IFERROR(VLOOKUP($C127,'_METADATA_TEMPLATE'!$B$2:$H$826,5,FALSE),"")</f>
        <v>8</v>
      </c>
      <c r="G127" s="3" t="str">
        <f>IFERROR(VLOOKUP($C127,'_METADATA_TEMPLATE'!$B$2:$H$826,6,FALSE),"")</f>
        <v>a. Apakah bahan bangunan utama atap rumah terluas?</v>
      </c>
      <c r="H127" s="3" t="str">
        <f>IFERROR(VLOOKUP($C127,'_METADATA_TEMPLATE'!$B$2:$H$826,7,FALSE),"")</f>
        <v>Radio Group</v>
      </c>
      <c r="I127" s="3" t="str">
        <f>IFERROR(VLOOKUP(C127,'_METADATA_DEFAULT'!$A:$B,2,FALSE),"")</f>
        <v/>
      </c>
    </row>
    <row r="128" ht="15.75" customHeight="1">
      <c r="A128" s="2" t="s">
        <v>332</v>
      </c>
      <c r="B128" s="2" t="s">
        <v>604</v>
      </c>
      <c r="C128" s="2" t="s">
        <v>603</v>
      </c>
      <c r="D128" s="2">
        <f>IFERROR(VLOOKUP($C128,'_METADATA_TEMPLATE'!$B$2:$H$826,2,FALSE),"")</f>
        <v>333</v>
      </c>
      <c r="E128" s="2" t="str">
        <f>IFERROR(VLOOKUP($C128,'_METADATA_TEMPLATE'!$B$2:$H$826,4,FALSE),"")</f>
        <v>SE2026 - L BLOK IV</v>
      </c>
      <c r="F128" s="2" t="str">
        <f>IFERROR(VLOOKUP($C128,'_METADATA_TEMPLATE'!$B$2:$H$826,5,FALSE),"")</f>
        <v>8</v>
      </c>
      <c r="G128" s="2" t="str">
        <f>IFERROR(VLOOKUP($C128,'_METADATA_TEMPLATE'!$B$2:$H$826,6,FALSE),"")</f>
        <v>a. Apakah bahan bangunan utama atap rumah terluas?</v>
      </c>
      <c r="H128" s="2" t="str">
        <f>IFERROR(VLOOKUP($C128,'_METADATA_TEMPLATE'!$B$2:$H$826,7,FALSE),"")</f>
        <v>Radio Group</v>
      </c>
      <c r="I128" s="2" t="str">
        <f>IFERROR(VLOOKUP(C128,'_METADATA_DEFAULT'!$A:$B,2,FALSE),"")</f>
        <v/>
      </c>
    </row>
    <row r="129" ht="15.75" customHeight="1">
      <c r="A129" s="3" t="s">
        <v>332</v>
      </c>
      <c r="B129" s="3" t="s">
        <v>607</v>
      </c>
      <c r="C129" s="3" t="s">
        <v>608</v>
      </c>
      <c r="D129" s="3">
        <f>IFERROR(VLOOKUP($C129,'_METADATA_TEMPLATE'!$B$2:$H$826,2,FALSE),"")</f>
        <v>334</v>
      </c>
      <c r="E129" s="3" t="str">
        <f>IFERROR(VLOOKUP($C129,'_METADATA_TEMPLATE'!$B$2:$H$826,4,FALSE),"")</f>
        <v>SE2026 - L BLOK IV</v>
      </c>
      <c r="F129" s="3" t="str">
        <f>IFERROR(VLOOKUP($C129,'_METADATA_TEMPLATE'!$B$2:$H$826,5,FALSE),"")</f>
        <v>8</v>
      </c>
      <c r="G129" s="3" t="str">
        <f>IFERROR(VLOOKUP($C129,'_METADATA_TEMPLATE'!$B$2:$H$826,6,FALSE),"")</f>
        <v>b. Kondisi Atap</v>
      </c>
      <c r="H129" s="3" t="str">
        <f>IFERROR(VLOOKUP($C129,'_METADATA_TEMPLATE'!$B$2:$H$826,7,FALSE),"")</f>
        <v>Radio Group</v>
      </c>
      <c r="I129" s="3" t="str">
        <f>IFERROR(VLOOKUP(C129,'_METADATA_DEFAULT'!$A:$B,2,FALSE),"")</f>
        <v/>
      </c>
    </row>
    <row r="130" ht="15.75" customHeight="1">
      <c r="A130" s="2" t="s">
        <v>332</v>
      </c>
      <c r="B130" s="2" t="s">
        <v>609</v>
      </c>
      <c r="C130" s="2" t="s">
        <v>608</v>
      </c>
      <c r="D130" s="2">
        <f>IFERROR(VLOOKUP($C130,'_METADATA_TEMPLATE'!$B$2:$H$826,2,FALSE),"")</f>
        <v>334</v>
      </c>
      <c r="E130" s="2" t="str">
        <f>IFERROR(VLOOKUP($C130,'_METADATA_TEMPLATE'!$B$2:$H$826,4,FALSE),"")</f>
        <v>SE2026 - L BLOK IV</v>
      </c>
      <c r="F130" s="2" t="str">
        <f>IFERROR(VLOOKUP($C130,'_METADATA_TEMPLATE'!$B$2:$H$826,5,FALSE),"")</f>
        <v>8</v>
      </c>
      <c r="G130" s="2" t="str">
        <f>IFERROR(VLOOKUP($C130,'_METADATA_TEMPLATE'!$B$2:$H$826,6,FALSE),"")</f>
        <v>b. Kondisi Atap</v>
      </c>
      <c r="H130" s="2" t="str">
        <f>IFERROR(VLOOKUP($C130,'_METADATA_TEMPLATE'!$B$2:$H$826,7,FALSE),"")</f>
        <v>Radio Group</v>
      </c>
      <c r="I130" s="2" t="str">
        <f>IFERROR(VLOOKUP(C130,'_METADATA_DEFAULT'!$A:$B,2,FALSE),"")</f>
        <v/>
      </c>
    </row>
    <row r="131" ht="15.75" customHeight="1">
      <c r="A131" s="3" t="s">
        <v>332</v>
      </c>
      <c r="B131" s="3" t="s">
        <v>612</v>
      </c>
      <c r="C131" s="3" t="s">
        <v>613</v>
      </c>
      <c r="D131" s="3">
        <f>IFERROR(VLOOKUP($C131,'_METADATA_TEMPLATE'!$B$2:$H$826,2,FALSE),"")</f>
        <v>335</v>
      </c>
      <c r="E131" s="3" t="str">
        <f>IFERROR(VLOOKUP($C131,'_METADATA_TEMPLATE'!$B$2:$H$826,4,FALSE),"")</f>
        <v>SE2026 - L BLOK IV</v>
      </c>
      <c r="F131" s="3" t="str">
        <f>IFERROR(VLOOKUP($C131,'_METADATA_TEMPLATE'!$B$2:$H$826,5,FALSE),"")</f>
        <v>9</v>
      </c>
      <c r="G131" s="3" t="str">
        <f>IFERROR(VLOOKUP($C131,'_METADATA_TEMPLATE'!$B$2:$H$826,6,FALSE),"")</f>
        <v>Apakah memiliki fasilitas tempat buang air besar dan siapa saja yang menggunakan?</v>
      </c>
      <c r="H131" s="3" t="str">
        <f>IFERROR(VLOOKUP($C131,'_METADATA_TEMPLATE'!$B$2:$H$826,7,FALSE),"")</f>
        <v>Radio Group</v>
      </c>
      <c r="I131" s="3" t="str">
        <f>IFERROR(VLOOKUP(C131,'_METADATA_DEFAULT'!$A:$B,2,FALSE),"")</f>
        <v/>
      </c>
    </row>
    <row r="132" ht="15.75" customHeight="1">
      <c r="A132" s="2" t="s">
        <v>332</v>
      </c>
      <c r="B132" s="2" t="s">
        <v>615</v>
      </c>
      <c r="C132" s="2" t="s">
        <v>613</v>
      </c>
      <c r="D132" s="2">
        <f>IFERROR(VLOOKUP($C132,'_METADATA_TEMPLATE'!$B$2:$H$826,2,FALSE),"")</f>
        <v>335</v>
      </c>
      <c r="E132" s="2" t="str">
        <f>IFERROR(VLOOKUP($C132,'_METADATA_TEMPLATE'!$B$2:$H$826,4,FALSE),"")</f>
        <v>SE2026 - L BLOK IV</v>
      </c>
      <c r="F132" s="2" t="str">
        <f>IFERROR(VLOOKUP($C132,'_METADATA_TEMPLATE'!$B$2:$H$826,5,FALSE),"")</f>
        <v>9</v>
      </c>
      <c r="G132" s="2" t="str">
        <f>IFERROR(VLOOKUP($C132,'_METADATA_TEMPLATE'!$B$2:$H$826,6,FALSE),"")</f>
        <v>Apakah memiliki fasilitas tempat buang air besar dan siapa saja yang menggunakan?</v>
      </c>
      <c r="H132" s="2" t="str">
        <f>IFERROR(VLOOKUP($C132,'_METADATA_TEMPLATE'!$B$2:$H$826,7,FALSE),"")</f>
        <v>Radio Group</v>
      </c>
      <c r="I132" s="2" t="str">
        <f>IFERROR(VLOOKUP(C132,'_METADATA_DEFAULT'!$A:$B,2,FALSE),"")</f>
        <v/>
      </c>
    </row>
    <row r="133" ht="15.75" customHeight="1">
      <c r="A133" s="3" t="s">
        <v>332</v>
      </c>
      <c r="B133" s="3" t="s">
        <v>618</v>
      </c>
      <c r="C133" s="3" t="s">
        <v>619</v>
      </c>
      <c r="D133" s="3">
        <f>IFERROR(VLOOKUP($C133,'_METADATA_TEMPLATE'!$B$2:$H$826,2,FALSE),"")</f>
        <v>336</v>
      </c>
      <c r="E133" s="3" t="str">
        <f>IFERROR(VLOOKUP($C133,'_METADATA_TEMPLATE'!$B$2:$H$826,4,FALSE),"")</f>
        <v>SE2026 - L BLOK IV</v>
      </c>
      <c r="F133" s="3" t="str">
        <f>IFERROR(VLOOKUP($C133,'_METADATA_TEMPLATE'!$B$2:$H$826,5,FALSE),"")</f>
        <v>10</v>
      </c>
      <c r="G133" s="3" t="str">
        <f>IFERROR(VLOOKUP($C133,'_METADATA_TEMPLATE'!$B$2:$H$826,6,FALSE),"")</f>
        <v>Apakah jenis kloset yang digunakan?</v>
      </c>
      <c r="H133" s="3" t="str">
        <f>IFERROR(VLOOKUP($C133,'_METADATA_TEMPLATE'!$B$2:$H$826,7,FALSE),"")</f>
        <v>Radio Group</v>
      </c>
      <c r="I133" s="3" t="str">
        <f>IFERROR(VLOOKUP(C133,'_METADATA_DEFAULT'!$A:$B,2,FALSE),"")</f>
        <v/>
      </c>
    </row>
    <row r="134" ht="15.75" customHeight="1">
      <c r="A134" s="2" t="s">
        <v>332</v>
      </c>
      <c r="B134" s="2" t="s">
        <v>621</v>
      </c>
      <c r="C134" s="2" t="s">
        <v>619</v>
      </c>
      <c r="D134" s="2">
        <f>IFERROR(VLOOKUP($C134,'_METADATA_TEMPLATE'!$B$2:$H$826,2,FALSE),"")</f>
        <v>336</v>
      </c>
      <c r="E134" s="2" t="str">
        <f>IFERROR(VLOOKUP($C134,'_METADATA_TEMPLATE'!$B$2:$H$826,4,FALSE),"")</f>
        <v>SE2026 - L BLOK IV</v>
      </c>
      <c r="F134" s="2" t="str">
        <f>IFERROR(VLOOKUP($C134,'_METADATA_TEMPLATE'!$B$2:$H$826,5,FALSE),"")</f>
        <v>10</v>
      </c>
      <c r="G134" s="2" t="str">
        <f>IFERROR(VLOOKUP($C134,'_METADATA_TEMPLATE'!$B$2:$H$826,6,FALSE),"")</f>
        <v>Apakah jenis kloset yang digunakan?</v>
      </c>
      <c r="H134" s="2" t="str">
        <f>IFERROR(VLOOKUP($C134,'_METADATA_TEMPLATE'!$B$2:$H$826,7,FALSE),"")</f>
        <v>Radio Group</v>
      </c>
      <c r="I134" s="2" t="str">
        <f>IFERROR(VLOOKUP(C134,'_METADATA_DEFAULT'!$A:$B,2,FALSE),"")</f>
        <v/>
      </c>
    </row>
    <row r="135" ht="15.75" customHeight="1">
      <c r="A135" s="3" t="s">
        <v>332</v>
      </c>
      <c r="B135" s="3" t="s">
        <v>624</v>
      </c>
      <c r="C135" s="3" t="s">
        <v>625</v>
      </c>
      <c r="D135" s="3">
        <f>IFERROR(VLOOKUP($C135,'_METADATA_TEMPLATE'!$B$2:$H$826,2,FALSE),"")</f>
        <v>337</v>
      </c>
      <c r="E135" s="3" t="str">
        <f>IFERROR(VLOOKUP($C135,'_METADATA_TEMPLATE'!$B$2:$H$826,4,FALSE),"")</f>
        <v>SE2026 - L BLOK IV</v>
      </c>
      <c r="F135" s="3" t="str">
        <f>IFERROR(VLOOKUP($C135,'_METADATA_TEMPLATE'!$B$2:$H$826,5,FALSE),"")</f>
        <v>11</v>
      </c>
      <c r="G135" s="3" t="str">
        <f>IFERROR(VLOOKUP($C135,'_METADATA_TEMPLATE'!$B$2:$H$826,6,FALSE),"")</f>
        <v>Di manakah tempat pembuangan akhir tinja?</v>
      </c>
      <c r="H135" s="3" t="str">
        <f>IFERROR(VLOOKUP($C135,'_METADATA_TEMPLATE'!$B$2:$H$826,7,FALSE),"")</f>
        <v>Radio Group</v>
      </c>
      <c r="I135" s="3" t="str">
        <f>IFERROR(VLOOKUP(C135,'_METADATA_DEFAULT'!$A:$B,2,FALSE),"")</f>
        <v/>
      </c>
    </row>
    <row r="136" ht="15.75" customHeight="1">
      <c r="A136" s="2" t="s">
        <v>332</v>
      </c>
      <c r="B136" s="2" t="s">
        <v>627</v>
      </c>
      <c r="C136" s="2" t="s">
        <v>625</v>
      </c>
      <c r="D136" s="2">
        <f>IFERROR(VLOOKUP($C136,'_METADATA_TEMPLATE'!$B$2:$H$826,2,FALSE),"")</f>
        <v>337</v>
      </c>
      <c r="E136" s="2" t="str">
        <f>IFERROR(VLOOKUP($C136,'_METADATA_TEMPLATE'!$B$2:$H$826,4,FALSE),"")</f>
        <v>SE2026 - L BLOK IV</v>
      </c>
      <c r="F136" s="2" t="str">
        <f>IFERROR(VLOOKUP($C136,'_METADATA_TEMPLATE'!$B$2:$H$826,5,FALSE),"")</f>
        <v>11</v>
      </c>
      <c r="G136" s="2" t="str">
        <f>IFERROR(VLOOKUP($C136,'_METADATA_TEMPLATE'!$B$2:$H$826,6,FALSE),"")</f>
        <v>Di manakah tempat pembuangan akhir tinja?</v>
      </c>
      <c r="H136" s="2" t="str">
        <f>IFERROR(VLOOKUP($C136,'_METADATA_TEMPLATE'!$B$2:$H$826,7,FALSE),"")</f>
        <v>Radio Group</v>
      </c>
      <c r="I136" s="2" t="str">
        <f>IFERROR(VLOOKUP(C136,'_METADATA_DEFAULT'!$A:$B,2,FALSE),"")</f>
        <v/>
      </c>
    </row>
    <row r="137" ht="15.75" customHeight="1">
      <c r="A137" s="3" t="s">
        <v>332</v>
      </c>
      <c r="B137" s="3" t="s">
        <v>629</v>
      </c>
      <c r="C137" s="3" t="s">
        <v>630</v>
      </c>
      <c r="D137" s="3">
        <f>IFERROR(VLOOKUP($C137,'_METADATA_TEMPLATE'!$B$2:$H$826,2,FALSE),"")</f>
        <v>338</v>
      </c>
      <c r="E137" s="3" t="str">
        <f>IFERROR(VLOOKUP($C137,'_METADATA_TEMPLATE'!$B$2:$H$826,4,FALSE),"")</f>
        <v>SE2026 - L BLOK IV</v>
      </c>
      <c r="F137" s="3" t="str">
        <f>IFERROR(VLOOKUP($C137,'_METADATA_TEMPLATE'!$B$2:$H$826,5,FALSE),"")</f>
        <v>12</v>
      </c>
      <c r="G137" s="3" t="str">
        <f>IFERROR(VLOOKUP($C137,'_METADATA_TEMPLATE'!$B$2:$H$826,6,FALSE),"")</f>
        <v>Apakah sumber air utama yang digunakan keluarga untuk minum?</v>
      </c>
      <c r="H137" s="3" t="str">
        <f>IFERROR(VLOOKUP($C137,'_METADATA_TEMPLATE'!$B$2:$H$826,7,FALSE),"")</f>
        <v>Radio Group</v>
      </c>
      <c r="I137" s="3" t="str">
        <f>IFERROR(VLOOKUP(C137,'_METADATA_DEFAULT'!$A:$B,2,FALSE),"")</f>
        <v/>
      </c>
    </row>
    <row r="138" ht="15.75" customHeight="1">
      <c r="A138" s="2" t="s">
        <v>332</v>
      </c>
      <c r="B138" s="2" t="s">
        <v>631</v>
      </c>
      <c r="C138" s="2" t="s">
        <v>630</v>
      </c>
      <c r="D138" s="2">
        <f>IFERROR(VLOOKUP($C138,'_METADATA_TEMPLATE'!$B$2:$H$826,2,FALSE),"")</f>
        <v>338</v>
      </c>
      <c r="E138" s="2" t="str">
        <f>IFERROR(VLOOKUP($C138,'_METADATA_TEMPLATE'!$B$2:$H$826,4,FALSE),"")</f>
        <v>SE2026 - L BLOK IV</v>
      </c>
      <c r="F138" s="2" t="str">
        <f>IFERROR(VLOOKUP($C138,'_METADATA_TEMPLATE'!$B$2:$H$826,5,FALSE),"")</f>
        <v>12</v>
      </c>
      <c r="G138" s="2" t="str">
        <f>IFERROR(VLOOKUP($C138,'_METADATA_TEMPLATE'!$B$2:$H$826,6,FALSE),"")</f>
        <v>Apakah sumber air utama yang digunakan keluarga untuk minum?</v>
      </c>
      <c r="H138" s="2" t="str">
        <f>IFERROR(VLOOKUP($C138,'_METADATA_TEMPLATE'!$B$2:$H$826,7,FALSE),"")</f>
        <v>Radio Group</v>
      </c>
      <c r="I138" s="2" t="str">
        <f>IFERROR(VLOOKUP(C138,'_METADATA_DEFAULT'!$A:$B,2,FALSE),"")</f>
        <v/>
      </c>
    </row>
    <row r="139" ht="15.75" customHeight="1">
      <c r="A139" s="3" t="s">
        <v>332</v>
      </c>
      <c r="B139" s="3" t="s">
        <v>633</v>
      </c>
      <c r="C139" s="3" t="s">
        <v>635</v>
      </c>
      <c r="D139" s="3">
        <f>IFERROR(VLOOKUP($C139,'_METADATA_TEMPLATE'!$B$2:$H$826,2,FALSE),"")</f>
        <v>339</v>
      </c>
      <c r="E139" s="3" t="str">
        <f>IFERROR(VLOOKUP($C139,'_METADATA_TEMPLATE'!$B$2:$H$826,4,FALSE),"")</f>
        <v>SE2026 - L BLOK IV</v>
      </c>
      <c r="F139" s="3" t="str">
        <f>IFERROR(VLOOKUP($C139,'_METADATA_TEMPLATE'!$B$2:$H$826,5,FALSE),"")</f>
        <v>13</v>
      </c>
      <c r="G139" s="3" t="str">
        <f>IFERROR(VLOOKUP($C139,'_METADATA_TEMPLATE'!$B$2:$H$826,6,FALSE),"")</f>
        <v>Apakah sumber utama penerangan rumah tangga ini?</v>
      </c>
      <c r="H139" s="3" t="str">
        <f>IFERROR(VLOOKUP($C139,'_METADATA_TEMPLATE'!$B$2:$H$826,7,FALSE),"")</f>
        <v>Radio Group</v>
      </c>
      <c r="I139" s="3" t="str">
        <f>IFERROR(VLOOKUP(C139,'_METADATA_DEFAULT'!$A:$B,2,FALSE),"")</f>
        <v/>
      </c>
    </row>
    <row r="140" ht="15.75" customHeight="1">
      <c r="A140" s="2" t="s">
        <v>332</v>
      </c>
      <c r="B140" s="2" t="s">
        <v>636</v>
      </c>
      <c r="C140" s="2" t="s">
        <v>635</v>
      </c>
      <c r="D140" s="2">
        <f>IFERROR(VLOOKUP($C140,'_METADATA_TEMPLATE'!$B$2:$H$826,2,FALSE),"")</f>
        <v>339</v>
      </c>
      <c r="E140" s="2" t="str">
        <f>IFERROR(VLOOKUP($C140,'_METADATA_TEMPLATE'!$B$2:$H$826,4,FALSE),"")</f>
        <v>SE2026 - L BLOK IV</v>
      </c>
      <c r="F140" s="2" t="str">
        <f>IFERROR(VLOOKUP($C140,'_METADATA_TEMPLATE'!$B$2:$H$826,5,FALSE),"")</f>
        <v>13</v>
      </c>
      <c r="G140" s="2" t="str">
        <f>IFERROR(VLOOKUP($C140,'_METADATA_TEMPLATE'!$B$2:$H$826,6,FALSE),"")</f>
        <v>Apakah sumber utama penerangan rumah tangga ini?</v>
      </c>
      <c r="H140" s="2" t="str">
        <f>IFERROR(VLOOKUP($C140,'_METADATA_TEMPLATE'!$B$2:$H$826,7,FALSE),"")</f>
        <v>Radio Group</v>
      </c>
      <c r="I140" s="2" t="str">
        <f>IFERROR(VLOOKUP(C140,'_METADATA_DEFAULT'!$A:$B,2,FALSE),"")</f>
        <v/>
      </c>
    </row>
    <row r="141" ht="15.75" customHeight="1">
      <c r="A141" s="3" t="s">
        <v>332</v>
      </c>
      <c r="B141" s="3" t="s">
        <v>638</v>
      </c>
      <c r="C141" s="3" t="s">
        <v>638</v>
      </c>
      <c r="D141" s="3">
        <f>IFERROR(VLOOKUP($C141,'_METADATA_TEMPLATE'!$B$2:$H$826,2,FALSE),"")</f>
        <v>340</v>
      </c>
      <c r="E141" s="3" t="str">
        <f>IFERROR(VLOOKUP($C141,'_METADATA_TEMPLATE'!$B$2:$H$826,4,FALSE),"")</f>
        <v>SE2026 - L BLOK IV</v>
      </c>
      <c r="F141" s="3" t="str">
        <f>IFERROR(VLOOKUP($C141,'_METADATA_TEMPLATE'!$B$2:$H$826,5,FALSE),"")</f>
        <v>14</v>
      </c>
      <c r="G141" s="3" t="str">
        <f>IFERROR(VLOOKUP($C141,'_METADATA_TEMPLATE'!$B$2:$H$826,6,FALSE),"")</f>
        <v>a. Jika listrik PLN dengan meteran , berapa banyak unit meteran listrik yang terpasang di rumah ini?</v>
      </c>
      <c r="H141" s="3" t="str">
        <f>IFERROR(VLOOKUP($C141,'_METADATA_TEMPLATE'!$B$2:$H$826,7,FALSE),"")</f>
        <v>Number</v>
      </c>
      <c r="I141" s="3" t="str">
        <f>IFERROR(VLOOKUP(C141,'_METADATA_DEFAULT'!$A:$B,2,FALSE),"")</f>
        <v/>
      </c>
    </row>
    <row r="142" ht="15.75" customHeight="1">
      <c r="A142" s="2" t="s">
        <v>332</v>
      </c>
      <c r="B142" s="2" t="s">
        <v>641</v>
      </c>
      <c r="C142" s="2" t="s">
        <v>641</v>
      </c>
      <c r="D142" s="2">
        <f>IFERROR(VLOOKUP($C142,'_METADATA_TEMPLATE'!$B$2:$H$826,2,FALSE),"")</f>
        <v>341</v>
      </c>
      <c r="E142" s="2" t="str">
        <f>IFERROR(VLOOKUP($C142,'_METADATA_TEMPLATE'!$B$2:$H$826,4,FALSE),"")</f>
        <v>SE2026 - L BLOK IV</v>
      </c>
      <c r="F142" s="2" t="str">
        <f>IFERROR(VLOOKUP($C142,'_METADATA_TEMPLATE'!$B$2:$H$826,5,FALSE),"")</f>
        <v>15</v>
      </c>
      <c r="G142" s="2" t="str">
        <f>IFERROR(VLOOKUP($C142,'_METADATA_TEMPLATE'!$B$2:$H$826,6,FALSE),"")</f>
        <v>a. Berapa nilai pengeluaran listrik sebulan? (Dapat menggunakan pertanyaan seperti: biasanya, rata-rata, atau sebulan terakhir)</v>
      </c>
      <c r="H142" s="2" t="str">
        <f>IFERROR(VLOOKUP($C142,'_METADATA_TEMPLATE'!$B$2:$H$826,7,FALSE),"")</f>
        <v>Currency</v>
      </c>
      <c r="I142" s="2" t="str">
        <f>IFERROR(VLOOKUP(C142,'_METADATA_DEFAULT'!$A:$B,2,FALSE),"")</f>
        <v/>
      </c>
    </row>
    <row r="143" ht="15.75" customHeight="1">
      <c r="A143" s="3" t="s">
        <v>332</v>
      </c>
      <c r="B143" s="3" t="s">
        <v>643</v>
      </c>
      <c r="C143" s="3" t="s">
        <v>643</v>
      </c>
      <c r="D143" s="3">
        <f>IFERROR(VLOOKUP($C143,'_METADATA_TEMPLATE'!$B$2:$H$826,2,FALSE),"")</f>
        <v>342</v>
      </c>
      <c r="E143" s="3" t="str">
        <f>IFERROR(VLOOKUP($C143,'_METADATA_TEMPLATE'!$B$2:$H$826,4,FALSE),"")</f>
        <v>SE2026 - L BLOK IV</v>
      </c>
      <c r="F143" s="3" t="str">
        <f>IFERROR(VLOOKUP($C143,'_METADATA_TEMPLATE'!$B$2:$H$826,5,FALSE),"")</f>
        <v>15</v>
      </c>
      <c r="G143" s="3" t="str">
        <f>IFERROR(VLOOKUP($C143,'_METADATA_TEMPLATE'!$B$2:$H$826,6,FALSE),"")</f>
        <v>b. Berapa pengeluaran pulsa dan internet seluruh anggota keluarga sebulan? (Dapat menggunakan pertanyaan seperti: biasanya, rata-rata, atau sebulan terakhir)</v>
      </c>
      <c r="H143" s="3" t="str">
        <f>IFERROR(VLOOKUP($C143,'_METADATA_TEMPLATE'!$B$2:$H$826,7,FALSE),"")</f>
        <v>Currency</v>
      </c>
      <c r="I143" s="3" t="str">
        <f>IFERROR(VLOOKUP(C143,'_METADATA_DEFAULT'!$A:$B,2,FALSE),"")</f>
        <v/>
      </c>
    </row>
    <row r="144" ht="15.75" customHeight="1">
      <c r="A144" s="2" t="s">
        <v>332</v>
      </c>
      <c r="B144" s="2" t="s">
        <v>646</v>
      </c>
      <c r="C144" s="2" t="s">
        <v>646</v>
      </c>
      <c r="D144" s="2">
        <f>IFERROR(VLOOKUP($C144,'_METADATA_TEMPLATE'!$B$2:$H$826,2,FALSE),"")</f>
        <v>343</v>
      </c>
      <c r="E144" s="2" t="str">
        <f>IFERROR(VLOOKUP($C144,'_METADATA_TEMPLATE'!$B$2:$H$826,4,FALSE),"")</f>
        <v>SE2026 - L BLOK IV</v>
      </c>
      <c r="F144" s="2" t="str">
        <f>IFERROR(VLOOKUP($C144,'_METADATA_TEMPLATE'!$B$2:$H$826,5,FALSE),"")</f>
        <v>16</v>
      </c>
      <c r="G144" s="2" t="str">
        <f>IFERROR(VLOOKUP($C144,'_METADATA_TEMPLATE'!$B$2:$H$826,6,FALSE),"")</f>
        <v>a. Berapa rata-rata pengeluaran makanan keluarga seminggu?</v>
      </c>
      <c r="H144" s="2" t="str">
        <f>IFERROR(VLOOKUP($C144,'_METADATA_TEMPLATE'!$B$2:$H$826,7,FALSE),"")</f>
        <v>Currency</v>
      </c>
      <c r="I144" s="2" t="str">
        <f>IFERROR(VLOOKUP(C144,'_METADATA_DEFAULT'!$A:$B,2,FALSE),"")</f>
        <v/>
      </c>
    </row>
    <row r="145" ht="15.75" customHeight="1">
      <c r="A145" s="3" t="s">
        <v>332</v>
      </c>
      <c r="B145" s="3" t="s">
        <v>649</v>
      </c>
      <c r="C145" s="3" t="s">
        <v>649</v>
      </c>
      <c r="D145" s="3">
        <f>IFERROR(VLOOKUP($C145,'_METADATA_TEMPLATE'!$B$2:$H$826,2,FALSE),"")</f>
        <v>344</v>
      </c>
      <c r="E145" s="3" t="str">
        <f>IFERROR(VLOOKUP($C145,'_METADATA_TEMPLATE'!$B$2:$H$826,4,FALSE),"")</f>
        <v>SE2026 - L BLOK IV</v>
      </c>
      <c r="F145" s="3" t="str">
        <f>IFERROR(VLOOKUP($C145,'_METADATA_TEMPLATE'!$B$2:$H$826,5,FALSE),"")</f>
        <v>16</v>
      </c>
      <c r="G145" s="3" t="str">
        <f>IFERROR(VLOOKUP($C145,'_METADATA_TEMPLATE'!$B$2:$H$826,6,FALSE),"")</f>
        <v>b. Berapa rata-rata pengeluaran bukan makanan rutin keluarga bulanan?</v>
      </c>
      <c r="H145" s="3" t="str">
        <f>IFERROR(VLOOKUP($C145,'_METADATA_TEMPLATE'!$B$2:$H$826,7,FALSE),"")</f>
        <v>Currency</v>
      </c>
      <c r="I145" s="3" t="str">
        <f>IFERROR(VLOOKUP(C145,'_METADATA_DEFAULT'!$A:$B,2,FALSE),"")</f>
        <v/>
      </c>
    </row>
    <row r="146" ht="15.75" customHeight="1">
      <c r="A146" s="2" t="s">
        <v>332</v>
      </c>
      <c r="B146" s="2" t="s">
        <v>651</v>
      </c>
      <c r="C146" s="2" t="s">
        <v>651</v>
      </c>
      <c r="D146" s="2">
        <f>IFERROR(VLOOKUP($C146,'_METADATA_TEMPLATE'!$B$2:$H$826,2,FALSE),"")</f>
        <v>345</v>
      </c>
      <c r="E146" s="2" t="str">
        <f>IFERROR(VLOOKUP($C146,'_METADATA_TEMPLATE'!$B$2:$H$826,4,FALSE),"")</f>
        <v>SE2026 - L BLOK IV</v>
      </c>
      <c r="F146" s="2" t="str">
        <f>IFERROR(VLOOKUP($C146,'_METADATA_TEMPLATE'!$B$2:$H$826,5,FALSE),"")</f>
        <v>16</v>
      </c>
      <c r="G146" s="2" t="str">
        <f>IFERROR(VLOOKUP($C146,'_METADATA_TEMPLATE'!$B$2:$H$826,6,FALSE),"")</f>
        <v>c. Berapa rata-rata pengeluaran bukan makanan rutin keluarga tahunan?</v>
      </c>
      <c r="H146" s="2" t="str">
        <f>IFERROR(VLOOKUP($C146,'_METADATA_TEMPLATE'!$B$2:$H$826,7,FALSE),"")</f>
        <v>Currency</v>
      </c>
      <c r="I146" s="2" t="str">
        <f>IFERROR(VLOOKUP(C146,'_METADATA_DEFAULT'!$A:$B,2,FALSE),"")</f>
        <v/>
      </c>
    </row>
    <row r="147" ht="15.75" customHeight="1">
      <c r="A147" s="3" t="s">
        <v>332</v>
      </c>
      <c r="B147" s="3" t="s">
        <v>654</v>
      </c>
      <c r="C147" s="3" t="s">
        <v>654</v>
      </c>
      <c r="D147" s="3">
        <f>IFERROR(VLOOKUP($C147,'_METADATA_TEMPLATE'!$B$2:$H$826,2,FALSE),"")</f>
        <v>349</v>
      </c>
      <c r="E147" s="3" t="str">
        <f>IFERROR(VLOOKUP($C147,'_METADATA_TEMPLATE'!$B$2:$H$826,4,FALSE),"")</f>
        <v>SE2026 - L BLOK IV</v>
      </c>
      <c r="F147" s="3" t="str">
        <f>IFERROR(VLOOKUP($C147,'_METADATA_TEMPLATE'!$B$2:$H$826,5,FALSE),"")</f>
        <v>a</v>
      </c>
      <c r="G147" s="3" t="str">
        <f>IFERROR(VLOOKUP($C147,'_METADATA_TEMPLATE'!$B$2:$H$826,6,FALSE),"")</f>
        <v>Tabung gas 3 kg (unit)</v>
      </c>
      <c r="H147" s="3" t="str">
        <f>IFERROR(VLOOKUP($C147,'_METADATA_TEMPLATE'!$B$2:$H$826,7,FALSE),"")</f>
        <v>Number</v>
      </c>
      <c r="I147" s="3" t="str">
        <f>IFERROR(VLOOKUP(C147,'_METADATA_DEFAULT'!$A:$B,2,FALSE),"")</f>
        <v/>
      </c>
    </row>
    <row r="148" ht="15.75" customHeight="1">
      <c r="A148" s="2" t="s">
        <v>332</v>
      </c>
      <c r="B148" s="2" t="s">
        <v>656</v>
      </c>
      <c r="C148" s="2" t="s">
        <v>656</v>
      </c>
      <c r="D148" s="2">
        <f>IFERROR(VLOOKUP($C148,'_METADATA_TEMPLATE'!$B$2:$H$826,2,FALSE),"")</f>
        <v>350</v>
      </c>
      <c r="E148" s="2" t="str">
        <f>IFERROR(VLOOKUP($C148,'_METADATA_TEMPLATE'!$B$2:$H$826,4,FALSE),"")</f>
        <v>SE2026 - L BLOK IV</v>
      </c>
      <c r="F148" s="2" t="str">
        <f>IFERROR(VLOOKUP($C148,'_METADATA_TEMPLATE'!$B$2:$H$826,5,FALSE),"")</f>
        <v>b</v>
      </c>
      <c r="G148" s="2" t="str">
        <f>IFERROR(VLOOKUP($C148,'_METADATA_TEMPLATE'!$B$2:$H$826,6,FALSE),"")</f>
        <v>Tabung gas 5,5 kg atau lebih (unit)</v>
      </c>
      <c r="H148" s="2" t="str">
        <f>IFERROR(VLOOKUP($C148,'_METADATA_TEMPLATE'!$B$2:$H$826,7,FALSE),"")</f>
        <v>Number</v>
      </c>
      <c r="I148" s="2" t="str">
        <f>IFERROR(VLOOKUP(C148,'_METADATA_DEFAULT'!$A:$B,2,FALSE),"")</f>
        <v/>
      </c>
    </row>
    <row r="149" ht="15.75" customHeight="1">
      <c r="A149" s="3" t="s">
        <v>332</v>
      </c>
      <c r="B149" s="3" t="s">
        <v>659</v>
      </c>
      <c r="C149" s="3" t="s">
        <v>659</v>
      </c>
      <c r="D149" s="3">
        <f>IFERROR(VLOOKUP($C149,'_METADATA_TEMPLATE'!$B$2:$H$826,2,FALSE),"")</f>
        <v>351</v>
      </c>
      <c r="E149" s="3" t="str">
        <f>IFERROR(VLOOKUP($C149,'_METADATA_TEMPLATE'!$B$2:$H$826,4,FALSE),"")</f>
        <v>SE2026 - L BLOK IV</v>
      </c>
      <c r="F149" s="3" t="str">
        <f>IFERROR(VLOOKUP($C149,'_METADATA_TEMPLATE'!$B$2:$H$826,5,FALSE),"")</f>
        <v>c</v>
      </c>
      <c r="G149" s="3" t="str">
        <f>IFERROR(VLOOKUP($C149,'_METADATA_TEMPLATE'!$B$2:$H$826,6,FALSE),"")</f>
        <v>Lemari es/kulkas (unit)</v>
      </c>
      <c r="H149" s="3" t="str">
        <f>IFERROR(VLOOKUP($C149,'_METADATA_TEMPLATE'!$B$2:$H$826,7,FALSE),"")</f>
        <v>Number</v>
      </c>
      <c r="I149" s="3" t="str">
        <f>IFERROR(VLOOKUP(C149,'_METADATA_DEFAULT'!$A:$B,2,FALSE),"")</f>
        <v/>
      </c>
    </row>
    <row r="150" ht="15.75" customHeight="1">
      <c r="A150" s="2" t="s">
        <v>332</v>
      </c>
      <c r="B150" s="2" t="s">
        <v>661</v>
      </c>
      <c r="C150" s="2" t="s">
        <v>661</v>
      </c>
      <c r="D150" s="2">
        <f>IFERROR(VLOOKUP($C150,'_METADATA_TEMPLATE'!$B$2:$H$826,2,FALSE),"")</f>
        <v>352</v>
      </c>
      <c r="E150" s="2" t="str">
        <f>IFERROR(VLOOKUP($C150,'_METADATA_TEMPLATE'!$B$2:$H$826,4,FALSE),"")</f>
        <v>SE2026 - L BLOK IV</v>
      </c>
      <c r="F150" s="2" t="str">
        <f>IFERROR(VLOOKUP($C150,'_METADATA_TEMPLATE'!$B$2:$H$826,5,FALSE),"")</f>
        <v>d</v>
      </c>
      <c r="G150" s="2" t="str">
        <f>IFERROR(VLOOKUP($C150,'_METADATA_TEMPLATE'!$B$2:$H$826,6,FALSE),"")</f>
        <v>Air Conditioner (AC) (unit)</v>
      </c>
      <c r="H150" s="2" t="str">
        <f>IFERROR(VLOOKUP($C150,'_METADATA_TEMPLATE'!$B$2:$H$826,7,FALSE),"")</f>
        <v>Number</v>
      </c>
      <c r="I150" s="2" t="str">
        <f>IFERROR(VLOOKUP(C150,'_METADATA_DEFAULT'!$A:$B,2,FALSE),"")</f>
        <v/>
      </c>
    </row>
    <row r="151" ht="15.75" customHeight="1">
      <c r="A151" s="3" t="s">
        <v>332</v>
      </c>
      <c r="B151" s="3" t="s">
        <v>664</v>
      </c>
      <c r="C151" s="3" t="s">
        <v>664</v>
      </c>
      <c r="D151" s="3">
        <f>IFERROR(VLOOKUP($C151,'_METADATA_TEMPLATE'!$B$2:$H$826,2,FALSE),"")</f>
        <v>353</v>
      </c>
      <c r="E151" s="3" t="str">
        <f>IFERROR(VLOOKUP($C151,'_METADATA_TEMPLATE'!$B$2:$H$826,4,FALSE),"")</f>
        <v>SE2026 - L BLOK IV</v>
      </c>
      <c r="F151" s="3" t="str">
        <f>IFERROR(VLOOKUP($C151,'_METADATA_TEMPLATE'!$B$2:$H$826,5,FALSE),"")</f>
        <v>e</v>
      </c>
      <c r="G151" s="3" t="str">
        <f>IFERROR(VLOOKUP($C151,'_METADATA_TEMPLATE'!$B$2:$H$826,6,FALSE),"")</f>
        <v>Emas/perhiasan (gram)</v>
      </c>
      <c r="H151" s="3" t="str">
        <f>IFERROR(VLOOKUP($C151,'_METADATA_TEMPLATE'!$B$2:$H$826,7,FALSE),"")</f>
        <v>Number</v>
      </c>
      <c r="I151" s="3" t="str">
        <f>IFERROR(VLOOKUP(C151,'_METADATA_DEFAULT'!$A:$B,2,FALSE),"")</f>
        <v/>
      </c>
    </row>
    <row r="152" ht="15.75" customHeight="1">
      <c r="A152" s="2" t="s">
        <v>332</v>
      </c>
      <c r="B152" s="2" t="s">
        <v>666</v>
      </c>
      <c r="C152" s="2" t="s">
        <v>666</v>
      </c>
      <c r="D152" s="2">
        <f>IFERROR(VLOOKUP($C152,'_METADATA_TEMPLATE'!$B$2:$H$826,2,FALSE),"")</f>
        <v>354</v>
      </c>
      <c r="E152" s="2" t="str">
        <f>IFERROR(VLOOKUP($C152,'_METADATA_TEMPLATE'!$B$2:$H$826,4,FALSE),"")</f>
        <v>SE2026 - L BLOK IV</v>
      </c>
      <c r="F152" s="2" t="str">
        <f>IFERROR(VLOOKUP($C152,'_METADATA_TEMPLATE'!$B$2:$H$826,5,FALSE),"")</f>
        <v>f</v>
      </c>
      <c r="G152" s="2" t="str">
        <f>IFERROR(VLOOKUP($C152,'_METADATA_TEMPLATE'!$B$2:$H$826,6,FALSE),"")</f>
        <v>Komputer/laptop/tablet: (unit)</v>
      </c>
      <c r="H152" s="2" t="str">
        <f>IFERROR(VLOOKUP($C152,'_METADATA_TEMPLATE'!$B$2:$H$826,7,FALSE),"")</f>
        <v>Number</v>
      </c>
      <c r="I152" s="2" t="str">
        <f>IFERROR(VLOOKUP(C152,'_METADATA_DEFAULT'!$A:$B,2,FALSE),"")</f>
        <v/>
      </c>
    </row>
    <row r="153" ht="15.75" customHeight="1">
      <c r="A153" s="3" t="s">
        <v>332</v>
      </c>
      <c r="B153" s="3" t="s">
        <v>671</v>
      </c>
      <c r="C153" s="3" t="s">
        <v>671</v>
      </c>
      <c r="D153" s="3">
        <f>IFERROR(VLOOKUP($C153,'_METADATA_TEMPLATE'!$B$2:$H$826,2,FALSE),"")</f>
        <v>355</v>
      </c>
      <c r="E153" s="3" t="str">
        <f>IFERROR(VLOOKUP($C153,'_METADATA_TEMPLATE'!$B$2:$H$826,4,FALSE),"")</f>
        <v>SE2026 - L BLOK IV</v>
      </c>
      <c r="F153" s="3" t="str">
        <f>IFERROR(VLOOKUP($C153,'_METADATA_TEMPLATE'!$B$2:$H$826,5,FALSE),"")</f>
        <v>g</v>
      </c>
      <c r="G153" s="3" t="str">
        <f>IFERROR(VLOOKUP($C153,'_METADATA_TEMPLATE'!$B$2:$H$826,6,FALSE),"")</f>
        <v>i. Sepeda motor (termasuk sepeda motor listrik):</v>
      </c>
      <c r="H153" s="3" t="str">
        <f>IFERROR(VLOOKUP($C153,'_METADATA_TEMPLATE'!$B$2:$H$826,7,FALSE),"")</f>
        <v>Number</v>
      </c>
      <c r="I153" s="3" t="str">
        <f>IFERROR(VLOOKUP(C153,'_METADATA_DEFAULT'!$A:$B,2,FALSE),"")</f>
        <v/>
      </c>
    </row>
    <row r="154" ht="15.75" customHeight="1">
      <c r="A154" s="2" t="s">
        <v>332</v>
      </c>
      <c r="B154" s="2" t="s">
        <v>674</v>
      </c>
      <c r="C154" s="2" t="s">
        <v>674</v>
      </c>
      <c r="D154" s="2">
        <f>IFERROR(VLOOKUP($C154,'_METADATA_TEMPLATE'!$B$2:$H$826,2,FALSE),"")</f>
        <v>356</v>
      </c>
      <c r="E154" s="2" t="str">
        <f>IFERROR(VLOOKUP($C154,'_METADATA_TEMPLATE'!$B$2:$H$826,4,FALSE),"")</f>
        <v>SE2026 - L BLOK IV</v>
      </c>
      <c r="F154" s="2" t="str">
        <f>IFERROR(VLOOKUP($C154,'_METADATA_TEMPLATE'!$B$2:$H$826,5,FALSE),"")</f>
        <v>g</v>
      </c>
      <c r="G154" s="2" t="str">
        <f>IFERROR(VLOOKUP($C154,'_METADATA_TEMPLATE'!$B$2:$H$826,6,FALSE),"")</f>
        <v>ii. Total nilai aset sepeda motor (rupiah)</v>
      </c>
      <c r="H154" s="2" t="str">
        <f>IFERROR(VLOOKUP($C154,'_METADATA_TEMPLATE'!$B$2:$H$826,7,FALSE),"")</f>
        <v>Currency</v>
      </c>
      <c r="I154" s="2" t="str">
        <f>IFERROR(VLOOKUP(C154,'_METADATA_DEFAULT'!$A:$B,2,FALSE),"")</f>
        <v/>
      </c>
    </row>
    <row r="155" ht="15.75" customHeight="1">
      <c r="A155" s="3" t="s">
        <v>332</v>
      </c>
      <c r="B155" s="3" t="s">
        <v>676</v>
      </c>
      <c r="C155" s="3" t="s">
        <v>676</v>
      </c>
      <c r="D155" s="3">
        <f>IFERROR(VLOOKUP($C155,'_METADATA_TEMPLATE'!$B$2:$H$826,2,FALSE),"")</f>
        <v>357</v>
      </c>
      <c r="E155" s="3" t="str">
        <f>IFERROR(VLOOKUP($C155,'_METADATA_TEMPLATE'!$B$2:$H$826,4,FALSE),"")</f>
        <v>SE2026 - L BLOK IV</v>
      </c>
      <c r="F155" s="3" t="str">
        <f>IFERROR(VLOOKUP($C155,'_METADATA_TEMPLATE'!$B$2:$H$826,5,FALSE),"")</f>
        <v>h</v>
      </c>
      <c r="G155" s="3" t="str">
        <f>IFERROR(VLOOKUP($C155,'_METADATA_TEMPLATE'!$B$2:$H$826,6,FALSE),"")</f>
        <v>i. Mobil (termasuk mobil listrik):</v>
      </c>
      <c r="H155" s="3" t="str">
        <f>IFERROR(VLOOKUP($C155,'_METADATA_TEMPLATE'!$B$2:$H$826,7,FALSE),"")</f>
        <v>Number</v>
      </c>
      <c r="I155" s="3" t="str">
        <f>IFERROR(VLOOKUP(C155,'_METADATA_DEFAULT'!$A:$B,2,FALSE),"")</f>
        <v/>
      </c>
    </row>
    <row r="156" ht="15.75" customHeight="1">
      <c r="A156" s="2" t="s">
        <v>332</v>
      </c>
      <c r="B156" s="2" t="s">
        <v>679</v>
      </c>
      <c r="C156" s="2" t="s">
        <v>679</v>
      </c>
      <c r="D156" s="2">
        <f>IFERROR(VLOOKUP($C156,'_METADATA_TEMPLATE'!$B$2:$H$826,2,FALSE),"")</f>
        <v>358</v>
      </c>
      <c r="E156" s="2" t="str">
        <f>IFERROR(VLOOKUP($C156,'_METADATA_TEMPLATE'!$B$2:$H$826,4,FALSE),"")</f>
        <v>SE2026 - L BLOK IV</v>
      </c>
      <c r="F156" s="2" t="str">
        <f>IFERROR(VLOOKUP($C156,'_METADATA_TEMPLATE'!$B$2:$H$826,5,FALSE),"")</f>
        <v>h</v>
      </c>
      <c r="G156" s="2" t="str">
        <f>IFERROR(VLOOKUP($C156,'_METADATA_TEMPLATE'!$B$2:$H$826,6,FALSE),"")</f>
        <v>ii. Total nilai aset mobil (rupiah)</v>
      </c>
      <c r="H156" s="2" t="str">
        <f>IFERROR(VLOOKUP($C156,'_METADATA_TEMPLATE'!$B$2:$H$826,7,FALSE),"")</f>
        <v>Currency</v>
      </c>
      <c r="I156" s="2" t="str">
        <f>IFERROR(VLOOKUP(C156,'_METADATA_DEFAULT'!$A:$B,2,FALSE),"")</f>
        <v/>
      </c>
    </row>
    <row r="157" ht="15.75" customHeight="1">
      <c r="A157" s="3" t="s">
        <v>332</v>
      </c>
      <c r="B157" s="3" t="s">
        <v>681</v>
      </c>
      <c r="C157" s="3" t="s">
        <v>681</v>
      </c>
      <c r="D157" s="3">
        <f>IFERROR(VLOOKUP($C157,'_METADATA_TEMPLATE'!$B$2:$H$826,2,FALSE),"")</f>
        <v>359</v>
      </c>
      <c r="E157" s="3" t="str">
        <f>IFERROR(VLOOKUP($C157,'_METADATA_TEMPLATE'!$B$2:$H$826,4,FALSE),"")</f>
        <v>SE2026 - L BLOK IV</v>
      </c>
      <c r="F157" s="3" t="str">
        <f>IFERROR(VLOOKUP($C157,'_METADATA_TEMPLATE'!$B$2:$H$826,5,FALSE),"")</f>
        <v>a</v>
      </c>
      <c r="G157" s="3" t="str">
        <f>IFERROR(VLOOKUP($C157,'_METADATA_TEMPLATE'!$B$2:$H$826,6,FALSE),"")</f>
        <v>i. Jumlah tanah/lahan di tempat lain (selain yang ditempati):</v>
      </c>
      <c r="H157" s="3" t="str">
        <f>IFERROR(VLOOKUP($C157,'_METADATA_TEMPLATE'!$B$2:$H$826,7,FALSE),"")</f>
        <v>Number</v>
      </c>
      <c r="I157" s="3" t="str">
        <f>IFERROR(VLOOKUP(C157,'_METADATA_DEFAULT'!$A:$B,2,FALSE),"")</f>
        <v/>
      </c>
    </row>
    <row r="158" ht="15.75" customHeight="1">
      <c r="A158" s="2" t="s">
        <v>332</v>
      </c>
      <c r="B158" s="2" t="s">
        <v>684</v>
      </c>
      <c r="C158" s="2" t="s">
        <v>684</v>
      </c>
      <c r="D158" s="2">
        <f>IFERROR(VLOOKUP($C158,'_METADATA_TEMPLATE'!$B$2:$H$826,2,FALSE),"")</f>
        <v>360</v>
      </c>
      <c r="E158" s="2" t="str">
        <f>IFERROR(VLOOKUP($C158,'_METADATA_TEMPLATE'!$B$2:$H$826,4,FALSE),"")</f>
        <v>SE2026 - L BLOK IV</v>
      </c>
      <c r="F158" s="2" t="str">
        <f>IFERROR(VLOOKUP($C158,'_METADATA_TEMPLATE'!$B$2:$H$826,5,FALSE),"")</f>
        <v>a</v>
      </c>
      <c r="G158" s="2" t="str">
        <f>IFERROR(VLOOKUP($C158,'_METADATA_TEMPLATE'!$B$2:$H$826,6,FALSE),"")</f>
        <v>ii. Total nilai harga jual tanah/lahan di tempat lain (selain yang ditempati):</v>
      </c>
      <c r="H158" s="2" t="str">
        <f>IFERROR(VLOOKUP($C158,'_METADATA_TEMPLATE'!$B$2:$H$826,7,FALSE),"")</f>
        <v>Currency</v>
      </c>
      <c r="I158" s="2" t="str">
        <f>IFERROR(VLOOKUP(C158,'_METADATA_DEFAULT'!$A:$B,2,FALSE),"")</f>
        <v/>
      </c>
    </row>
    <row r="159" ht="15.75" customHeight="1">
      <c r="A159" s="3" t="s">
        <v>332</v>
      </c>
      <c r="B159" s="3" t="s">
        <v>686</v>
      </c>
      <c r="C159" s="3" t="s">
        <v>686</v>
      </c>
      <c r="D159" s="3">
        <f>IFERROR(VLOOKUP($C159,'_METADATA_TEMPLATE'!$B$2:$H$826,2,FALSE),"")</f>
        <v>361</v>
      </c>
      <c r="E159" s="3" t="str">
        <f>IFERROR(VLOOKUP($C159,'_METADATA_TEMPLATE'!$B$2:$H$826,4,FALSE),"")</f>
        <v>SE2026 - L BLOK IV</v>
      </c>
      <c r="F159" s="3" t="str">
        <f>IFERROR(VLOOKUP($C159,'_METADATA_TEMPLATE'!$B$2:$H$826,5,FALSE),"")</f>
        <v>b</v>
      </c>
      <c r="G159" s="3" t="str">
        <f>IFERROR(VLOOKUP($C159,'_METADATA_TEMPLATE'!$B$2:$H$826,6,FALSE),"")</f>
        <v>i. Jumlah rumah/bangunan di tempat lain (selain yang ditempati):</v>
      </c>
      <c r="H159" s="3" t="str">
        <f>IFERROR(VLOOKUP($C159,'_METADATA_TEMPLATE'!$B$2:$H$826,7,FALSE),"")</f>
        <v>Number</v>
      </c>
      <c r="I159" s="3" t="str">
        <f>IFERROR(VLOOKUP(C159,'_METADATA_DEFAULT'!$A:$B,2,FALSE),"")</f>
        <v/>
      </c>
    </row>
    <row r="160" ht="15.75" customHeight="1">
      <c r="A160" s="2" t="s">
        <v>332</v>
      </c>
      <c r="B160" s="2" t="s">
        <v>690</v>
      </c>
      <c r="C160" s="2" t="s">
        <v>690</v>
      </c>
      <c r="D160" s="2">
        <f>IFERROR(VLOOKUP($C160,'_METADATA_TEMPLATE'!$B$2:$H$826,2,FALSE),"")</f>
        <v>362</v>
      </c>
      <c r="E160" s="2" t="str">
        <f>IFERROR(VLOOKUP($C160,'_METADATA_TEMPLATE'!$B$2:$H$826,4,FALSE),"")</f>
        <v>SE2026 - L BLOK IV</v>
      </c>
      <c r="F160" s="2" t="str">
        <f>IFERROR(VLOOKUP($C160,'_METADATA_TEMPLATE'!$B$2:$H$826,5,FALSE),"")</f>
        <v>b</v>
      </c>
      <c r="G160" s="2" t="str">
        <f>IFERROR(VLOOKUP($C160,'_METADATA_TEMPLATE'!$B$2:$H$826,6,FALSE),"")</f>
        <v>ii. Total nilai harga jual rumah/bangunan di tempat lain (selain yang ditempati):</v>
      </c>
      <c r="H160" s="2" t="str">
        <f>IFERROR(VLOOKUP($C160,'_METADATA_TEMPLATE'!$B$2:$H$826,7,FALSE),"")</f>
        <v>Currency</v>
      </c>
      <c r="I160" s="2" t="str">
        <f>IFERROR(VLOOKUP(C160,'_METADATA_DEFAULT'!$A:$B,2,FALSE),"")</f>
        <v/>
      </c>
    </row>
    <row r="161" ht="15.75" customHeight="1">
      <c r="A161" s="3" t="s">
        <v>332</v>
      </c>
      <c r="B161" s="3" t="s">
        <v>693</v>
      </c>
      <c r="C161" s="3" t="s">
        <v>694</v>
      </c>
      <c r="D161" s="3">
        <f>IFERROR(VLOOKUP($C161,'_METADATA_TEMPLATE'!$B$2:$H$826,2,FALSE),"")</f>
        <v>363</v>
      </c>
      <c r="E161" s="3" t="str">
        <f>IFERROR(VLOOKUP($C161,'_METADATA_TEMPLATE'!$B$2:$H$826,4,FALSE),"")</f>
        <v>SE2026 - L BLOK IV</v>
      </c>
      <c r="F161" s="3" t="str">
        <f>IFERROR(VLOOKUP($C161,'_METADATA_TEMPLATE'!$B$2:$H$826,5,FALSE),"")</f>
        <v/>
      </c>
      <c r="G161" s="3" t="str">
        <f>IFERROR(VLOOKUP($C161,'_METADATA_TEMPLATE'!$B$2:$H$826,6,FALSE),"")</f>
        <v>Foto tampak depan (harus mencakup atap dan dinding)</v>
      </c>
      <c r="H161" s="3" t="str">
        <f>IFERROR(VLOOKUP($C161,'_METADATA_TEMPLATE'!$B$2:$H$826,7,FALSE),"")</f>
        <v>PhotoInput</v>
      </c>
      <c r="I161" s="3" t="str">
        <f>IFERROR(VLOOKUP(C161,'_METADATA_DEFAULT'!$A:$B,2,FALSE),"")</f>
        <v/>
      </c>
    </row>
    <row r="162" ht="15.75" customHeight="1">
      <c r="A162" s="2" t="s">
        <v>332</v>
      </c>
      <c r="B162" s="2" t="s">
        <v>699</v>
      </c>
      <c r="C162" s="2" t="s">
        <v>694</v>
      </c>
      <c r="D162" s="2">
        <f>IFERROR(VLOOKUP($C162,'_METADATA_TEMPLATE'!$B$2:$H$826,2,FALSE),"")</f>
        <v>363</v>
      </c>
      <c r="E162" s="2" t="str">
        <f>IFERROR(VLOOKUP($C162,'_METADATA_TEMPLATE'!$B$2:$H$826,4,FALSE),"")</f>
        <v>SE2026 - L BLOK IV</v>
      </c>
      <c r="F162" s="2" t="str">
        <f>IFERROR(VLOOKUP($C162,'_METADATA_TEMPLATE'!$B$2:$H$826,5,FALSE),"")</f>
        <v/>
      </c>
      <c r="G162" s="2" t="str">
        <f>IFERROR(VLOOKUP($C162,'_METADATA_TEMPLATE'!$B$2:$H$826,6,FALSE),"")</f>
        <v>Foto tampak depan (harus mencakup atap dan dinding)</v>
      </c>
      <c r="H162" s="2" t="str">
        <f>IFERROR(VLOOKUP($C162,'_METADATA_TEMPLATE'!$B$2:$H$826,7,FALSE),"")</f>
        <v>PhotoInput</v>
      </c>
      <c r="I162" s="2" t="str">
        <f>IFERROR(VLOOKUP(C162,'_METADATA_DEFAULT'!$A:$B,2,FALSE),"")</f>
        <v/>
      </c>
    </row>
    <row r="163" ht="15.75" customHeight="1">
      <c r="A163" s="3" t="s">
        <v>332</v>
      </c>
      <c r="B163" s="3" t="s">
        <v>702</v>
      </c>
      <c r="C163" s="3" t="s">
        <v>694</v>
      </c>
      <c r="D163" s="3">
        <f>IFERROR(VLOOKUP($C163,'_METADATA_TEMPLATE'!$B$2:$H$826,2,FALSE),"")</f>
        <v>363</v>
      </c>
      <c r="E163" s="3" t="str">
        <f>IFERROR(VLOOKUP($C163,'_METADATA_TEMPLATE'!$B$2:$H$826,4,FALSE),"")</f>
        <v>SE2026 - L BLOK IV</v>
      </c>
      <c r="F163" s="3" t="str">
        <f>IFERROR(VLOOKUP($C163,'_METADATA_TEMPLATE'!$B$2:$H$826,5,FALSE),"")</f>
        <v/>
      </c>
      <c r="G163" s="3" t="str">
        <f>IFERROR(VLOOKUP($C163,'_METADATA_TEMPLATE'!$B$2:$H$826,6,FALSE),"")</f>
        <v>Foto tampak depan (harus mencakup atap dan dinding)</v>
      </c>
      <c r="H163" s="3" t="str">
        <f>IFERROR(VLOOKUP($C163,'_METADATA_TEMPLATE'!$B$2:$H$826,7,FALSE),"")</f>
        <v>PhotoInput</v>
      </c>
      <c r="I163" s="3" t="str">
        <f>IFERROR(VLOOKUP(C163,'_METADATA_DEFAULT'!$A:$B,2,FALSE),"")</f>
        <v/>
      </c>
    </row>
    <row r="164" ht="15.75" customHeight="1">
      <c r="A164" s="2" t="s">
        <v>332</v>
      </c>
      <c r="B164" s="2" t="s">
        <v>704</v>
      </c>
      <c r="C164" s="2" t="s">
        <v>705</v>
      </c>
      <c r="D164" s="2">
        <f>IFERROR(VLOOKUP($C164,'_METADATA_TEMPLATE'!$B$2:$H$826,2,FALSE),"")</f>
        <v>364</v>
      </c>
      <c r="E164" s="2" t="str">
        <f>IFERROR(VLOOKUP($C164,'_METADATA_TEMPLATE'!$B$2:$H$826,4,FALSE),"")</f>
        <v>SE2026 - L BLOK IV</v>
      </c>
      <c r="F164" s="2" t="str">
        <f>IFERROR(VLOOKUP($C164,'_METADATA_TEMPLATE'!$B$2:$H$826,5,FALSE),"")</f>
        <v/>
      </c>
      <c r="G164" s="2" t="str">
        <f>IFERROR(VLOOKUP($C164,'_METADATA_TEMPLATE'!$B$2:$H$826,6,FALSE),"")</f>
        <v>Foto ruang tamu (harus mencakup dinding dan lantai)</v>
      </c>
      <c r="H164" s="2" t="str">
        <f>IFERROR(VLOOKUP($C164,'_METADATA_TEMPLATE'!$B$2:$H$826,7,FALSE),"")</f>
        <v>PhotoInput</v>
      </c>
      <c r="I164" s="2" t="str">
        <f>IFERROR(VLOOKUP(C164,'_METADATA_DEFAULT'!$A:$B,2,FALSE),"")</f>
        <v/>
      </c>
    </row>
    <row r="165" ht="15.75" customHeight="1">
      <c r="A165" s="3" t="s">
        <v>332</v>
      </c>
      <c r="B165" s="3" t="s">
        <v>709</v>
      </c>
      <c r="C165" s="3" t="s">
        <v>705</v>
      </c>
      <c r="D165" s="3">
        <f>IFERROR(VLOOKUP($C165,'_METADATA_TEMPLATE'!$B$2:$H$826,2,FALSE),"")</f>
        <v>364</v>
      </c>
      <c r="E165" s="3" t="str">
        <f>IFERROR(VLOOKUP($C165,'_METADATA_TEMPLATE'!$B$2:$H$826,4,FALSE),"")</f>
        <v>SE2026 - L BLOK IV</v>
      </c>
      <c r="F165" s="3" t="str">
        <f>IFERROR(VLOOKUP($C165,'_METADATA_TEMPLATE'!$B$2:$H$826,5,FALSE),"")</f>
        <v/>
      </c>
      <c r="G165" s="3" t="str">
        <f>IFERROR(VLOOKUP($C165,'_METADATA_TEMPLATE'!$B$2:$H$826,6,FALSE),"")</f>
        <v>Foto ruang tamu (harus mencakup dinding dan lantai)</v>
      </c>
      <c r="H165" s="3" t="str">
        <f>IFERROR(VLOOKUP($C165,'_METADATA_TEMPLATE'!$B$2:$H$826,7,FALSE),"")</f>
        <v>PhotoInput</v>
      </c>
      <c r="I165" s="3" t="str">
        <f>IFERROR(VLOOKUP(C165,'_METADATA_DEFAULT'!$A:$B,2,FALSE),"")</f>
        <v/>
      </c>
    </row>
    <row r="166" ht="15.75" customHeight="1">
      <c r="A166" s="2" t="s">
        <v>332</v>
      </c>
      <c r="B166" s="2" t="s">
        <v>711</v>
      </c>
      <c r="C166" s="2" t="s">
        <v>705</v>
      </c>
      <c r="D166" s="2">
        <f>IFERROR(VLOOKUP($C166,'_METADATA_TEMPLATE'!$B$2:$H$826,2,FALSE),"")</f>
        <v>364</v>
      </c>
      <c r="E166" s="2" t="str">
        <f>IFERROR(VLOOKUP($C166,'_METADATA_TEMPLATE'!$B$2:$H$826,4,FALSE),"")</f>
        <v>SE2026 - L BLOK IV</v>
      </c>
      <c r="F166" s="2" t="str">
        <f>IFERROR(VLOOKUP($C166,'_METADATA_TEMPLATE'!$B$2:$H$826,5,FALSE),"")</f>
        <v/>
      </c>
      <c r="G166" s="2" t="str">
        <f>IFERROR(VLOOKUP($C166,'_METADATA_TEMPLATE'!$B$2:$H$826,6,FALSE),"")</f>
        <v>Foto ruang tamu (harus mencakup dinding dan lantai)</v>
      </c>
      <c r="H166" s="2" t="str">
        <f>IFERROR(VLOOKUP($C166,'_METADATA_TEMPLATE'!$B$2:$H$826,7,FALSE),"")</f>
        <v>PhotoInput</v>
      </c>
      <c r="I166" s="2" t="str">
        <f>IFERROR(VLOOKUP(C166,'_METADATA_DEFAULT'!$A:$B,2,FALSE),"")</f>
        <v/>
      </c>
    </row>
    <row r="167" ht="15.75" customHeight="1">
      <c r="A167" s="3" t="s">
        <v>332</v>
      </c>
      <c r="B167" s="3" t="s">
        <v>716</v>
      </c>
      <c r="C167" s="3" t="s">
        <v>717</v>
      </c>
      <c r="D167" s="3">
        <f>IFERROR(VLOOKUP($C167,'_METADATA_TEMPLATE'!$B$2:$H$826,2,FALSE),"")</f>
        <v>374</v>
      </c>
      <c r="E167" s="3" t="str">
        <f>IFERROR(VLOOKUP($C167,'_METADATA_TEMPLATE'!$B$2:$H$826,4,FALSE),"")</f>
        <v>KETERANGAN PEMBERI JAWABAN</v>
      </c>
      <c r="F167" s="3" t="str">
        <f>IFERROR(VLOOKUP($C167,'_METADATA_TEMPLATE'!$B$2:$H$826,5,FALSE),"")</f>
        <v/>
      </c>
      <c r="G167" s="3" t="str">
        <f>IFERROR(VLOOKUP($C167,'_METADATA_TEMPLATE'!$B$2:$H$826,6,FALSE),"")</f>
        <v>Nama Pemberi Informasi</v>
      </c>
      <c r="H167" s="3" t="str">
        <f>IFERROR(VLOOKUP($C167,'_METADATA_TEMPLATE'!$B$2:$H$826,7,FALSE),"")</f>
        <v>Select</v>
      </c>
      <c r="I167" s="3" t="str">
        <f>IFERROR(VLOOKUP(C167,'_METADATA_DEFAULT'!$A:$B,2,FALSE),"")</f>
        <v/>
      </c>
    </row>
    <row r="168" ht="15.75" customHeight="1">
      <c r="A168" s="2" t="s">
        <v>332</v>
      </c>
      <c r="B168" s="2" t="s">
        <v>719</v>
      </c>
      <c r="C168" s="2" t="s">
        <v>719</v>
      </c>
      <c r="D168" s="2">
        <f>IFERROR(VLOOKUP($C168,'_METADATA_TEMPLATE'!$B$2:$H$826,2,FALSE),"")</f>
        <v>375</v>
      </c>
      <c r="E168" s="2" t="str">
        <f>IFERROR(VLOOKUP($C168,'_METADATA_TEMPLATE'!$B$2:$H$826,4,FALSE),"")</f>
        <v>KETERANGAN PEMBERI JAWABAN</v>
      </c>
      <c r="F168" s="2" t="str">
        <f>IFERROR(VLOOKUP($C168,'_METADATA_TEMPLATE'!$B$2:$H$826,5,FALSE),"")</f>
        <v/>
      </c>
      <c r="G168" s="2" t="str">
        <f>IFERROR(VLOOKUP($C168,'_METADATA_TEMPLATE'!$B$2:$H$826,6,FALSE),"")</f>
        <v>Nama Lain</v>
      </c>
      <c r="H168" s="2" t="str">
        <f>IFERROR(VLOOKUP($C168,'_METADATA_TEMPLATE'!$B$2:$H$826,7,FALSE),"")</f>
        <v>Text Input</v>
      </c>
      <c r="I168" s="2" t="str">
        <f>IFERROR(VLOOKUP(C168,'_METADATA_DEFAULT'!$A:$B,2,FALSE),"")</f>
        <v/>
      </c>
    </row>
    <row r="169" ht="15.75" customHeight="1">
      <c r="A169" s="3" t="s">
        <v>332</v>
      </c>
      <c r="B169" s="3" t="s">
        <v>722</v>
      </c>
      <c r="C169" s="3" t="s">
        <v>722</v>
      </c>
      <c r="D169" s="3">
        <f>IFERROR(VLOOKUP($C169,'_METADATA_TEMPLATE'!$B$2:$H$826,2,FALSE),"")</f>
        <v>376</v>
      </c>
      <c r="E169" s="3" t="str">
        <f>IFERROR(VLOOKUP($C169,'_METADATA_TEMPLATE'!$B$2:$H$826,4,FALSE),"")</f>
        <v>KETERANGAN PEMBERI JAWABAN</v>
      </c>
      <c r="F169" s="3" t="str">
        <f>IFERROR(VLOOKUP($C169,'_METADATA_TEMPLATE'!$B$2:$H$826,5,FALSE),"")</f>
        <v/>
      </c>
      <c r="G169" s="3" t="str">
        <f>IFERROR(VLOOKUP($C169,'_METADATA_TEMPLATE'!$B$2:$H$826,6,FALSE),"")</f>
        <v>Nomor HP/Telepon</v>
      </c>
      <c r="H169" s="3" t="str">
        <f>IFERROR(VLOOKUP($C169,'_METADATA_TEMPLATE'!$B$2:$H$826,7,FALSE),"")</f>
        <v>Text Input</v>
      </c>
      <c r="I169" s="3" t="str">
        <f>IFERROR(VLOOKUP(C169,'_METADATA_DEFAULT'!$A:$B,2,FALSE),"")</f>
        <v/>
      </c>
    </row>
    <row r="170" ht="15.75" customHeight="1">
      <c r="A170" s="2" t="s">
        <v>332</v>
      </c>
      <c r="B170" s="2" t="s">
        <v>724</v>
      </c>
      <c r="C170" s="2" t="s">
        <v>724</v>
      </c>
      <c r="D170" s="2">
        <f>IFERROR(VLOOKUP($C170,'_METADATA_TEMPLATE'!$B$2:$H$826,2,FALSE),"")</f>
        <v>377</v>
      </c>
      <c r="E170" s="2" t="str">
        <f>IFERROR(VLOOKUP($C170,'_METADATA_TEMPLATE'!$B$2:$H$826,4,FALSE),"")</f>
        <v>KETERANGAN PEMBERI JAWABAN</v>
      </c>
      <c r="F170" s="2" t="str">
        <f>IFERROR(VLOOKUP($C170,'_METADATA_TEMPLATE'!$B$2:$H$826,5,FALSE),"")</f>
        <v/>
      </c>
      <c r="G170" s="2" t="str">
        <f>IFERROR(VLOOKUP($C170,'_METADATA_TEMPLATE'!$B$2:$H$826,6,FALSE),"")</f>
        <v>E-mail</v>
      </c>
      <c r="H170" s="2" t="str">
        <f>IFERROR(VLOOKUP($C170,'_METADATA_TEMPLATE'!$B$2:$H$826,7,FALSE),"")</f>
        <v>Text Input</v>
      </c>
      <c r="I170" s="2" t="str">
        <f>IFERROR(VLOOKUP(C170,'_METADATA_DEFAULT'!$A:$B,2,FALSE),"")</f>
        <v/>
      </c>
    </row>
    <row r="171" ht="15.75" customHeight="1">
      <c r="A171" s="3" t="s">
        <v>332</v>
      </c>
      <c r="B171" s="3" t="s">
        <v>727</v>
      </c>
      <c r="C171" s="3" t="s">
        <v>727</v>
      </c>
      <c r="D171" s="3">
        <f>IFERROR(VLOOKUP($C171,'_METADATA_TEMPLATE'!$B$2:$H$826,2,FALSE),"")</f>
        <v>379</v>
      </c>
      <c r="E171" s="3" t="str">
        <f>IFERROR(VLOOKUP($C171,'_METADATA_TEMPLATE'!$B$2:$H$826,4,FALSE),"")</f>
        <v>CATATAN</v>
      </c>
      <c r="F171" s="3" t="str">
        <f>IFERROR(VLOOKUP($C171,'_METADATA_TEMPLATE'!$B$2:$H$826,5,FALSE),"")</f>
        <v/>
      </c>
      <c r="G171" s="3" t="str">
        <f>IFERROR(VLOOKUP($C171,'_METADATA_TEMPLATE'!$B$2:$H$826,6,FALSE),"")</f>
        <v>Catatan</v>
      </c>
      <c r="H171" s="3" t="str">
        <f>IFERROR(VLOOKUP($C171,'_METADATA_TEMPLATE'!$B$2:$H$826,7,FALSE),"")</f>
        <v>Text Area</v>
      </c>
      <c r="I171" s="3" t="str">
        <f>IFERROR(VLOOKUP(C171,'_METADATA_DEFAULT'!$A:$B,2,FALSE),"")</f>
        <v/>
      </c>
    </row>
    <row r="172" ht="15.75" customHeight="1">
      <c r="A172" s="2" t="s">
        <v>332</v>
      </c>
      <c r="B172" s="2" t="s">
        <v>729</v>
      </c>
      <c r="C172" s="2" t="s">
        <v>729</v>
      </c>
      <c r="D172" s="2">
        <f>IFERROR(VLOOKUP($C172,'_METADATA_TEMPLATE'!$B$2:$H$826,2,FALSE),"")</f>
        <v>380</v>
      </c>
      <c r="E172" s="2" t="str">
        <f>IFERROR(VLOOKUP($C172,'_METADATA_TEMPLATE'!$B$2:$H$826,4,FALSE),"")</f>
        <v>CATATAN</v>
      </c>
      <c r="F172" s="2" t="str">
        <f>IFERROR(VLOOKUP($C172,'_METADATA_TEMPLATE'!$B$2:$H$826,5,FALSE),"")</f>
        <v/>
      </c>
      <c r="G172" s="2" t="str">
        <f>IFERROR(VLOOKUP($C172,'_METADATA_TEMPLATE'!$B$2:$H$826,6,FALSE),"")</f>
        <v>Waktu Selesai</v>
      </c>
      <c r="H172" s="2" t="str">
        <f>IFERROR(VLOOKUP($C172,'_METADATA_TEMPLATE'!$B$2:$H$826,7,FALSE),"")</f>
        <v>NowInput</v>
      </c>
      <c r="I172" s="2" t="str">
        <f>IFERROR(VLOOKUP(C172,'_METADATA_DEFAULT'!$A:$B,2,FALSE),"")</f>
        <v/>
      </c>
    </row>
    <row r="173" ht="15.75" customHeight="1">
      <c r="A173" s="3" t="s">
        <v>332</v>
      </c>
      <c r="B173" s="3" t="s">
        <v>731</v>
      </c>
      <c r="C173" s="3" t="s">
        <v>731</v>
      </c>
      <c r="D173" s="3">
        <f>IFERROR(VLOOKUP($C173,'_METADATA_TEMPLATE'!$B$2:$H$826,2,FALSE),"")</f>
        <v>381</v>
      </c>
      <c r="E173" s="3" t="str">
        <f>IFERROR(VLOOKUP($C173,'_METADATA_TEMPLATE'!$B$2:$H$826,4,FALSE),"")</f>
        <v>CATATAN</v>
      </c>
      <c r="F173" s="3" t="str">
        <f>IFERROR(VLOOKUP($C173,'_METADATA_TEMPLATE'!$B$2:$H$826,5,FALSE),"")</f>
        <v/>
      </c>
      <c r="G173" s="3" t="str">
        <f>IFERROR(VLOOKUP($C173,'_METADATA_TEMPLATE'!$B$2:$H$826,6,FALSE),"")</f>
        <v>Tampilkan Anomali Usaha dan Keluarga</v>
      </c>
      <c r="H173" s="3" t="str">
        <f>IFERROR(VLOOKUP($C173,'_METADATA_TEMPLATE'!$B$2:$H$826,7,FALSE),"")</f>
        <v>Toggle</v>
      </c>
      <c r="I173" s="3" t="str">
        <f>IFERROR(VLOOKUP(C173,'_METADATA_DEFAULT'!$A:$B,2,FALSE),"")</f>
        <v/>
      </c>
    </row>
    <row r="174" ht="15.75" customHeight="1">
      <c r="A174" s="2" t="s">
        <v>332</v>
      </c>
      <c r="B174" s="2" t="s">
        <v>733</v>
      </c>
      <c r="C174" s="2" t="s">
        <v>733</v>
      </c>
      <c r="D174" s="2">
        <f>IFERROR(VLOOKUP($C174,'_METADATA_TEMPLATE'!$B$2:$H$826,2,FALSE),"")</f>
        <v>382</v>
      </c>
      <c r="E174" s="2" t="str">
        <f>IFERROR(VLOOKUP($C174,'_METADATA_TEMPLATE'!$B$2:$H$826,4,FALSE),"")</f>
        <v>CATATAN</v>
      </c>
      <c r="F174" s="2" t="str">
        <f>IFERROR(VLOOKUP($C174,'_METADATA_TEMPLATE'!$B$2:$H$826,5,FALSE),"")</f>
        <v/>
      </c>
      <c r="G174" s="2" t="str">
        <f>IFERROR(VLOOKUP($C174,'_METADATA_TEMPLATE'!$B$2:$H$826,6,FALSE),"")</f>
        <v>Anomali diselesaikan oleh admin</v>
      </c>
      <c r="H174" s="2" t="str">
        <f>IFERROR(VLOOKUP($C174,'_METADATA_TEMPLATE'!$B$2:$H$826,7,FALSE),"")</f>
        <v>Toggle</v>
      </c>
      <c r="I174" s="2" t="str">
        <f>IFERROR(VLOOKUP(C174,'_METADATA_DEFAULT'!$A:$B,2,FALSE),"")</f>
        <v/>
      </c>
    </row>
    <row r="175" ht="15.75" customHeight="1">
      <c r="A175" s="3" t="s">
        <v>332</v>
      </c>
      <c r="B175" s="3" t="s">
        <v>736</v>
      </c>
      <c r="C175" s="3" t="s">
        <v>736</v>
      </c>
      <c r="D175" s="3">
        <f>IFERROR(VLOOKUP($C175,'_METADATA_TEMPLATE'!$B$2:$H$826,2,FALSE),"")</f>
        <v>383</v>
      </c>
      <c r="E175" s="3" t="str">
        <f>IFERROR(VLOOKUP($C175,'_METADATA_TEMPLATE'!$B$2:$H$826,4,FALSE),"")</f>
        <v>CATATAN</v>
      </c>
      <c r="F175" s="3" t="str">
        <f>IFERROR(VLOOKUP($C175,'_METADATA_TEMPLATE'!$B$2:$H$826,5,FALSE),"")</f>
        <v/>
      </c>
      <c r="G175" s="3" t="str">
        <f>IFERROR(VLOOKUP($C175,'_METADATA_TEMPLATE'!$B$2:$H$826,6,FALSE),"")</f>
        <v>Penjelasan Penyelesaian Anomali oleh Admin</v>
      </c>
      <c r="H175" s="3" t="str">
        <f>IFERROR(VLOOKUP($C175,'_METADATA_TEMPLATE'!$B$2:$H$826,7,FALSE),"")</f>
        <v>Text Area</v>
      </c>
      <c r="I175" s="3" t="str">
        <f>IFERROR(VLOOKUP(C175,'_METADATA_DEFAULT'!$A:$B,2,FALSE),"")</f>
        <v/>
      </c>
    </row>
    <row r="176" ht="15.75" customHeight="1">
      <c r="A176" s="2" t="s">
        <v>332</v>
      </c>
      <c r="B176" s="2" t="s">
        <v>738</v>
      </c>
      <c r="C176" s="2" t="s">
        <v>738</v>
      </c>
      <c r="D176" s="2">
        <f>IFERROR(VLOOKUP($C176,'_METADATA_TEMPLATE'!$B$2:$H$826,2,FALSE),"")</f>
        <v>385</v>
      </c>
      <c r="E176" s="2" t="str">
        <f>IFERROR(VLOOKUP($C176,'_METADATA_TEMPLATE'!$B$2:$H$826,4,FALSE),"")</f>
        <v>ANOMALI USAHA</v>
      </c>
      <c r="F176" s="2" t="str">
        <f>IFERROR(VLOOKUP($C176,'_METADATA_TEMPLATE'!$B$2:$H$826,5,FALSE),"")</f>
        <v/>
      </c>
      <c r="G176" s="2" t="str">
        <f>IFERROR(VLOOKUP($C176,'_METADATA_TEMPLATE'!$B$2:$H$826,6,FALSE),"")</f>
        <v>Penjelasan Anomali 1</v>
      </c>
      <c r="H176" s="2" t="str">
        <f>IFERROR(VLOOKUP($C176,'_METADATA_TEMPLATE'!$B$2:$H$826,7,FALSE),"")</f>
        <v>Text Area</v>
      </c>
      <c r="I176" s="2" t="str">
        <f>IFERROR(VLOOKUP(C176,'_METADATA_DEFAULT'!$A:$B,2,FALSE),"")</f>
        <v/>
      </c>
    </row>
    <row r="177" ht="15.75" customHeight="1">
      <c r="A177" s="3" t="s">
        <v>332</v>
      </c>
      <c r="B177" s="3" t="s">
        <v>740</v>
      </c>
      <c r="C177" s="3" t="s">
        <v>740</v>
      </c>
      <c r="D177" s="3">
        <f>IFERROR(VLOOKUP($C177,'_METADATA_TEMPLATE'!$B$2:$H$826,2,FALSE),"")</f>
        <v>387</v>
      </c>
      <c r="E177" s="3" t="str">
        <f>IFERROR(VLOOKUP($C177,'_METADATA_TEMPLATE'!$B$2:$H$826,4,FALSE),"")</f>
        <v>ANOMALI USAHA</v>
      </c>
      <c r="F177" s="3" t="str">
        <f>IFERROR(VLOOKUP($C177,'_METADATA_TEMPLATE'!$B$2:$H$826,5,FALSE),"")</f>
        <v/>
      </c>
      <c r="G177" s="3" t="str">
        <f>IFERROR(VLOOKUP($C177,'_METADATA_TEMPLATE'!$B$2:$H$826,6,FALSE),"")</f>
        <v>Penjelasan Anomali 2</v>
      </c>
      <c r="H177" s="3" t="str">
        <f>IFERROR(VLOOKUP($C177,'_METADATA_TEMPLATE'!$B$2:$H$826,7,FALSE),"")</f>
        <v>Text Area</v>
      </c>
      <c r="I177" s="3" t="str">
        <f>IFERROR(VLOOKUP(C177,'_METADATA_DEFAULT'!$A:$B,2,FALSE),"")</f>
        <v/>
      </c>
    </row>
    <row r="178" ht="15.75" customHeight="1">
      <c r="A178" s="2" t="s">
        <v>332</v>
      </c>
      <c r="B178" s="2" t="s">
        <v>742</v>
      </c>
      <c r="C178" s="2" t="s">
        <v>742</v>
      </c>
      <c r="D178" s="2">
        <f>IFERROR(VLOOKUP($C178,'_METADATA_TEMPLATE'!$B$2:$H$826,2,FALSE),"")</f>
        <v>389</v>
      </c>
      <c r="E178" s="2" t="str">
        <f>IFERROR(VLOOKUP($C178,'_METADATA_TEMPLATE'!$B$2:$H$826,4,FALSE),"")</f>
        <v>ANOMALI USAHA</v>
      </c>
      <c r="F178" s="2" t="str">
        <f>IFERROR(VLOOKUP($C178,'_METADATA_TEMPLATE'!$B$2:$H$826,5,FALSE),"")</f>
        <v/>
      </c>
      <c r="G178" s="2" t="str">
        <f>IFERROR(VLOOKUP($C178,'_METADATA_TEMPLATE'!$B$2:$H$826,6,FALSE),"")</f>
        <v>Penjelasan Anomali 3</v>
      </c>
      <c r="H178" s="2" t="str">
        <f>IFERROR(VLOOKUP($C178,'_METADATA_TEMPLATE'!$B$2:$H$826,7,FALSE),"")</f>
        <v>Text Area</v>
      </c>
      <c r="I178" s="2" t="str">
        <f>IFERROR(VLOOKUP(C178,'_METADATA_DEFAULT'!$A:$B,2,FALSE),"")</f>
        <v/>
      </c>
    </row>
    <row r="179" ht="15.75" customHeight="1">
      <c r="A179" s="3" t="s">
        <v>332</v>
      </c>
      <c r="B179" s="3" t="s">
        <v>745</v>
      </c>
      <c r="C179" s="3" t="s">
        <v>745</v>
      </c>
      <c r="D179" s="3">
        <f>IFERROR(VLOOKUP($C179,'_METADATA_TEMPLATE'!$B$2:$H$826,2,FALSE),"")</f>
        <v>391</v>
      </c>
      <c r="E179" s="3" t="str">
        <f>IFERROR(VLOOKUP($C179,'_METADATA_TEMPLATE'!$B$2:$H$826,4,FALSE),"")</f>
        <v>ANOMALI USAHA</v>
      </c>
      <c r="F179" s="3" t="str">
        <f>IFERROR(VLOOKUP($C179,'_METADATA_TEMPLATE'!$B$2:$H$826,5,FALSE),"")</f>
        <v/>
      </c>
      <c r="G179" s="3" t="str">
        <f>IFERROR(VLOOKUP($C179,'_METADATA_TEMPLATE'!$B$2:$H$826,6,FALSE),"")</f>
        <v>Penjelasan Anomali 4</v>
      </c>
      <c r="H179" s="3" t="str">
        <f>IFERROR(VLOOKUP($C179,'_METADATA_TEMPLATE'!$B$2:$H$826,7,FALSE),"")</f>
        <v>Text Area</v>
      </c>
      <c r="I179" s="3" t="str">
        <f>IFERROR(VLOOKUP(C179,'_METADATA_DEFAULT'!$A:$B,2,FALSE),"")</f>
        <v/>
      </c>
    </row>
    <row r="180" ht="15.75" customHeight="1">
      <c r="A180" s="2" t="s">
        <v>332</v>
      </c>
      <c r="B180" s="2" t="s">
        <v>747</v>
      </c>
      <c r="C180" s="2" t="s">
        <v>747</v>
      </c>
      <c r="D180" s="2">
        <f>IFERROR(VLOOKUP($C180,'_METADATA_TEMPLATE'!$B$2:$H$826,2,FALSE),"")</f>
        <v>393</v>
      </c>
      <c r="E180" s="2" t="str">
        <f>IFERROR(VLOOKUP($C180,'_METADATA_TEMPLATE'!$B$2:$H$826,4,FALSE),"")</f>
        <v>ANOMALI USAHA</v>
      </c>
      <c r="F180" s="2" t="str">
        <f>IFERROR(VLOOKUP($C180,'_METADATA_TEMPLATE'!$B$2:$H$826,5,FALSE),"")</f>
        <v/>
      </c>
      <c r="G180" s="2" t="str">
        <f>IFERROR(VLOOKUP($C180,'_METADATA_TEMPLATE'!$B$2:$H$826,6,FALSE),"")</f>
        <v>Penjelasan Anomali 5</v>
      </c>
      <c r="H180" s="2" t="str">
        <f>IFERROR(VLOOKUP($C180,'_METADATA_TEMPLATE'!$B$2:$H$826,7,FALSE),"")</f>
        <v>Text Area</v>
      </c>
      <c r="I180" s="2" t="str">
        <f>IFERROR(VLOOKUP(C180,'_METADATA_DEFAULT'!$A:$B,2,FALSE),"")</f>
        <v/>
      </c>
    </row>
    <row r="181" ht="15.75" customHeight="1">
      <c r="A181" s="3" t="s">
        <v>332</v>
      </c>
      <c r="B181" s="3" t="s">
        <v>750</v>
      </c>
      <c r="C181" s="3" t="s">
        <v>750</v>
      </c>
      <c r="D181" s="3">
        <f>IFERROR(VLOOKUP($C181,'_METADATA_TEMPLATE'!$B$2:$H$826,2,FALSE),"")</f>
        <v>395</v>
      </c>
      <c r="E181" s="3" t="str">
        <f>IFERROR(VLOOKUP($C181,'_METADATA_TEMPLATE'!$B$2:$H$826,4,FALSE),"")</f>
        <v>ANOMALI USAHA</v>
      </c>
      <c r="F181" s="3" t="str">
        <f>IFERROR(VLOOKUP($C181,'_METADATA_TEMPLATE'!$B$2:$H$826,5,FALSE),"")</f>
        <v/>
      </c>
      <c r="G181" s="3" t="str">
        <f>IFERROR(VLOOKUP($C181,'_METADATA_TEMPLATE'!$B$2:$H$826,6,FALSE),"")</f>
        <v>Penjelasan Anomali 6</v>
      </c>
      <c r="H181" s="3" t="str">
        <f>IFERROR(VLOOKUP($C181,'_METADATA_TEMPLATE'!$B$2:$H$826,7,FALSE),"")</f>
        <v>Text Area</v>
      </c>
      <c r="I181" s="3" t="str">
        <f>IFERROR(VLOOKUP(C181,'_METADATA_DEFAULT'!$A:$B,2,FALSE),"")</f>
        <v/>
      </c>
    </row>
    <row r="182" ht="15.75" customHeight="1">
      <c r="A182" s="2" t="s">
        <v>332</v>
      </c>
      <c r="B182" s="2" t="s">
        <v>751</v>
      </c>
      <c r="C182" s="2" t="s">
        <v>751</v>
      </c>
      <c r="D182" s="2">
        <f>IFERROR(VLOOKUP($C182,'_METADATA_TEMPLATE'!$B$2:$H$826,2,FALSE),"")</f>
        <v>397</v>
      </c>
      <c r="E182" s="2" t="str">
        <f>IFERROR(VLOOKUP($C182,'_METADATA_TEMPLATE'!$B$2:$H$826,4,FALSE),"")</f>
        <v>ANOMALI USAHA</v>
      </c>
      <c r="F182" s="2" t="str">
        <f>IFERROR(VLOOKUP($C182,'_METADATA_TEMPLATE'!$B$2:$H$826,5,FALSE),"")</f>
        <v/>
      </c>
      <c r="G182" s="2" t="str">
        <f>IFERROR(VLOOKUP($C182,'_METADATA_TEMPLATE'!$B$2:$H$826,6,FALSE),"")</f>
        <v>Penjelasan Anomali 7</v>
      </c>
      <c r="H182" s="2" t="str">
        <f>IFERROR(VLOOKUP($C182,'_METADATA_TEMPLATE'!$B$2:$H$826,7,FALSE),"")</f>
        <v>Text Area</v>
      </c>
      <c r="I182" s="2" t="str">
        <f>IFERROR(VLOOKUP(C182,'_METADATA_DEFAULT'!$A:$B,2,FALSE),"")</f>
        <v/>
      </c>
    </row>
    <row r="183" ht="15.75" customHeight="1">
      <c r="A183" s="3" t="s">
        <v>332</v>
      </c>
      <c r="B183" s="3" t="s">
        <v>753</v>
      </c>
      <c r="C183" s="3" t="s">
        <v>753</v>
      </c>
      <c r="D183" s="3">
        <f>IFERROR(VLOOKUP($C183,'_METADATA_TEMPLATE'!$B$2:$H$826,2,FALSE),"")</f>
        <v>399</v>
      </c>
      <c r="E183" s="3" t="str">
        <f>IFERROR(VLOOKUP($C183,'_METADATA_TEMPLATE'!$B$2:$H$826,4,FALSE),"")</f>
        <v>ANOMALI USAHA</v>
      </c>
      <c r="F183" s="3" t="str">
        <f>IFERROR(VLOOKUP($C183,'_METADATA_TEMPLATE'!$B$2:$H$826,5,FALSE),"")</f>
        <v/>
      </c>
      <c r="G183" s="3" t="str">
        <f>IFERROR(VLOOKUP($C183,'_METADATA_TEMPLATE'!$B$2:$H$826,6,FALSE),"")</f>
        <v>Penjelasan Anomali 8</v>
      </c>
      <c r="H183" s="3" t="str">
        <f>IFERROR(VLOOKUP($C183,'_METADATA_TEMPLATE'!$B$2:$H$826,7,FALSE),"")</f>
        <v>Text Area</v>
      </c>
      <c r="I183" s="3" t="str">
        <f>IFERROR(VLOOKUP(C183,'_METADATA_DEFAULT'!$A:$B,2,FALSE),"")</f>
        <v/>
      </c>
    </row>
    <row r="184" ht="15.75" customHeight="1">
      <c r="A184" s="2" t="s">
        <v>332</v>
      </c>
      <c r="B184" s="2" t="s">
        <v>756</v>
      </c>
      <c r="C184" s="2" t="s">
        <v>756</v>
      </c>
      <c r="D184" s="2">
        <f>IFERROR(VLOOKUP($C184,'_METADATA_TEMPLATE'!$B$2:$H$826,2,FALSE),"")</f>
        <v>401</v>
      </c>
      <c r="E184" s="2" t="str">
        <f>IFERROR(VLOOKUP($C184,'_METADATA_TEMPLATE'!$B$2:$H$826,4,FALSE),"")</f>
        <v>ANOMALI KELUARGA</v>
      </c>
      <c r="F184" s="2" t="str">
        <f>IFERROR(VLOOKUP($C184,'_METADATA_TEMPLATE'!$B$2:$H$826,5,FALSE),"")</f>
        <v/>
      </c>
      <c r="G184" s="2" t="str">
        <f>IFERROR(VLOOKUP($C184,'_METADATA_TEMPLATE'!$B$2:$H$826,6,FALSE),"")</f>
        <v>Penjelasan Anomali 1</v>
      </c>
      <c r="H184" s="2" t="str">
        <f>IFERROR(VLOOKUP($C184,'_METADATA_TEMPLATE'!$B$2:$H$826,7,FALSE),"")</f>
        <v>Text Area</v>
      </c>
      <c r="I184" s="2" t="str">
        <f>IFERROR(VLOOKUP(C184,'_METADATA_DEFAULT'!$A:$B,2,FALSE),"")</f>
        <v/>
      </c>
    </row>
    <row r="185" ht="15.75" customHeight="1">
      <c r="A185" s="3" t="s">
        <v>332</v>
      </c>
      <c r="B185" s="3" t="s">
        <v>758</v>
      </c>
      <c r="C185" s="3" t="s">
        <v>758</v>
      </c>
      <c r="D185" s="3">
        <f>IFERROR(VLOOKUP($C185,'_METADATA_TEMPLATE'!$B$2:$H$826,2,FALSE),"")</f>
        <v>403</v>
      </c>
      <c r="E185" s="3" t="str">
        <f>IFERROR(VLOOKUP($C185,'_METADATA_TEMPLATE'!$B$2:$H$826,4,FALSE),"")</f>
        <v>ANOMALI KELUARGA</v>
      </c>
      <c r="F185" s="3" t="str">
        <f>IFERROR(VLOOKUP($C185,'_METADATA_TEMPLATE'!$B$2:$H$826,5,FALSE),"")</f>
        <v/>
      </c>
      <c r="G185" s="3" t="str">
        <f>IFERROR(VLOOKUP($C185,'_METADATA_TEMPLATE'!$B$2:$H$826,6,FALSE),"")</f>
        <v>Penjelasan Anomali 2</v>
      </c>
      <c r="H185" s="3" t="str">
        <f>IFERROR(VLOOKUP($C185,'_METADATA_TEMPLATE'!$B$2:$H$826,7,FALSE),"")</f>
        <v>Text Area</v>
      </c>
      <c r="I185" s="3" t="str">
        <f>IFERROR(VLOOKUP(C185,'_METADATA_DEFAULT'!$A:$B,2,FALSE),"")</f>
        <v/>
      </c>
    </row>
    <row r="186" ht="15.75" customHeight="1">
      <c r="A186" s="2" t="s">
        <v>332</v>
      </c>
      <c r="B186" s="2" t="s">
        <v>761</v>
      </c>
      <c r="C186" s="2" t="s">
        <v>761</v>
      </c>
      <c r="D186" s="2">
        <f>IFERROR(VLOOKUP($C186,'_METADATA_TEMPLATE'!$B$2:$H$826,2,FALSE),"")</f>
        <v>405</v>
      </c>
      <c r="E186" s="2" t="str">
        <f>IFERROR(VLOOKUP($C186,'_METADATA_TEMPLATE'!$B$2:$H$826,4,FALSE),"")</f>
        <v>ANOMALI KELUARGA</v>
      </c>
      <c r="F186" s="2" t="str">
        <f>IFERROR(VLOOKUP($C186,'_METADATA_TEMPLATE'!$B$2:$H$826,5,FALSE),"")</f>
        <v/>
      </c>
      <c r="G186" s="2" t="str">
        <f>IFERROR(VLOOKUP($C186,'_METADATA_TEMPLATE'!$B$2:$H$826,6,FALSE),"")</f>
        <v>Penjelasan Anomali 3</v>
      </c>
      <c r="H186" s="2" t="str">
        <f>IFERROR(VLOOKUP($C186,'_METADATA_TEMPLATE'!$B$2:$H$826,7,FALSE),"")</f>
        <v>Text Area</v>
      </c>
      <c r="I186" s="2" t="str">
        <f>IFERROR(VLOOKUP(C186,'_METADATA_DEFAULT'!$A:$B,2,FALSE),"")</f>
        <v/>
      </c>
    </row>
    <row r="187" ht="15.75" customHeight="1">
      <c r="A187" s="3" t="s">
        <v>332</v>
      </c>
      <c r="B187" s="3" t="s">
        <v>763</v>
      </c>
      <c r="C187" s="3" t="s">
        <v>763</v>
      </c>
      <c r="D187" s="3">
        <f>IFERROR(VLOOKUP($C187,'_METADATA_TEMPLATE'!$B$2:$H$826,2,FALSE),"")</f>
        <v>407</v>
      </c>
      <c r="E187" s="3" t="str">
        <f>IFERROR(VLOOKUP($C187,'_METADATA_TEMPLATE'!$B$2:$H$826,4,FALSE),"")</f>
        <v>ANOMALI KELUARGA</v>
      </c>
      <c r="F187" s="3" t="str">
        <f>IFERROR(VLOOKUP($C187,'_METADATA_TEMPLATE'!$B$2:$H$826,5,FALSE),"")</f>
        <v/>
      </c>
      <c r="G187" s="3" t="str">
        <f>IFERROR(VLOOKUP($C187,'_METADATA_TEMPLATE'!$B$2:$H$826,6,FALSE),"")</f>
        <v>Penjelasan Anomali 4</v>
      </c>
      <c r="H187" s="3" t="str">
        <f>IFERROR(VLOOKUP($C187,'_METADATA_TEMPLATE'!$B$2:$H$826,7,FALSE),"")</f>
        <v>Text Area</v>
      </c>
      <c r="I187" s="3" t="str">
        <f>IFERROR(VLOOKUP(C187,'_METADATA_DEFAULT'!$A:$B,2,FALSE),"")</f>
        <v/>
      </c>
    </row>
    <row r="188" ht="15.75" customHeight="1">
      <c r="A188" s="2" t="s">
        <v>332</v>
      </c>
      <c r="B188" s="2" t="s">
        <v>766</v>
      </c>
      <c r="C188" s="2" t="s">
        <v>766</v>
      </c>
      <c r="D188" s="2">
        <f>IFERROR(VLOOKUP($C188,'_METADATA_TEMPLATE'!$B$2:$H$826,2,FALSE),"")</f>
        <v>409</v>
      </c>
      <c r="E188" s="2" t="str">
        <f>IFERROR(VLOOKUP($C188,'_METADATA_TEMPLATE'!$B$2:$H$826,4,FALSE),"")</f>
        <v>ANOMALI KELUARGA</v>
      </c>
      <c r="F188" s="2" t="str">
        <f>IFERROR(VLOOKUP($C188,'_METADATA_TEMPLATE'!$B$2:$H$826,5,FALSE),"")</f>
        <v/>
      </c>
      <c r="G188" s="2" t="str">
        <f>IFERROR(VLOOKUP($C188,'_METADATA_TEMPLATE'!$B$2:$H$826,6,FALSE),"")</f>
        <v>Penjelasan Anomali 5</v>
      </c>
      <c r="H188" s="2" t="str">
        <f>IFERROR(VLOOKUP($C188,'_METADATA_TEMPLATE'!$B$2:$H$826,7,FALSE),"")</f>
        <v>Text Area</v>
      </c>
      <c r="I188" s="2" t="str">
        <f>IFERROR(VLOOKUP(C188,'_METADATA_DEFAULT'!$A:$B,2,FALSE),"")</f>
        <v/>
      </c>
    </row>
    <row r="189" ht="15.75" customHeight="1">
      <c r="A189" s="3" t="s">
        <v>332</v>
      </c>
      <c r="B189" s="3" t="s">
        <v>768</v>
      </c>
      <c r="C189" s="3" t="s">
        <v>768</v>
      </c>
      <c r="D189" s="3">
        <f>IFERROR(VLOOKUP($C189,'_METADATA_TEMPLATE'!$B$2:$H$826,2,FALSE),"")</f>
        <v>411</v>
      </c>
      <c r="E189" s="3" t="str">
        <f>IFERROR(VLOOKUP($C189,'_METADATA_TEMPLATE'!$B$2:$H$826,4,FALSE),"")</f>
        <v>ANOMALI KELUARGA</v>
      </c>
      <c r="F189" s="3" t="str">
        <f>IFERROR(VLOOKUP($C189,'_METADATA_TEMPLATE'!$B$2:$H$826,5,FALSE),"")</f>
        <v/>
      </c>
      <c r="G189" s="3" t="str">
        <f>IFERROR(VLOOKUP($C189,'_METADATA_TEMPLATE'!$B$2:$H$826,6,FALSE),"")</f>
        <v>Penjelasan Anomali 6</v>
      </c>
      <c r="H189" s="3" t="str">
        <f>IFERROR(VLOOKUP($C189,'_METADATA_TEMPLATE'!$B$2:$H$826,7,FALSE),"")</f>
        <v>Text Area</v>
      </c>
      <c r="I189" s="3" t="str">
        <f>IFERROR(VLOOKUP(C189,'_METADATA_DEFAULT'!$A:$B,2,FALSE),"")</f>
        <v/>
      </c>
    </row>
    <row r="190" ht="15.75" customHeight="1">
      <c r="A190" s="2" t="s">
        <v>332</v>
      </c>
      <c r="B190" s="2" t="s">
        <v>770</v>
      </c>
      <c r="C190" s="2" t="s">
        <v>770</v>
      </c>
      <c r="D190" s="2">
        <f>IFERROR(VLOOKUP($C190,'_METADATA_TEMPLATE'!$B$2:$H$826,2,FALSE),"")</f>
        <v>413</v>
      </c>
      <c r="E190" s="2" t="str">
        <f>IFERROR(VLOOKUP($C190,'_METADATA_TEMPLATE'!$B$2:$H$826,4,FALSE),"")</f>
        <v>ANOMALI KELUARGA</v>
      </c>
      <c r="F190" s="2" t="str">
        <f>IFERROR(VLOOKUP($C190,'_METADATA_TEMPLATE'!$B$2:$H$826,5,FALSE),"")</f>
        <v/>
      </c>
      <c r="G190" s="2" t="str">
        <f>IFERROR(VLOOKUP($C190,'_METADATA_TEMPLATE'!$B$2:$H$826,6,FALSE),"")</f>
        <v>Penjelasan Anomali 7</v>
      </c>
      <c r="H190" s="2" t="str">
        <f>IFERROR(VLOOKUP($C190,'_METADATA_TEMPLATE'!$B$2:$H$826,7,FALSE),"")</f>
        <v>Text Area</v>
      </c>
      <c r="I190" s="2" t="str">
        <f>IFERROR(VLOOKUP(C190,'_METADATA_DEFAULT'!$A:$B,2,FALSE),"")</f>
        <v/>
      </c>
    </row>
    <row r="191" ht="15.75" customHeight="1">
      <c r="A191" s="3" t="s">
        <v>332</v>
      </c>
      <c r="B191" s="3" t="s">
        <v>772</v>
      </c>
      <c r="C191" s="3" t="s">
        <v>772</v>
      </c>
      <c r="D191" s="3">
        <f>IFERROR(VLOOKUP($C191,'_METADATA_TEMPLATE'!$B$2:$H$826,2,FALSE),"")</f>
        <v>414</v>
      </c>
      <c r="E191" s="3" t="str">
        <f>IFERROR(VLOOKUP($C191,'_METADATA_TEMPLATE'!$B$2:$H$826,4,FALSE),"")</f>
        <v/>
      </c>
      <c r="F191" s="3" t="str">
        <f>IFERROR(VLOOKUP($C191,'_METADATA_TEMPLATE'!$B$2:$H$826,5,FALSE),"")</f>
        <v/>
      </c>
      <c r="G191" s="3" t="str">
        <f>IFERROR(VLOOKUP($C191,'_METADATA_TEMPLATE'!$B$2:$H$826,6,FALSE),"")</f>
        <v>tanggal_mulai_anomali</v>
      </c>
      <c r="H191" s="3" t="str">
        <f>IFERROR(VLOOKUP($C191,'_METADATA_TEMPLATE'!$B$2:$H$826,7,FALSE),"")</f>
        <v>Variable</v>
      </c>
      <c r="I191" s="3" t="str">
        <f>IFERROR(VLOOKUP(C191,'_METADATA_DEFAULT'!$A:$B,2,FALSE),"")</f>
        <v/>
      </c>
    </row>
    <row r="192" ht="15.75" customHeight="1">
      <c r="A192" s="2" t="s">
        <v>332</v>
      </c>
      <c r="B192" s="2" t="s">
        <v>775</v>
      </c>
      <c r="C192" s="2" t="s">
        <v>775</v>
      </c>
      <c r="D192" s="2">
        <f>IFERROR(VLOOKUP($C192,'_METADATA_TEMPLATE'!$B$2:$H$826,2,FALSE),"")</f>
        <v>417</v>
      </c>
      <c r="E192" s="2" t="str">
        <f>IFERROR(VLOOKUP($C192,'_METADATA_TEMPLATE'!$B$2:$H$826,4,FALSE),"")</f>
        <v/>
      </c>
      <c r="F192" s="2" t="str">
        <f>IFERROR(VLOOKUP($C192,'_METADATA_TEMPLATE'!$B$2:$H$826,5,FALSE),"")</f>
        <v/>
      </c>
      <c r="G192" s="2" t="str">
        <f>IFERROR(VLOOKUP($C192,'_METADATA_TEMPLATE'!$B$2:$H$826,6,FALSE),"")</f>
        <v>nama_info_cawi</v>
      </c>
      <c r="H192" s="2" t="str">
        <f>IFERROR(VLOOKUP($C192,'_METADATA_TEMPLATE'!$B$2:$H$826,7,FALSE),"")</f>
        <v>Variable</v>
      </c>
      <c r="I192" s="2" t="str">
        <f>IFERROR(VLOOKUP(C192,'_METADATA_DEFAULT'!$A:$B,2,FALSE),"")</f>
        <v/>
      </c>
    </row>
    <row r="193" ht="15.75" customHeight="1">
      <c r="A193" s="3" t="s">
        <v>332</v>
      </c>
      <c r="B193" s="3" t="s">
        <v>778</v>
      </c>
      <c r="C193" s="3" t="s">
        <v>778</v>
      </c>
      <c r="D193" s="3">
        <f>IFERROR(VLOOKUP($C193,'_METADATA_TEMPLATE'!$B$2:$H$826,2,FALSE),"")</f>
        <v>418</v>
      </c>
      <c r="E193" s="3" t="str">
        <f>IFERROR(VLOOKUP($C193,'_METADATA_TEMPLATE'!$B$2:$H$826,4,FALSE),"")</f>
        <v/>
      </c>
      <c r="F193" s="3" t="str">
        <f>IFERROR(VLOOKUP($C193,'_METADATA_TEMPLATE'!$B$2:$H$826,5,FALSE),"")</f>
        <v>1</v>
      </c>
      <c r="G193" s="3" t="str">
        <f>IFERROR(VLOOKUP($C193,'_METADATA_TEMPLATE'!$B$2:$H$826,6,FALSE),"")</f>
        <v>b. NIK Kepala Keluarga</v>
      </c>
      <c r="H193" s="3" t="str">
        <f>IFERROR(VLOOKUP($C193,'_METADATA_TEMPLATE'!$B$2:$H$826,7,FALSE),"")</f>
        <v>Variable</v>
      </c>
      <c r="I193" s="3" t="str">
        <f>IFERROR(VLOOKUP(C193,'_METADATA_DEFAULT'!$A:$B,2,FALSE),"")</f>
        <v/>
      </c>
    </row>
    <row r="194" ht="15.75" customHeight="1">
      <c r="A194" s="2" t="s">
        <v>332</v>
      </c>
      <c r="B194" s="2" t="s">
        <v>780</v>
      </c>
      <c r="C194" s="2" t="s">
        <v>780</v>
      </c>
      <c r="D194" s="2">
        <f>IFERROR(VLOOKUP($C194,'_METADATA_TEMPLATE'!$B$2:$H$826,2,FALSE),"")</f>
        <v>420</v>
      </c>
      <c r="E194" s="2" t="str">
        <f>IFERROR(VLOOKUP($C194,'_METADATA_TEMPLATE'!$B$2:$H$826,4,FALSE),"")</f>
        <v/>
      </c>
      <c r="F194" s="2" t="str">
        <f>IFERROR(VLOOKUP($C194,'_METADATA_TEMPLATE'!$B$2:$H$826,5,FALSE),"")</f>
        <v/>
      </c>
      <c r="G194" s="2" t="str">
        <f>IFERROR(VLOOKUP($C194,'_METADATA_TEMPLATE'!$B$2:$H$826,6,FALSE),"")</f>
        <v>Label Usaha</v>
      </c>
      <c r="H194" s="2" t="str">
        <f>IFERROR(VLOOKUP($C194,'_METADATA_TEMPLATE'!$B$2:$H$826,7,FALSE),"")</f>
        <v>Variable</v>
      </c>
      <c r="I194" s="2" t="str">
        <f>IFERROR(VLOOKUP(C194,'_METADATA_DEFAULT'!$A:$B,2,FALSE),"")</f>
        <v/>
      </c>
    </row>
    <row r="195" ht="15.75" customHeight="1">
      <c r="A195" s="3" t="s">
        <v>332</v>
      </c>
      <c r="B195" s="3" t="s">
        <v>782</v>
      </c>
      <c r="C195" s="3" t="s">
        <v>782</v>
      </c>
      <c r="D195" s="3">
        <f>IFERROR(VLOOKUP($C195,'_METADATA_TEMPLATE'!$B$2:$H$826,2,FALSE),"")</f>
        <v>422</v>
      </c>
      <c r="E195" s="3" t="str">
        <f>IFERROR(VLOOKUP($C195,'_METADATA_TEMPLATE'!$B$2:$H$826,4,FALSE),"")</f>
        <v/>
      </c>
      <c r="F195" s="3" t="str">
        <f>IFERROR(VLOOKUP($C195,'_METADATA_TEMPLATE'!$B$2:$H$826,5,FALSE),"")</f>
        <v/>
      </c>
      <c r="G195" s="3" t="str">
        <f>IFERROR(VLOOKUP($C195,'_METADATA_TEMPLATE'!$B$2:$H$826,6,FALSE),"")</f>
        <v>CEK ANOMALI</v>
      </c>
      <c r="H195" s="3" t="str">
        <f>IFERROR(VLOOKUP($C195,'_METADATA_TEMPLATE'!$B$2:$H$826,7,FALSE),"")</f>
        <v>Variable</v>
      </c>
      <c r="I195" s="3" t="str">
        <f>IFERROR(VLOOKUP(C195,'_METADATA_DEFAULT'!$A:$B,2,FALSE),"")</f>
        <v/>
      </c>
    </row>
    <row r="196" ht="15.75" customHeight="1">
      <c r="A196" s="2" t="s">
        <v>332</v>
      </c>
      <c r="B196" s="2" t="s">
        <v>784</v>
      </c>
      <c r="C196" s="2" t="s">
        <v>784</v>
      </c>
      <c r="D196" s="2">
        <f>IFERROR(VLOOKUP($C196,'_METADATA_TEMPLATE'!$B$2:$H$826,2,FALSE),"")</f>
        <v>423</v>
      </c>
      <c r="E196" s="2" t="str">
        <f>IFERROR(VLOOKUP($C196,'_METADATA_TEMPLATE'!$B$2:$H$826,4,FALSE),"")</f>
        <v/>
      </c>
      <c r="F196" s="2" t="str">
        <f>IFERROR(VLOOKUP($C196,'_METADATA_TEMPLATE'!$B$2:$H$826,5,FALSE),"")</f>
        <v/>
      </c>
      <c r="G196" s="2" t="str">
        <f>IFERROR(VLOOKUP($C196,'_METADATA_TEMPLATE'!$B$2:$H$826,6,FALSE),"")</f>
        <v>Nama anggota keluarga</v>
      </c>
      <c r="H196" s="2" t="str">
        <f>IFERROR(VLOOKUP($C196,'_METADATA_TEMPLATE'!$B$2:$H$826,7,FALSE),"")</f>
        <v>Variable</v>
      </c>
      <c r="I196" s="2" t="str">
        <f>IFERROR(VLOOKUP(C196,'_METADATA_DEFAULT'!$A:$B,2,FALSE),"")</f>
        <v/>
      </c>
    </row>
    <row r="197" ht="15.75" customHeight="1">
      <c r="A197" s="3" t="s">
        <v>332</v>
      </c>
      <c r="B197" s="3" t="s">
        <v>786</v>
      </c>
      <c r="C197" s="3" t="s">
        <v>786</v>
      </c>
      <c r="D197" s="3">
        <f>IFERROR(VLOOKUP($C197,'_METADATA_TEMPLATE'!$B$2:$H$826,2,FALSE),"")</f>
        <v>425</v>
      </c>
      <c r="E197" s="3" t="str">
        <f>IFERROR(VLOOKUP($C197,'_METADATA_TEMPLATE'!$B$2:$H$826,4,FALSE),"")</f>
        <v/>
      </c>
      <c r="F197" s="3" t="str">
        <f>IFERROR(VLOOKUP($C197,'_METADATA_TEMPLATE'!$B$2:$H$826,5,FALSE),"")</f>
        <v/>
      </c>
      <c r="G197" s="3" t="str">
        <f>IFERROR(VLOOKUP($C197,'_METADATA_TEMPLATE'!$B$2:$H$826,6,FALSE),"")</f>
        <v>ID SBR keluarga</v>
      </c>
      <c r="H197" s="3" t="str">
        <f>IFERROR(VLOOKUP($C197,'_METADATA_TEMPLATE'!$B$2:$H$826,7,FALSE),"")</f>
        <v>Variable</v>
      </c>
      <c r="I197" s="3" t="str">
        <f>IFERROR(VLOOKUP(C197,'_METADATA_DEFAULT'!$A:$B,2,FALSE),"")</f>
        <v/>
      </c>
    </row>
    <row r="198" ht="15.75" customHeight="1">
      <c r="A198" s="2" t="s">
        <v>332</v>
      </c>
      <c r="B198" s="2" t="s">
        <v>789</v>
      </c>
      <c r="C198" s="2" t="s">
        <v>789</v>
      </c>
      <c r="D198" s="2">
        <f>IFERROR(VLOOKUP($C198,'_METADATA_TEMPLATE'!$B$2:$H$826,2,FALSE),"")</f>
        <v>427</v>
      </c>
      <c r="E198" s="2" t="str">
        <f>IFERROR(VLOOKUP($C198,'_METADATA_TEMPLATE'!$B$2:$H$826,4,FALSE),"")</f>
        <v/>
      </c>
      <c r="F198" s="2" t="str">
        <f>IFERROR(VLOOKUP($C198,'_METADATA_TEMPLATE'!$B$2:$H$826,5,FALSE),"")</f>
        <v/>
      </c>
      <c r="G198" s="2" t="str">
        <f>IFERROR(VLOOKUP($C198,'_METADATA_TEMPLATE'!$B$2:$H$826,6,FALSE),"")</f>
        <v>ID SBR Match</v>
      </c>
      <c r="H198" s="2" t="str">
        <f>IFERROR(VLOOKUP($C198,'_METADATA_TEMPLATE'!$B$2:$H$826,7,FALSE),"")</f>
        <v>Variable</v>
      </c>
      <c r="I198" s="2" t="str">
        <f>IFERROR(VLOOKUP(C198,'_METADATA_DEFAULT'!$A:$B,2,FALSE),"")</f>
        <v/>
      </c>
    </row>
    <row r="199" ht="15.75" customHeight="1">
      <c r="A199" s="3" t="s">
        <v>332</v>
      </c>
      <c r="B199" s="3" t="s">
        <v>791</v>
      </c>
      <c r="C199" s="3" t="s">
        <v>791</v>
      </c>
      <c r="D199" s="3">
        <f>IFERROR(VLOOKUP($C199,'_METADATA_TEMPLATE'!$B$2:$H$826,2,FALSE),"")</f>
        <v>429</v>
      </c>
      <c r="E199" s="3" t="str">
        <f>IFERROR(VLOOKUP($C199,'_METADATA_TEMPLATE'!$B$2:$H$826,4,FALSE),"")</f>
        <v/>
      </c>
      <c r="F199" s="3" t="str">
        <f>IFERROR(VLOOKUP($C199,'_METADATA_TEMPLATE'!$B$2:$H$826,5,FALSE),"")</f>
        <v/>
      </c>
      <c r="G199" s="3" t="str">
        <f>IFERROR(VLOOKUP($C199,'_METADATA_TEMPLATE'!$B$2:$H$826,6,FALSE),"")</f>
        <v>cawi_identifier</v>
      </c>
      <c r="H199" s="3" t="str">
        <f>IFERROR(VLOOKUP($C199,'_METADATA_TEMPLATE'!$B$2:$H$826,7,FALSE),"")</f>
        <v>Variable</v>
      </c>
      <c r="I199" s="3" t="str">
        <f>IFERROR(VLOOKUP(C199,'_METADATA_DEFAULT'!$A:$B,2,FALSE),"")</f>
        <v/>
      </c>
    </row>
    <row r="200" ht="15.75" customHeight="1">
      <c r="A200" s="2" t="s">
        <v>332</v>
      </c>
      <c r="B200" s="2" t="s">
        <v>793</v>
      </c>
      <c r="C200" s="2" t="s">
        <v>793</v>
      </c>
      <c r="D200" s="2">
        <f>IFERROR(VLOOKUP($C200,'_METADATA_TEMPLATE'!$B$2:$H$826,2,FALSE),"")</f>
        <v>431</v>
      </c>
      <c r="E200" s="2" t="str">
        <f>IFERROR(VLOOKUP($C200,'_METADATA_TEMPLATE'!$B$2:$H$826,4,FALSE),"")</f>
        <v/>
      </c>
      <c r="F200" s="2" t="str">
        <f>IFERROR(VLOOKUP($C200,'_METADATA_TEMPLATE'!$B$2:$H$826,5,FALSE),"")</f>
        <v/>
      </c>
      <c r="G200" s="2" t="str">
        <f>IFERROR(VLOOKUP($C200,'_METADATA_TEMPLATE'!$B$2:$H$826,6,FALSE),"")</f>
        <v>is_cawi</v>
      </c>
      <c r="H200" s="2" t="str">
        <f>IFERROR(VLOOKUP($C200,'_METADATA_TEMPLATE'!$B$2:$H$826,7,FALSE),"")</f>
        <v>Variable</v>
      </c>
      <c r="I200" s="2" t="str">
        <f>IFERROR(VLOOKUP(C200,'_METADATA_DEFAULT'!$A:$B,2,FALSE),"")</f>
        <v/>
      </c>
    </row>
    <row r="201" ht="15.75" customHeight="1">
      <c r="A201" s="3" t="s">
        <v>332</v>
      </c>
      <c r="B201" s="3" t="s">
        <v>797</v>
      </c>
      <c r="C201" s="3" t="s">
        <v>797</v>
      </c>
      <c r="D201" s="3">
        <f>IFERROR(VLOOKUP($C201,'_METADATA_TEMPLATE'!$B$2:$H$826,2,FALSE),"")</f>
        <v>434</v>
      </c>
      <c r="E201" s="3" t="str">
        <f>IFERROR(VLOOKUP($C201,'_METADATA_TEMPLATE'!$B$2:$H$826,4,FALSE),"")</f>
        <v/>
      </c>
      <c r="F201" s="3" t="str">
        <f>IFERROR(VLOOKUP($C201,'_METADATA_TEMPLATE'!$B$2:$H$826,5,FALSE),"")</f>
        <v/>
      </c>
      <c r="G201" s="3" t="str">
        <f>IFERROR(VLOOKUP($C201,'_METADATA_TEMPLATE'!$B$2:$H$826,6,FALSE),"")</f>
        <v>tanggal_anomali</v>
      </c>
      <c r="H201" s="3" t="str">
        <f>IFERROR(VLOOKUP($C201,'_METADATA_TEMPLATE'!$B$2:$H$826,7,FALSE),"")</f>
        <v>Variable</v>
      </c>
      <c r="I201" s="3" t="str">
        <f>IFERROR(VLOOKUP(C201,'_METADATA_DEFAULT'!$A:$B,2,FALSE),"")</f>
        <v/>
      </c>
    </row>
    <row r="202" ht="15.75" customHeight="1">
      <c r="A202" s="2" t="s">
        <v>332</v>
      </c>
      <c r="B202" s="2" t="s">
        <v>799</v>
      </c>
      <c r="C202" s="2" t="s">
        <v>799</v>
      </c>
      <c r="D202" s="2">
        <f>IFERROR(VLOOKUP($C202,'_METADATA_TEMPLATE'!$B$2:$H$826,2,FALSE),"")</f>
        <v>436</v>
      </c>
      <c r="E202" s="2" t="str">
        <f>IFERROR(VLOOKUP($C202,'_METADATA_TEMPLATE'!$B$2:$H$826,4,FALSE),"")</f>
        <v/>
      </c>
      <c r="F202" s="2" t="str">
        <f>IFERROR(VLOOKUP($C202,'_METADATA_TEMPLATE'!$B$2:$H$826,5,FALSE),"")</f>
        <v/>
      </c>
      <c r="G202" s="2" t="str">
        <f>IFERROR(VLOOKUP($C202,'_METADATA_TEMPLATE'!$B$2:$H$826,6,FALSE),"")</f>
        <v>is_from_cawi</v>
      </c>
      <c r="H202" s="2" t="str">
        <f>IFERROR(VLOOKUP($C202,'_METADATA_TEMPLATE'!$B$2:$H$826,7,FALSE),"")</f>
        <v>Variable</v>
      </c>
      <c r="I202" s="2" t="str">
        <f>IFERROR(VLOOKUP(C202,'_METADATA_DEFAULT'!$A:$B,2,FALSE),"")</f>
        <v/>
      </c>
    </row>
    <row r="203" ht="15.75" customHeight="1">
      <c r="A203" s="3" t="s">
        <v>332</v>
      </c>
      <c r="B203" s="3" t="s">
        <v>802</v>
      </c>
      <c r="C203" s="3" t="s">
        <v>802</v>
      </c>
      <c r="D203" s="3">
        <f>IFERROR(VLOOKUP($C203,'_METADATA_TEMPLATE'!$B$2:$H$826,2,FALSE),"")</f>
        <v>439</v>
      </c>
      <c r="E203" s="3" t="str">
        <f>IFERROR(VLOOKUP($C203,'_METADATA_TEMPLATE'!$B$2:$H$826,4,FALSE),"")</f>
        <v/>
      </c>
      <c r="F203" s="3" t="str">
        <f>IFERROR(VLOOKUP($C203,'_METADATA_TEMPLATE'!$B$2:$H$826,5,FALSE),"")</f>
        <v/>
      </c>
      <c r="G203" s="3" t="str">
        <f>IFERROR(VLOOKUP($C203,'_METADATA_TEMPLATE'!$B$2:$H$826,6,FALSE),"")</f>
        <v>anomali_8_resolved_at</v>
      </c>
      <c r="H203" s="3" t="str">
        <f>IFERROR(VLOOKUP($C203,'_METADATA_TEMPLATE'!$B$2:$H$826,7,FALSE),"")</f>
        <v>Variable</v>
      </c>
      <c r="I203" s="3" t="str">
        <f>IFERROR(VLOOKUP(C203,'_METADATA_DEFAULT'!$A:$B,2,FALSE),"")</f>
        <v/>
      </c>
    </row>
    <row r="204" ht="15.75" customHeight="1">
      <c r="A204" s="2" t="s">
        <v>332</v>
      </c>
      <c r="B204" s="2" t="s">
        <v>804</v>
      </c>
      <c r="C204" s="2" t="s">
        <v>804</v>
      </c>
      <c r="D204" s="2">
        <f>IFERROR(VLOOKUP($C204,'_METADATA_TEMPLATE'!$B$2:$H$826,2,FALSE),"")</f>
        <v>440</v>
      </c>
      <c r="E204" s="2" t="str">
        <f>IFERROR(VLOOKUP($C204,'_METADATA_TEMPLATE'!$B$2:$H$826,4,FALSE),"")</f>
        <v/>
      </c>
      <c r="F204" s="2" t="str">
        <f>IFERROR(VLOOKUP($C204,'_METADATA_TEMPLATE'!$B$2:$H$826,5,FALSE),"")</f>
        <v/>
      </c>
      <c r="G204" s="2" t="str">
        <f>IFERROR(VLOOKUP($C204,'_METADATA_TEMPLATE'!$B$2:$H$826,6,FALSE),"")</f>
        <v>is_cawi_keluarga</v>
      </c>
      <c r="H204" s="2" t="str">
        <f>IFERROR(VLOOKUP($C204,'_METADATA_TEMPLATE'!$B$2:$H$826,7,FALSE),"")</f>
        <v>Variable</v>
      </c>
      <c r="I204" s="2" t="str">
        <f>IFERROR(VLOOKUP(C204,'_METADATA_DEFAULT'!$A:$B,2,FALSE),"")</f>
        <v/>
      </c>
    </row>
    <row r="205" ht="15.75" customHeight="1">
      <c r="A205" s="3" t="s">
        <v>332</v>
      </c>
      <c r="B205" s="3" t="s">
        <v>806</v>
      </c>
      <c r="C205" s="3" t="s">
        <v>806</v>
      </c>
      <c r="D205" s="3">
        <f>IFERROR(VLOOKUP($C205,'_METADATA_TEMPLATE'!$B$2:$H$826,2,FALSE),"")</f>
        <v>444</v>
      </c>
      <c r="E205" s="3" t="str">
        <f>IFERROR(VLOOKUP($C205,'_METADATA_TEMPLATE'!$B$2:$H$826,4,FALSE),"")</f>
        <v/>
      </c>
      <c r="F205" s="3" t="str">
        <f>IFERROR(VLOOKUP($C205,'_METADATA_TEMPLATE'!$B$2:$H$826,5,FALSE),"")</f>
        <v/>
      </c>
      <c r="G205" s="3" t="str">
        <f>IFERROR(VLOOKUP($C205,'_METADATA_TEMPLATE'!$B$2:$H$826,6,FALSE),"")</f>
        <v>Tanda Tangan</v>
      </c>
      <c r="H205" s="3" t="str">
        <f>IFERROR(VLOOKUP($C205,'_METADATA_TEMPLATE'!$B$2:$H$826,7,FALSE),"")</f>
        <v>Variable</v>
      </c>
      <c r="I205" s="3" t="str">
        <f>IFERROR(VLOOKUP(C205,'_METADATA_DEFAULT'!$A:$B,2,FALSE),"")</f>
        <v/>
      </c>
    </row>
    <row r="206" ht="15.75" customHeight="1">
      <c r="A206" s="2" t="s">
        <v>332</v>
      </c>
      <c r="B206" s="2" t="s">
        <v>808</v>
      </c>
      <c r="C206" s="2" t="s">
        <v>808</v>
      </c>
      <c r="D206" s="2">
        <f>IFERROR(VLOOKUP($C206,'_METADATA_TEMPLATE'!$B$2:$H$826,2,FALSE),"")</f>
        <v>445</v>
      </c>
      <c r="E206" s="2" t="str">
        <f>IFERROR(VLOOKUP($C206,'_METADATA_TEMPLATE'!$B$2:$H$826,4,FALSE),"")</f>
        <v/>
      </c>
      <c r="F206" s="2" t="str">
        <f>IFERROR(VLOOKUP($C206,'_METADATA_TEMPLATE'!$B$2:$H$826,5,FALSE),"")</f>
        <v/>
      </c>
      <c r="G206" s="2" t="str">
        <f>IFERROR(VLOOKUP($C206,'_METADATA_TEMPLATE'!$B$2:$H$826,6,FALSE),"")</f>
        <v>anomali_7_resolved_at</v>
      </c>
      <c r="H206" s="2" t="str">
        <f>IFERROR(VLOOKUP($C206,'_METADATA_TEMPLATE'!$B$2:$H$826,7,FALSE),"")</f>
        <v>Variable</v>
      </c>
      <c r="I206" s="2" t="str">
        <f>IFERROR(VLOOKUP(C206,'_METADATA_DEFAULT'!$A:$B,2,FALSE),"")</f>
        <v/>
      </c>
    </row>
    <row r="207" ht="15.75" customHeight="1">
      <c r="A207" s="3" t="s">
        <v>332</v>
      </c>
      <c r="B207" s="3" t="s">
        <v>811</v>
      </c>
      <c r="C207" s="3" t="s">
        <v>811</v>
      </c>
      <c r="D207" s="3">
        <f>IFERROR(VLOOKUP($C207,'_METADATA_TEMPLATE'!$B$2:$H$826,2,FALSE),"")</f>
        <v>447</v>
      </c>
      <c r="E207" s="3" t="str">
        <f>IFERROR(VLOOKUP($C207,'_METADATA_TEMPLATE'!$B$2:$H$826,4,FALSE),"")</f>
        <v/>
      </c>
      <c r="F207" s="3" t="str">
        <f>IFERROR(VLOOKUP($C207,'_METADATA_TEMPLATE'!$B$2:$H$826,5,FALSE),"")</f>
        <v/>
      </c>
      <c r="G207" s="3" t="str">
        <f>IFERROR(VLOOKUP($C207,'_METADATA_TEMPLATE'!$B$2:$H$826,6,FALSE),"")</f>
        <v>Keterangan/Catatan Kaki untuk predefined editable</v>
      </c>
      <c r="H207" s="3" t="str">
        <f>IFERROR(VLOOKUP($C207,'_METADATA_TEMPLATE'!$B$2:$H$826,7,FALSE),"")</f>
        <v>Variable</v>
      </c>
      <c r="I207" s="3" t="str">
        <f>IFERROR(VLOOKUP(C207,'_METADATA_DEFAULT'!$A:$B,2,FALSE),"")</f>
        <v/>
      </c>
    </row>
    <row r="208" ht="15.75" customHeight="1">
      <c r="A208" s="2" t="s">
        <v>332</v>
      </c>
      <c r="B208" s="2" t="s">
        <v>813</v>
      </c>
      <c r="C208" s="2" t="s">
        <v>813</v>
      </c>
      <c r="D208" s="2">
        <f>IFERROR(VLOOKUP($C208,'_METADATA_TEMPLATE'!$B$2:$H$826,2,FALSE),"")</f>
        <v>448</v>
      </c>
      <c r="E208" s="2" t="str">
        <f>IFERROR(VLOOKUP($C208,'_METADATA_TEMPLATE'!$B$2:$H$826,4,FALSE),"")</f>
        <v/>
      </c>
      <c r="F208" s="2" t="str">
        <f>IFERROR(VLOOKUP($C208,'_METADATA_TEMPLATE'!$B$2:$H$826,5,FALSE),"")</f>
        <v/>
      </c>
      <c r="G208" s="2" t="str">
        <f>IFERROR(VLOOKUP($C208,'_METADATA_TEMPLATE'!$B$2:$H$826,6,FALSE),"")</f>
        <v>anomali_6_resolved_at</v>
      </c>
      <c r="H208" s="2" t="str">
        <f>IFERROR(VLOOKUP($C208,'_METADATA_TEMPLATE'!$B$2:$H$826,7,FALSE),"")</f>
        <v>Variable</v>
      </c>
      <c r="I208" s="2" t="str">
        <f>IFERROR(VLOOKUP(C208,'_METADATA_DEFAULT'!$A:$B,2,FALSE),"")</f>
        <v/>
      </c>
    </row>
    <row r="209" ht="15.75" customHeight="1">
      <c r="A209" s="3" t="s">
        <v>332</v>
      </c>
      <c r="B209" s="3" t="s">
        <v>826</v>
      </c>
      <c r="C209" s="3" t="s">
        <v>826</v>
      </c>
      <c r="D209" s="3">
        <f>IFERROR(VLOOKUP($C209,'_METADATA_TEMPLATE'!$B$2:$H$826,2,FALSE),"")</f>
        <v>450</v>
      </c>
      <c r="E209" s="3" t="str">
        <f>IFERROR(VLOOKUP($C209,'_METADATA_TEMPLATE'!$B$2:$H$826,4,FALSE),"")</f>
        <v/>
      </c>
      <c r="F209" s="3" t="str">
        <f>IFERROR(VLOOKUP($C209,'_METADATA_TEMPLATE'!$B$2:$H$826,5,FALSE),"")</f>
        <v/>
      </c>
      <c r="G209" s="3" t="str">
        <f>IFERROR(VLOOKUP($C209,'_METADATA_TEMPLATE'!$B$2:$H$826,6,FALSE),"")</f>
        <v>Status UB Prelist</v>
      </c>
      <c r="H209" s="3" t="str">
        <f>IFERROR(VLOOKUP($C209,'_METADATA_TEMPLATE'!$B$2:$H$826,7,FALSE),"")</f>
        <v>Variable</v>
      </c>
      <c r="I209" s="3" t="str">
        <f>IFERROR(VLOOKUP(C209,'_METADATA_DEFAULT'!$A:$B,2,FALSE),"")</f>
        <v/>
      </c>
    </row>
    <row r="210" ht="15.75" customHeight="1">
      <c r="A210" s="2" t="s">
        <v>332</v>
      </c>
      <c r="B210" s="2" t="s">
        <v>834</v>
      </c>
      <c r="C210" s="2" t="s">
        <v>834</v>
      </c>
      <c r="D210" s="2">
        <f>IFERROR(VLOOKUP($C210,'_METADATA_TEMPLATE'!$B$2:$H$826,2,FALSE),"")</f>
        <v>451</v>
      </c>
      <c r="E210" s="2" t="str">
        <f>IFERROR(VLOOKUP($C210,'_METADATA_TEMPLATE'!$B$2:$H$826,4,FALSE),"")</f>
        <v/>
      </c>
      <c r="F210" s="2" t="str">
        <f>IFERROR(VLOOKUP($C210,'_METADATA_TEMPLATE'!$B$2:$H$826,5,FALSE),"")</f>
        <v/>
      </c>
      <c r="G210" s="2" t="str">
        <f>IFERROR(VLOOKUP($C210,'_METADATA_TEMPLATE'!$B$2:$H$826,6,FALSE),"")</f>
        <v>kode_prov</v>
      </c>
      <c r="H210" s="2" t="str">
        <f>IFERROR(VLOOKUP($C210,'_METADATA_TEMPLATE'!$B$2:$H$826,7,FALSE),"")</f>
        <v>Variable</v>
      </c>
      <c r="I210" s="2" t="str">
        <f>IFERROR(VLOOKUP(C210,'_METADATA_DEFAULT'!$A:$B,2,FALSE),"")</f>
        <v/>
      </c>
    </row>
    <row r="211" ht="15.75" customHeight="1">
      <c r="A211" s="3" t="s">
        <v>332</v>
      </c>
      <c r="B211" s="3" t="s">
        <v>842</v>
      </c>
      <c r="C211" s="3" t="s">
        <v>842</v>
      </c>
      <c r="D211" s="3">
        <f>IFERROR(VLOOKUP($C211,'_METADATA_TEMPLATE'!$B$2:$H$826,2,FALSE),"")</f>
        <v>452</v>
      </c>
      <c r="E211" s="3" t="str">
        <f>IFERROR(VLOOKUP($C211,'_METADATA_TEMPLATE'!$B$2:$H$826,4,FALSE),"")</f>
        <v/>
      </c>
      <c r="F211" s="3" t="str">
        <f>IFERROR(VLOOKUP($C211,'_METADATA_TEMPLATE'!$B$2:$H$826,5,FALSE),"")</f>
        <v/>
      </c>
      <c r="G211" s="3" t="str">
        <f>IFERROR(VLOOKUP($C211,'_METADATA_TEMPLATE'!$B$2:$H$826,6,FALSE),"")</f>
        <v>Nama anggota keluarga prelist</v>
      </c>
      <c r="H211" s="3" t="str">
        <f>IFERROR(VLOOKUP($C211,'_METADATA_TEMPLATE'!$B$2:$H$826,7,FALSE),"")</f>
        <v>Variable</v>
      </c>
      <c r="I211" s="3" t="str">
        <f>IFERROR(VLOOKUP(C211,'_METADATA_DEFAULT'!$A:$B,2,FALSE),"")</f>
        <v/>
      </c>
    </row>
    <row r="212" ht="15.75" customHeight="1">
      <c r="A212" s="2" t="s">
        <v>332</v>
      </c>
      <c r="B212" s="2" t="s">
        <v>858</v>
      </c>
      <c r="C212" s="2" t="s">
        <v>858</v>
      </c>
      <c r="D212" s="2">
        <f>IFERROR(VLOOKUP($C212,'_METADATA_TEMPLATE'!$B$2:$H$826,2,FALSE),"")</f>
        <v>453</v>
      </c>
      <c r="E212" s="2" t="str">
        <f>IFERROR(VLOOKUP($C212,'_METADATA_TEMPLATE'!$B$2:$H$826,4,FALSE),"")</f>
        <v/>
      </c>
      <c r="F212" s="2" t="str">
        <f>IFERROR(VLOOKUP($C212,'_METADATA_TEMPLATE'!$B$2:$H$826,5,FALSE),"")</f>
        <v/>
      </c>
      <c r="G212" s="2" t="str">
        <f>IFERROR(VLOOKUP($C212,'_METADATA_TEMPLATE'!$B$2:$H$826,6,FALSE),"")</f>
        <v>anomali_5_resolved_at</v>
      </c>
      <c r="H212" s="2" t="str">
        <f>IFERROR(VLOOKUP($C212,'_METADATA_TEMPLATE'!$B$2:$H$826,7,FALSE),"")</f>
        <v>Variable</v>
      </c>
      <c r="I212" s="2" t="str">
        <f>IFERROR(VLOOKUP(C212,'_METADATA_DEFAULT'!$A:$B,2,FALSE),"")</f>
        <v/>
      </c>
    </row>
    <row r="213" ht="15.75" customHeight="1">
      <c r="A213" s="3" t="s">
        <v>332</v>
      </c>
      <c r="B213" s="3" t="s">
        <v>869</v>
      </c>
      <c r="C213" s="3" t="s">
        <v>869</v>
      </c>
      <c r="D213" s="3">
        <f>IFERROR(VLOOKUP($C213,'_METADATA_TEMPLATE'!$B$2:$H$826,2,FALSE),"")</f>
        <v>456</v>
      </c>
      <c r="E213" s="3" t="str">
        <f>IFERROR(VLOOKUP($C213,'_METADATA_TEMPLATE'!$B$2:$H$826,4,FALSE),"")</f>
        <v/>
      </c>
      <c r="F213" s="3" t="str">
        <f>IFERROR(VLOOKUP($C213,'_METADATA_TEMPLATE'!$B$2:$H$826,5,FALSE),"")</f>
        <v/>
      </c>
      <c r="G213" s="3" t="str">
        <f>IFERROR(VLOOKUP($C213,'_METADATA_TEMPLATE'!$B$2:$H$826,6,FALSE),"")</f>
        <v>prov_kab</v>
      </c>
      <c r="H213" s="3" t="str">
        <f>IFERROR(VLOOKUP($C213,'_METADATA_TEMPLATE'!$B$2:$H$826,7,FALSE),"")</f>
        <v>Variable</v>
      </c>
      <c r="I213" s="3" t="str">
        <f>IFERROR(VLOOKUP(C213,'_METADATA_DEFAULT'!$A:$B,2,FALSE),"")</f>
        <v/>
      </c>
    </row>
    <row r="214" ht="15.75" customHeight="1">
      <c r="A214" s="2" t="s">
        <v>332</v>
      </c>
      <c r="B214" s="2" t="s">
        <v>880</v>
      </c>
      <c r="C214" s="2" t="s">
        <v>880</v>
      </c>
      <c r="D214" s="2">
        <f>IFERROR(VLOOKUP($C214,'_METADATA_TEMPLATE'!$B$2:$H$826,2,FALSE),"")</f>
        <v>457</v>
      </c>
      <c r="E214" s="2" t="str">
        <f>IFERROR(VLOOKUP($C214,'_METADATA_TEMPLATE'!$B$2:$H$826,4,FALSE),"")</f>
        <v/>
      </c>
      <c r="F214" s="2" t="str">
        <f>IFERROR(VLOOKUP($C214,'_METADATA_TEMPLATE'!$B$2:$H$826,5,FALSE),"")</f>
        <v/>
      </c>
      <c r="G214" s="2" t="str">
        <f>IFERROR(VLOOKUP($C214,'_METADATA_TEMPLATE'!$B$2:$H$826,6,FALSE),"")</f>
        <v>anomali_4_resolved_at</v>
      </c>
      <c r="H214" s="2" t="str">
        <f>IFERROR(VLOOKUP($C214,'_METADATA_TEMPLATE'!$B$2:$H$826,7,FALSE),"")</f>
        <v>Variable</v>
      </c>
      <c r="I214" s="2" t="str">
        <f>IFERROR(VLOOKUP(C214,'_METADATA_DEFAULT'!$A:$B,2,FALSE),"")</f>
        <v/>
      </c>
    </row>
    <row r="215" ht="15.75" customHeight="1">
      <c r="A215" s="3" t="s">
        <v>332</v>
      </c>
      <c r="B215" s="3" t="s">
        <v>889</v>
      </c>
      <c r="C215" s="3" t="s">
        <v>889</v>
      </c>
      <c r="D215" s="3">
        <f>IFERROR(VLOOKUP($C215,'_METADATA_TEMPLATE'!$B$2:$H$826,2,FALSE),"")</f>
        <v>458</v>
      </c>
      <c r="E215" s="3" t="str">
        <f>IFERROR(VLOOKUP($C215,'_METADATA_TEMPLATE'!$B$2:$H$826,4,FALSE),"")</f>
        <v/>
      </c>
      <c r="F215" s="3" t="str">
        <f>IFERROR(VLOOKUP($C215,'_METADATA_TEMPLATE'!$B$2:$H$826,5,FALSE),"")</f>
        <v/>
      </c>
      <c r="G215" s="3" t="str">
        <f>IFERROR(VLOOKUP($C215,'_METADATA_TEMPLATE'!$B$2:$H$826,6,FALSE),"")</f>
        <v>jk_krt</v>
      </c>
      <c r="H215" s="3" t="str">
        <f>IFERROR(VLOOKUP($C215,'_METADATA_TEMPLATE'!$B$2:$H$826,7,FALSE),"")</f>
        <v>Variable</v>
      </c>
      <c r="I215" s="3" t="str">
        <f>IFERROR(VLOOKUP(C215,'_METADATA_DEFAULT'!$A:$B,2,FALSE),"")</f>
        <v/>
      </c>
    </row>
    <row r="216" ht="15.75" customHeight="1">
      <c r="A216" s="2" t="s">
        <v>332</v>
      </c>
      <c r="B216" s="2" t="s">
        <v>896</v>
      </c>
      <c r="C216" s="2" t="s">
        <v>896</v>
      </c>
      <c r="D216" s="2">
        <f>IFERROR(VLOOKUP($C216,'_METADATA_TEMPLATE'!$B$2:$H$826,2,FALSE),"")</f>
        <v>459</v>
      </c>
      <c r="E216" s="2" t="str">
        <f>IFERROR(VLOOKUP($C216,'_METADATA_TEMPLATE'!$B$2:$H$826,4,FALSE),"")</f>
        <v/>
      </c>
      <c r="F216" s="2" t="str">
        <f>IFERROR(VLOOKUP($C216,'_METADATA_TEMPLATE'!$B$2:$H$826,5,FALSE),"")</f>
        <v/>
      </c>
      <c r="G216" s="2" t="str">
        <f>IFERROR(VLOOKUP($C216,'_METADATA_TEMPLATE'!$B$2:$H$826,6,FALSE),"")</f>
        <v>Status UB umkm</v>
      </c>
      <c r="H216" s="2" t="str">
        <f>IFERROR(VLOOKUP($C216,'_METADATA_TEMPLATE'!$B$2:$H$826,7,FALSE),"")</f>
        <v>Variable</v>
      </c>
      <c r="I216" s="2" t="str">
        <f>IFERROR(VLOOKUP(C216,'_METADATA_DEFAULT'!$A:$B,2,FALSE),"")</f>
        <v/>
      </c>
    </row>
    <row r="217" ht="15.75" customHeight="1">
      <c r="A217" s="3" t="s">
        <v>332</v>
      </c>
      <c r="B217" s="3" t="s">
        <v>906</v>
      </c>
      <c r="C217" s="3" t="s">
        <v>906</v>
      </c>
      <c r="D217" s="3">
        <f>IFERROR(VLOOKUP($C217,'_METADATA_TEMPLATE'!$B$2:$H$826,2,FALSE),"")</f>
        <v>461</v>
      </c>
      <c r="E217" s="3" t="str">
        <f>IFERROR(VLOOKUP($C217,'_METADATA_TEMPLATE'!$B$2:$H$826,4,FALSE),"")</f>
        <v/>
      </c>
      <c r="F217" s="3" t="str">
        <f>IFERROR(VLOOKUP($C217,'_METADATA_TEMPLATE'!$B$2:$H$826,5,FALSE),"")</f>
        <v/>
      </c>
      <c r="G217" s="3" t="str">
        <f>IFERROR(VLOOKUP($C217,'_METADATA_TEMPLATE'!$B$2:$H$826,6,FALSE),"")</f>
        <v>anomali_3_resolved_at</v>
      </c>
      <c r="H217" s="3" t="str">
        <f>IFERROR(VLOOKUP($C217,'_METADATA_TEMPLATE'!$B$2:$H$826,7,FALSE),"")</f>
        <v>Variable</v>
      </c>
      <c r="I217" s="3" t="str">
        <f>IFERROR(VLOOKUP(C217,'_METADATA_DEFAULT'!$A:$B,2,FALSE),"")</f>
        <v/>
      </c>
    </row>
    <row r="218" ht="15.75" customHeight="1">
      <c r="A218" s="2" t="s">
        <v>332</v>
      </c>
      <c r="B218" s="2" t="s">
        <v>912</v>
      </c>
      <c r="C218" s="2" t="s">
        <v>912</v>
      </c>
      <c r="D218" s="2">
        <f>IFERROR(VLOOKUP($C218,'_METADATA_TEMPLATE'!$B$2:$H$826,2,FALSE),"")</f>
        <v>462</v>
      </c>
      <c r="E218" s="2" t="str">
        <f>IFERROR(VLOOKUP($C218,'_METADATA_TEMPLATE'!$B$2:$H$826,4,FALSE),"")</f>
        <v/>
      </c>
      <c r="F218" s="2" t="str">
        <f>IFERROR(VLOOKUP($C218,'_METADATA_TEMPLATE'!$B$2:$H$826,5,FALSE),"")</f>
        <v/>
      </c>
      <c r="G218" s="2" t="str">
        <f>IFERROR(VLOOKUP($C218,'_METADATA_TEMPLATE'!$B$2:$H$826,6,FALSE),"")</f>
        <v>umur krt</v>
      </c>
      <c r="H218" s="2" t="str">
        <f>IFERROR(VLOOKUP($C218,'_METADATA_TEMPLATE'!$B$2:$H$826,7,FALSE),"")</f>
        <v>Variable</v>
      </c>
      <c r="I218" s="2" t="str">
        <f>IFERROR(VLOOKUP(C218,'_METADATA_DEFAULT'!$A:$B,2,FALSE),"")</f>
        <v/>
      </c>
    </row>
    <row r="219" ht="15.75" customHeight="1">
      <c r="A219" s="3" t="s">
        <v>332</v>
      </c>
      <c r="B219" s="3" t="s">
        <v>923</v>
      </c>
      <c r="C219" s="3" t="s">
        <v>923</v>
      </c>
      <c r="D219" s="3">
        <f>IFERROR(VLOOKUP($C219,'_METADATA_TEMPLATE'!$B$2:$H$826,2,FALSE),"")</f>
        <v>466</v>
      </c>
      <c r="E219" s="3" t="str">
        <f>IFERROR(VLOOKUP($C219,'_METADATA_TEMPLATE'!$B$2:$H$826,4,FALSE),"")</f>
        <v/>
      </c>
      <c r="F219" s="3" t="str">
        <f>IFERROR(VLOOKUP($C219,'_METADATA_TEMPLATE'!$B$2:$H$826,5,FALSE),"")</f>
        <v/>
      </c>
      <c r="G219" s="3" t="str">
        <f>IFERROR(VLOOKUP($C219,'_METADATA_TEMPLATE'!$B$2:$H$826,6,FALSE),"")</f>
        <v>PBI</v>
      </c>
      <c r="H219" s="3" t="str">
        <f>IFERROR(VLOOKUP($C219,'_METADATA_TEMPLATE'!$B$2:$H$826,7,FALSE),"")</f>
        <v>Variable</v>
      </c>
      <c r="I219" s="3" t="str">
        <f>IFERROR(VLOOKUP(C219,'_METADATA_DEFAULT'!$A:$B,2,FALSE),"")</f>
        <v/>
      </c>
    </row>
    <row r="220" ht="15.75" customHeight="1">
      <c r="A220" s="2" t="s">
        <v>332</v>
      </c>
      <c r="B220" s="2" t="s">
        <v>932</v>
      </c>
      <c r="C220" s="2" t="s">
        <v>932</v>
      </c>
      <c r="D220" s="2">
        <f>IFERROR(VLOOKUP($C220,'_METADATA_TEMPLATE'!$B$2:$H$826,2,FALSE),"")</f>
        <v>467</v>
      </c>
      <c r="E220" s="2" t="str">
        <f>IFERROR(VLOOKUP($C220,'_METADATA_TEMPLATE'!$B$2:$H$826,4,FALSE),"")</f>
        <v/>
      </c>
      <c r="F220" s="2" t="str">
        <f>IFERROR(VLOOKUP($C220,'_METADATA_TEMPLATE'!$B$2:$H$826,5,FALSE),"")</f>
        <v/>
      </c>
      <c r="G220" s="2" t="str">
        <f>IFERROR(VLOOKUP($C220,'_METADATA_TEMPLATE'!$B$2:$H$826,6,FALSE),"")</f>
        <v>anomali_2_resolved_at</v>
      </c>
      <c r="H220" s="2" t="str">
        <f>IFERROR(VLOOKUP($C220,'_METADATA_TEMPLATE'!$B$2:$H$826,7,FALSE),"")</f>
        <v>Variable</v>
      </c>
      <c r="I220" s="2" t="str">
        <f>IFERROR(VLOOKUP(C220,'_METADATA_DEFAULT'!$A:$B,2,FALSE),"")</f>
        <v/>
      </c>
    </row>
    <row r="221" ht="15.75" customHeight="1">
      <c r="A221" s="3" t="s">
        <v>332</v>
      </c>
      <c r="B221" s="3" t="s">
        <v>940</v>
      </c>
      <c r="C221" s="3" t="s">
        <v>940</v>
      </c>
      <c r="D221" s="3">
        <f>IFERROR(VLOOKUP($C221,'_METADATA_TEMPLATE'!$B$2:$H$826,2,FALSE),"")</f>
        <v>470</v>
      </c>
      <c r="E221" s="3" t="str">
        <f>IFERROR(VLOOKUP($C221,'_METADATA_TEMPLATE'!$B$2:$H$826,4,FALSE),"")</f>
        <v/>
      </c>
      <c r="F221" s="3" t="str">
        <f>IFERROR(VLOOKUP($C221,'_METADATA_TEMPLATE'!$B$2:$H$826,5,FALSE),"")</f>
        <v/>
      </c>
      <c r="G221" s="3" t="str">
        <f>IFERROR(VLOOKUP($C221,'_METADATA_TEMPLATE'!$B$2:$H$826,6,FALSE),"")</f>
        <v>anomali_1_resolved_at</v>
      </c>
      <c r="H221" s="3" t="str">
        <f>IFERROR(VLOOKUP($C221,'_METADATA_TEMPLATE'!$B$2:$H$826,7,FALSE),"")</f>
        <v>Variable</v>
      </c>
      <c r="I221" s="3" t="str">
        <f>IFERROR(VLOOKUP(C221,'_METADATA_DEFAULT'!$A:$B,2,FALSE),"")</f>
        <v/>
      </c>
    </row>
    <row r="222" ht="15.75" customHeight="1">
      <c r="A222" s="2" t="s">
        <v>332</v>
      </c>
      <c r="B222" s="2" t="s">
        <v>948</v>
      </c>
      <c r="C222" s="2" t="s">
        <v>948</v>
      </c>
      <c r="D222" s="2">
        <f>IFERROR(VLOOKUP($C222,'_METADATA_TEMPLATE'!$B$2:$H$826,2,FALSE),"")</f>
        <v>475</v>
      </c>
      <c r="E222" s="2" t="str">
        <f>IFERROR(VLOOKUP($C222,'_METADATA_TEMPLATE'!$B$2:$H$826,4,FALSE),"")</f>
        <v/>
      </c>
      <c r="F222" s="2" t="str">
        <f>IFERROR(VLOOKUP($C222,'_METADATA_TEMPLATE'!$B$2:$H$826,5,FALSE),"")</f>
        <v/>
      </c>
      <c r="G222" s="2" t="str">
        <f>IFERROR(VLOOKUP($C222,'_METADATA_TEMPLATE'!$B$2:$H$826,6,FALSE),"")</f>
        <v>Nomor KK prelist untuk pembanding</v>
      </c>
      <c r="H222" s="2" t="str">
        <f>IFERROR(VLOOKUP($C222,'_METADATA_TEMPLATE'!$B$2:$H$826,7,FALSE),"")</f>
        <v>Variable</v>
      </c>
      <c r="I222" s="2" t="str">
        <f>IFERROR(VLOOKUP(C222,'_METADATA_DEFAULT'!$A:$B,2,FALSE),"")</f>
        <v/>
      </c>
    </row>
    <row r="223" ht="15.75" customHeight="1">
      <c r="A223" s="3" t="s">
        <v>332</v>
      </c>
      <c r="B223" s="3" t="s">
        <v>958</v>
      </c>
      <c r="C223" s="3" t="s">
        <v>958</v>
      </c>
      <c r="D223" s="3">
        <f>IFERROR(VLOOKUP($C223,'_METADATA_TEMPLATE'!$B$2:$H$826,2,FALSE),"")</f>
        <v>478</v>
      </c>
      <c r="E223" s="3" t="str">
        <f>IFERROR(VLOOKUP($C223,'_METADATA_TEMPLATE'!$B$2:$H$826,4,FALSE),"")</f>
        <v/>
      </c>
      <c r="F223" s="3" t="str">
        <f>IFERROR(VLOOKUP($C223,'_METADATA_TEMPLATE'!$B$2:$H$826,5,FALSE),"")</f>
        <v/>
      </c>
      <c r="G223" s="3" t="str">
        <f>IFERROR(VLOOKUP($C223,'_METADATA_TEMPLATE'!$B$2:$H$826,6,FALSE),"")</f>
        <v>NIK prelist untuk pembanding</v>
      </c>
      <c r="H223" s="3" t="str">
        <f>IFERROR(VLOOKUP($C223,'_METADATA_TEMPLATE'!$B$2:$H$826,7,FALSE),"")</f>
        <v>Variable</v>
      </c>
      <c r="I223" s="3" t="str">
        <f>IFERROR(VLOOKUP(C223,'_METADATA_DEFAULT'!$A:$B,2,FALSE),"")</f>
        <v/>
      </c>
    </row>
    <row r="224" ht="15.75" customHeight="1">
      <c r="A224" s="2" t="s">
        <v>332</v>
      </c>
      <c r="B224" s="2" t="s">
        <v>15</v>
      </c>
      <c r="C224" s="2" t="s">
        <v>15</v>
      </c>
      <c r="D224" s="2">
        <f>IFERROR(VLOOKUP($C224,'_METADATA_TEMPLATE'!$B$2:$H$826,2,FALSE),"")</f>
        <v>483</v>
      </c>
      <c r="E224" s="2" t="str">
        <f>IFERROR(VLOOKUP($C224,'_METADATA_TEMPLATE'!$B$2:$H$826,4,FALSE),"")</f>
        <v/>
      </c>
      <c r="F224" s="2" t="str">
        <f>IFERROR(VLOOKUP($C224,'_METADATA_TEMPLATE'!$B$2:$H$826,5,FALSE),"")</f>
        <v/>
      </c>
      <c r="G224" s="2" t="str">
        <f>IFERROR(VLOOKUP($C224,'_METADATA_TEMPLATE'!$B$2:$H$826,6,FALSE),"")</f>
        <v>Mode</v>
      </c>
      <c r="H224" s="2" t="str">
        <f>IFERROR(VLOOKUP($C224,'_METADATA_TEMPLATE'!$B$2:$H$826,7,FALSE),"")</f>
        <v>Variable</v>
      </c>
      <c r="I224" s="2" t="str">
        <f>IFERROR(VLOOKUP(C224,'_METADATA_DEFAULT'!$A:$B,2,FALSE),"")</f>
        <v>Moda Survei</v>
      </c>
    </row>
    <row r="225" ht="15.75" customHeight="1">
      <c r="A225" s="3" t="s">
        <v>332</v>
      </c>
      <c r="B225" s="3" t="s">
        <v>975</v>
      </c>
      <c r="C225" s="3" t="s">
        <v>975</v>
      </c>
      <c r="D225" s="3">
        <f>IFERROR(VLOOKUP($C225,'_METADATA_TEMPLATE'!$B$2:$H$826,2,FALSE),"")</f>
        <v>490</v>
      </c>
      <c r="E225" s="3" t="str">
        <f>IFERROR(VLOOKUP($C225,'_METADATA_TEMPLATE'!$B$2:$H$826,4,FALSE),"")</f>
        <v/>
      </c>
      <c r="F225" s="3" t="str">
        <f>IFERROR(VLOOKUP($C225,'_METADATA_TEMPLATE'!$B$2:$H$826,5,FALSE),"")</f>
        <v/>
      </c>
      <c r="G225" s="3" t="str">
        <f>IFERROR(VLOOKUP($C225,'_METADATA_TEMPLATE'!$B$2:$H$826,6,FALSE),"")</f>
        <v>Nama Keluarga/Bangunan/Usaha untuk principal</v>
      </c>
      <c r="H225" s="3" t="str">
        <f>IFERROR(VLOOKUP($C225,'_METADATA_TEMPLATE'!$B$2:$H$826,7,FALSE),"")</f>
        <v>Variable</v>
      </c>
      <c r="I225" s="3" t="str">
        <f>IFERROR(VLOOKUP(C225,'_METADATA_DEFAULT'!$A:$B,2,FALSE),"")</f>
        <v/>
      </c>
    </row>
    <row r="226" ht="15.75" customHeight="1">
      <c r="A226" s="2" t="s">
        <v>332</v>
      </c>
      <c r="B226" s="2" t="s">
        <v>985</v>
      </c>
      <c r="C226" s="2" t="s">
        <v>985</v>
      </c>
      <c r="D226" s="2">
        <f>IFERROR(VLOOKUP($C226,'_METADATA_TEMPLATE'!$B$2:$H$826,2,FALSE),"")</f>
        <v>491</v>
      </c>
      <c r="E226" s="2" t="str">
        <f>IFERROR(VLOOKUP($C226,'_METADATA_TEMPLATE'!$B$2:$H$826,4,FALSE),"")</f>
        <v/>
      </c>
      <c r="F226" s="2" t="str">
        <f>IFERROR(VLOOKUP($C226,'_METADATA_TEMPLATE'!$B$2:$H$826,5,FALSE),"")</f>
        <v/>
      </c>
      <c r="G226" s="2" t="str">
        <f>IFERROR(VLOOKUP($C226,'_METADATA_TEMPLATE'!$B$2:$H$826,6,FALSE),"")</f>
        <v>New Question</v>
      </c>
      <c r="H226" s="2" t="str">
        <f>IFERROR(VLOOKUP($C226,'_METADATA_TEMPLATE'!$B$2:$H$826,7,FALSE),"")</f>
        <v>Variable</v>
      </c>
      <c r="I226" s="2" t="str">
        <f>IFERROR(VLOOKUP(C226,'_METADATA_DEFAULT'!$A:$B,2,FALSE),"")</f>
        <v/>
      </c>
    </row>
    <row r="227" ht="15.75" customHeight="1">
      <c r="A227" s="3" t="s">
        <v>332</v>
      </c>
      <c r="B227" s="3" t="s">
        <v>994</v>
      </c>
      <c r="C227" s="3" t="s">
        <v>994</v>
      </c>
      <c r="D227" s="3">
        <f>IFERROR(VLOOKUP($C227,'_METADATA_TEMPLATE'!$B$2:$H$826,2,FALSE),"")</f>
        <v>492</v>
      </c>
      <c r="E227" s="3" t="str">
        <f>IFERROR(VLOOKUP($C227,'_METADATA_TEMPLATE'!$B$2:$H$826,4,FALSE),"")</f>
        <v/>
      </c>
      <c r="F227" s="3" t="str">
        <f>IFERROR(VLOOKUP($C227,'_METADATA_TEMPLATE'!$B$2:$H$826,5,FALSE),"")</f>
        <v/>
      </c>
      <c r="G227" s="3" t="str">
        <f>IFERROR(VLOOKUP($C227,'_METADATA_TEMPLATE'!$B$2:$H$826,6,FALSE),"")</f>
        <v>anomali_1_dtsen_resolved_at</v>
      </c>
      <c r="H227" s="3" t="str">
        <f>IFERROR(VLOOKUP($C227,'_METADATA_TEMPLATE'!$B$2:$H$826,7,FALSE),"")</f>
        <v>Variable</v>
      </c>
      <c r="I227" s="3" t="str">
        <f>IFERROR(VLOOKUP(C227,'_METADATA_DEFAULT'!$A:$B,2,FALSE),"")</f>
        <v/>
      </c>
    </row>
    <row r="228" ht="15.75" customHeight="1">
      <c r="A228" s="2" t="s">
        <v>332</v>
      </c>
      <c r="B228" s="2" t="s">
        <v>1003</v>
      </c>
      <c r="C228" s="2" t="s">
        <v>1003</v>
      </c>
      <c r="D228" s="2">
        <f>IFERROR(VLOOKUP($C228,'_METADATA_TEMPLATE'!$B$2:$H$826,2,FALSE),"")</f>
        <v>493</v>
      </c>
      <c r="E228" s="2" t="str">
        <f>IFERROR(VLOOKUP($C228,'_METADATA_TEMPLATE'!$B$2:$H$826,4,FALSE),"")</f>
        <v/>
      </c>
      <c r="F228" s="2" t="str">
        <f>IFERROR(VLOOKUP($C228,'_METADATA_TEMPLATE'!$B$2:$H$826,5,FALSE),"")</f>
        <v/>
      </c>
      <c r="G228" s="2" t="str">
        <f>IFERROR(VLOOKUP($C228,'_METADATA_TEMPLATE'!$B$2:$H$826,6,FALSE),"")</f>
        <v>has_kodepos</v>
      </c>
      <c r="H228" s="2" t="str">
        <f>IFERROR(VLOOKUP($C228,'_METADATA_TEMPLATE'!$B$2:$H$826,7,FALSE),"")</f>
        <v>Variable</v>
      </c>
      <c r="I228" s="2" t="str">
        <f>IFERROR(VLOOKUP(C228,'_METADATA_DEFAULT'!$A:$B,2,FALSE),"")</f>
        <v/>
      </c>
    </row>
    <row r="229" ht="15.75" customHeight="1">
      <c r="A229" s="3" t="s">
        <v>332</v>
      </c>
      <c r="B229" s="3" t="s">
        <v>1015</v>
      </c>
      <c r="C229" s="3" t="s">
        <v>1015</v>
      </c>
      <c r="D229" s="3">
        <f>IFERROR(VLOOKUP($C229,'_METADATA_TEMPLATE'!$B$2:$H$826,2,FALSE),"")</f>
        <v>495</v>
      </c>
      <c r="E229" s="3" t="str">
        <f>IFERROR(VLOOKUP($C229,'_METADATA_TEMPLATE'!$B$2:$H$826,4,FALSE),"")</f>
        <v/>
      </c>
      <c r="F229" s="3" t="str">
        <f>IFERROR(VLOOKUP($C229,'_METADATA_TEMPLATE'!$B$2:$H$826,5,FALSE),"")</f>
        <v/>
      </c>
      <c r="G229" s="3" t="str">
        <f>IFERROR(VLOOKUP($C229,'_METADATA_TEMPLATE'!$B$2:$H$826,6,FALSE),"")</f>
        <v>anomali_2_dtsen_resolved_at</v>
      </c>
      <c r="H229" s="3" t="str">
        <f>IFERROR(VLOOKUP($C229,'_METADATA_TEMPLATE'!$B$2:$H$826,7,FALSE),"")</f>
        <v>Variable</v>
      </c>
      <c r="I229" s="3" t="str">
        <f>IFERROR(VLOOKUP(C229,'_METADATA_DEFAULT'!$A:$B,2,FALSE),"")</f>
        <v/>
      </c>
    </row>
    <row r="230" ht="15.75" customHeight="1">
      <c r="A230" s="2" t="s">
        <v>332</v>
      </c>
      <c r="B230" s="2" t="s">
        <v>1026</v>
      </c>
      <c r="C230" s="2" t="s">
        <v>1026</v>
      </c>
      <c r="D230" s="2">
        <f>IFERROR(VLOOKUP($C230,'_METADATA_TEMPLATE'!$B$2:$H$826,2,FALSE),"")</f>
        <v>496</v>
      </c>
      <c r="E230" s="2" t="str">
        <f>IFERROR(VLOOKUP($C230,'_METADATA_TEMPLATE'!$B$2:$H$826,4,FALSE),"")</f>
        <v/>
      </c>
      <c r="F230" s="2" t="str">
        <f>IFERROR(VLOOKUP($C230,'_METADATA_TEMPLATE'!$B$2:$H$826,5,FALSE),"")</f>
        <v/>
      </c>
      <c r="G230" s="2" t="str">
        <f>IFERROR(VLOOKUP($C230,'_METADATA_TEMPLATE'!$B$2:$H$826,6,FALSE),"")</f>
        <v>Hasil Pengecekkan NIK</v>
      </c>
      <c r="H230" s="2" t="str">
        <f>IFERROR(VLOOKUP($C230,'_METADATA_TEMPLATE'!$B$2:$H$826,7,FALSE),"")</f>
        <v>Variable</v>
      </c>
      <c r="I230" s="2" t="str">
        <f>IFERROR(VLOOKUP(C230,'_METADATA_DEFAULT'!$A:$B,2,FALSE),"")</f>
        <v/>
      </c>
    </row>
    <row r="231" ht="15.75" customHeight="1">
      <c r="A231" s="3" t="s">
        <v>332</v>
      </c>
      <c r="B231" s="3" t="s">
        <v>1035</v>
      </c>
      <c r="C231" s="3" t="s">
        <v>1035</v>
      </c>
      <c r="D231" s="3">
        <f>IFERROR(VLOOKUP($C231,'_METADATA_TEMPLATE'!$B$2:$H$826,2,FALSE),"")</f>
        <v>498</v>
      </c>
      <c r="E231" s="3" t="str">
        <f>IFERROR(VLOOKUP($C231,'_METADATA_TEMPLATE'!$B$2:$H$826,4,FALSE),"")</f>
        <v/>
      </c>
      <c r="F231" s="3" t="str">
        <f>IFERROR(VLOOKUP($C231,'_METADATA_TEMPLATE'!$B$2:$H$826,5,FALSE),"")</f>
        <v/>
      </c>
      <c r="G231" s="3" t="str">
        <f>IFERROR(VLOOKUP($C231,'_METADATA_TEMPLATE'!$B$2:$H$826,6,FALSE),"")</f>
        <v>Hasil Pengecekan NIK</v>
      </c>
      <c r="H231" s="3" t="str">
        <f>IFERROR(VLOOKUP($C231,'_METADATA_TEMPLATE'!$B$2:$H$826,7,FALSE),"")</f>
        <v>Variable</v>
      </c>
      <c r="I231" s="3" t="str">
        <f>IFERROR(VLOOKUP(C231,'_METADATA_DEFAULT'!$A:$B,2,FALSE),"")</f>
        <v/>
      </c>
    </row>
    <row r="232" ht="15.75" customHeight="1">
      <c r="A232" s="2" t="s">
        <v>332</v>
      </c>
      <c r="B232" s="2" t="s">
        <v>1040</v>
      </c>
      <c r="C232" s="2" t="s">
        <v>1040</v>
      </c>
      <c r="D232" s="2">
        <f>IFERROR(VLOOKUP($C232,'_METADATA_TEMPLATE'!$B$2:$H$826,2,FALSE),"")</f>
        <v>499</v>
      </c>
      <c r="E232" s="2" t="str">
        <f>IFERROR(VLOOKUP($C232,'_METADATA_TEMPLATE'!$B$2:$H$826,4,FALSE),"")</f>
        <v/>
      </c>
      <c r="F232" s="2" t="str">
        <f>IFERROR(VLOOKUP($C232,'_METADATA_TEMPLATE'!$B$2:$H$826,5,FALSE),"")</f>
        <v/>
      </c>
      <c r="G232" s="2" t="str">
        <f>IFERROR(VLOOKUP($C232,'_METADATA_TEMPLATE'!$B$2:$H$826,6,FALSE),"")</f>
        <v>anomali_3_dtsen_resolved_at</v>
      </c>
      <c r="H232" s="2" t="str">
        <f>IFERROR(VLOOKUP($C232,'_METADATA_TEMPLATE'!$B$2:$H$826,7,FALSE),"")</f>
        <v>Variable</v>
      </c>
      <c r="I232" s="2" t="str">
        <f>IFERROR(VLOOKUP(C232,'_METADATA_DEFAULT'!$A:$B,2,FALSE),"")</f>
        <v/>
      </c>
    </row>
    <row r="233" ht="15.75" customHeight="1">
      <c r="A233" s="3" t="s">
        <v>332</v>
      </c>
      <c r="B233" s="3" t="s">
        <v>1044</v>
      </c>
      <c r="C233" s="3" t="s">
        <v>1044</v>
      </c>
      <c r="D233" s="3">
        <f>IFERROR(VLOOKUP($C233,'_METADATA_TEMPLATE'!$B$2:$H$826,2,FALSE),"")</f>
        <v>500</v>
      </c>
      <c r="E233" s="3" t="str">
        <f>IFERROR(VLOOKUP($C233,'_METADATA_TEMPLATE'!$B$2:$H$826,4,FALSE),"")</f>
        <v/>
      </c>
      <c r="F233" s="3" t="str">
        <f>IFERROR(VLOOKUP($C233,'_METADATA_TEMPLATE'!$B$2:$H$826,5,FALSE),"")</f>
        <v/>
      </c>
      <c r="G233" s="3" t="str">
        <f>IFERROR(VLOOKUP($C233,'_METADATA_TEMPLATE'!$B$2:$H$826,6,FALSE),"")</f>
        <v>anomali_4_dtsen_resolved_at</v>
      </c>
      <c r="H233" s="3" t="str">
        <f>IFERROR(VLOOKUP($C233,'_METADATA_TEMPLATE'!$B$2:$H$826,7,FALSE),"")</f>
        <v>Variable</v>
      </c>
      <c r="I233" s="3" t="str">
        <f>IFERROR(VLOOKUP(C233,'_METADATA_DEFAULT'!$A:$B,2,FALSE),"")</f>
        <v/>
      </c>
    </row>
    <row r="234" ht="15.75" customHeight="1">
      <c r="A234" s="2" t="s">
        <v>332</v>
      </c>
      <c r="B234" s="2" t="s">
        <v>1050</v>
      </c>
      <c r="C234" s="2" t="s">
        <v>1050</v>
      </c>
      <c r="D234" s="2">
        <f>IFERROR(VLOOKUP($C234,'_METADATA_TEMPLATE'!$B$2:$H$826,2,FALSE),"")</f>
        <v>502</v>
      </c>
      <c r="E234" s="2" t="str">
        <f>IFERROR(VLOOKUP($C234,'_METADATA_TEMPLATE'!$B$2:$H$826,4,FALSE),"")</f>
        <v/>
      </c>
      <c r="F234" s="2" t="str">
        <f>IFERROR(VLOOKUP($C234,'_METADATA_TEMPLATE'!$B$2:$H$826,5,FALSE),"")</f>
        <v/>
      </c>
      <c r="G234" s="2" t="str">
        <f>IFERROR(VLOOKUP($C234,'_METADATA_TEMPLATE'!$B$2:$H$826,6,FALSE),"")</f>
        <v>anomali_5_dtsen_resolved_at</v>
      </c>
      <c r="H234" s="2" t="str">
        <f>IFERROR(VLOOKUP($C234,'_METADATA_TEMPLATE'!$B$2:$H$826,7,FALSE),"")</f>
        <v>Variable</v>
      </c>
      <c r="I234" s="2" t="str">
        <f>IFERROR(VLOOKUP(C234,'_METADATA_DEFAULT'!$A:$B,2,FALSE),"")</f>
        <v/>
      </c>
    </row>
    <row r="235" ht="15.75" customHeight="1">
      <c r="A235" s="3" t="s">
        <v>332</v>
      </c>
      <c r="B235" s="3" t="s">
        <v>1056</v>
      </c>
      <c r="C235" s="3" t="s">
        <v>1056</v>
      </c>
      <c r="D235" s="3">
        <f>IFERROR(VLOOKUP($C235,'_METADATA_TEMPLATE'!$B$2:$H$826,2,FALSE),"")</f>
        <v>503</v>
      </c>
      <c r="E235" s="3" t="str">
        <f>IFERROR(VLOOKUP($C235,'_METADATA_TEMPLATE'!$B$2:$H$826,4,FALSE),"")</f>
        <v/>
      </c>
      <c r="F235" s="3" t="str">
        <f>IFERROR(VLOOKUP($C235,'_METADATA_TEMPLATE'!$B$2:$H$826,5,FALSE),"")</f>
        <v/>
      </c>
      <c r="G235" s="3" t="str">
        <f>IFERROR(VLOOKUP($C235,'_METADATA_TEMPLATE'!$B$2:$H$826,6,FALSE),"")</f>
        <v>anomali_6_dtsen_resolved_at</v>
      </c>
      <c r="H235" s="3" t="str">
        <f>IFERROR(VLOOKUP($C235,'_METADATA_TEMPLATE'!$B$2:$H$826,7,FALSE),"")</f>
        <v>Variable</v>
      </c>
      <c r="I235" s="3" t="str">
        <f>IFERROR(VLOOKUP(C235,'_METADATA_DEFAULT'!$A:$B,2,FALSE),"")</f>
        <v/>
      </c>
    </row>
    <row r="236" ht="15.75" customHeight="1">
      <c r="A236" s="2" t="s">
        <v>332</v>
      </c>
      <c r="B236" s="2" t="s">
        <v>1064</v>
      </c>
      <c r="C236" s="2" t="s">
        <v>1064</v>
      </c>
      <c r="D236" s="2">
        <f>IFERROR(VLOOKUP($C236,'_METADATA_TEMPLATE'!$B$2:$H$826,2,FALSE),"")</f>
        <v>504</v>
      </c>
      <c r="E236" s="2" t="str">
        <f>IFERROR(VLOOKUP($C236,'_METADATA_TEMPLATE'!$B$2:$H$826,4,FALSE),"")</f>
        <v/>
      </c>
      <c r="F236" s="2" t="str">
        <f>IFERROR(VLOOKUP($C236,'_METADATA_TEMPLATE'!$B$2:$H$826,5,FALSE),"")</f>
        <v/>
      </c>
      <c r="G236" s="2" t="str">
        <f>IFERROR(VLOOKUP($C236,'_METADATA_TEMPLATE'!$B$2:$H$826,6,FALSE),"")</f>
        <v>jml_meteran_var</v>
      </c>
      <c r="H236" s="2" t="str">
        <f>IFERROR(VLOOKUP($C236,'_METADATA_TEMPLATE'!$B$2:$H$826,7,FALSE),"")</f>
        <v>Variable</v>
      </c>
      <c r="I236" s="2" t="str">
        <f>IFERROR(VLOOKUP(C236,'_METADATA_DEFAULT'!$A:$B,2,FALSE),"")</f>
        <v/>
      </c>
    </row>
    <row r="237" ht="15.75" customHeight="1">
      <c r="A237" s="3" t="s">
        <v>332</v>
      </c>
      <c r="B237" s="3" t="s">
        <v>1071</v>
      </c>
      <c r="C237" s="3" t="s">
        <v>1071</v>
      </c>
      <c r="D237" s="3">
        <f>IFERROR(VLOOKUP($C237,'_METADATA_TEMPLATE'!$B$2:$H$826,2,FALSE),"")</f>
        <v>505</v>
      </c>
      <c r="E237" s="3" t="str">
        <f>IFERROR(VLOOKUP($C237,'_METADATA_TEMPLATE'!$B$2:$H$826,4,FALSE),"")</f>
        <v/>
      </c>
      <c r="F237" s="3" t="str">
        <f>IFERROR(VLOOKUP($C237,'_METADATA_TEMPLATE'!$B$2:$H$826,5,FALSE),"")</f>
        <v/>
      </c>
      <c r="G237" s="3" t="str">
        <f>IFERROR(VLOOKUP($C237,'_METADATA_TEMPLATE'!$B$2:$H$826,6,FALSE),"")</f>
        <v>anomali_7_dtsen_resolved_at</v>
      </c>
      <c r="H237" s="3" t="str">
        <f>IFERROR(VLOOKUP($C237,'_METADATA_TEMPLATE'!$B$2:$H$826,7,FALSE),"")</f>
        <v>Variable</v>
      </c>
      <c r="I237" s="3" t="str">
        <f>IFERROR(VLOOKUP(C237,'_METADATA_DEFAULT'!$A:$B,2,FALSE),"")</f>
        <v/>
      </c>
    </row>
    <row r="238" ht="15.75" customHeight="1">
      <c r="A238" s="2" t="s">
        <v>332</v>
      </c>
      <c r="B238" s="2" t="s">
        <v>1080</v>
      </c>
      <c r="C238" s="2" t="s">
        <v>1080</v>
      </c>
      <c r="D238" s="2">
        <f>IFERROR(VLOOKUP($C238,'_METADATA_TEMPLATE'!$B$2:$H$826,2,FALSE),"")</f>
        <v>506</v>
      </c>
      <c r="E238" s="2" t="str">
        <f>IFERROR(VLOOKUP($C238,'_METADATA_TEMPLATE'!$B$2:$H$826,4,FALSE),"")</f>
        <v/>
      </c>
      <c r="F238" s="2" t="str">
        <f>IFERROR(VLOOKUP($C238,'_METADATA_TEMPLATE'!$B$2:$H$826,5,FALSE),"")</f>
        <v/>
      </c>
      <c r="G238" s="2" t="str">
        <f>IFERROR(VLOOKUP($C238,'_METADATA_TEMPLATE'!$B$2:$H$826,6,FALSE),"")</f>
        <v>Alamat $ket</v>
      </c>
      <c r="H238" s="2" t="str">
        <f>IFERROR(VLOOKUP($C238,'_METADATA_TEMPLATE'!$B$2:$H$826,7,FALSE),"")</f>
        <v>Variable</v>
      </c>
      <c r="I238" s="2" t="str">
        <f>IFERROR(VLOOKUP(C238,'_METADATA_DEFAULT'!$A:$B,2,FALSE),"")</f>
        <v/>
      </c>
    </row>
    <row r="239" ht="15.75" customHeight="1">
      <c r="A239" s="3" t="s">
        <v>332</v>
      </c>
      <c r="B239" s="3" t="s">
        <v>1086</v>
      </c>
      <c r="C239" s="3" t="s">
        <v>1086</v>
      </c>
      <c r="D239" s="3">
        <f>IFERROR(VLOOKUP($C239,'_METADATA_TEMPLATE'!$B$2:$H$826,2,FALSE),"")</f>
        <v>507</v>
      </c>
      <c r="E239" s="3" t="str">
        <f>IFERROR(VLOOKUP($C239,'_METADATA_TEMPLATE'!$B$2:$H$826,4,FALSE),"")</f>
        <v/>
      </c>
      <c r="F239" s="3" t="str">
        <f>IFERROR(VLOOKUP($C239,'_METADATA_TEMPLATE'!$B$2:$H$826,5,FALSE),"")</f>
        <v/>
      </c>
      <c r="G239" s="3" t="str">
        <f>IFERROR(VLOOKUP($C239,'_METADATA_TEMPLATE'!$B$2:$H$826,6,FALSE),"")</f>
        <v>Total Pendapatan Keluarga Sebulan</v>
      </c>
      <c r="H239" s="3" t="str">
        <f>IFERROR(VLOOKUP($C239,'_METADATA_TEMPLATE'!$B$2:$H$826,7,FALSE),"")</f>
        <v>Variable</v>
      </c>
      <c r="I239" s="3" t="str">
        <f>IFERROR(VLOOKUP(C239,'_METADATA_DEFAULT'!$A:$B,2,FALSE),"")</f>
        <v/>
      </c>
    </row>
    <row r="240" ht="15.75" customHeight="1">
      <c r="A240" s="2" t="s">
        <v>332</v>
      </c>
      <c r="B240" s="2" t="s">
        <v>1093</v>
      </c>
      <c r="C240" s="2" t="s">
        <v>1093</v>
      </c>
      <c r="D240" s="2">
        <f>IFERROR(VLOOKUP($C240,'_METADATA_TEMPLATE'!$B$2:$H$826,2,FALSE),"")</f>
        <v>508</v>
      </c>
      <c r="E240" s="2" t="str">
        <f>IFERROR(VLOOKUP($C240,'_METADATA_TEMPLATE'!$B$2:$H$826,4,FALSE),"")</f>
        <v/>
      </c>
      <c r="F240" s="2" t="str">
        <f>IFERROR(VLOOKUP($C240,'_METADATA_TEMPLATE'!$B$2:$H$826,5,FALSE),"")</f>
        <v/>
      </c>
      <c r="G240" s="2" t="str">
        <f>IFERROR(VLOOKUP($C240,'_METADATA_TEMPLATE'!$B$2:$H$826,6,FALSE),"")</f>
        <v>Pilihan kode keberadaan keluarga</v>
      </c>
      <c r="H240" s="2" t="str">
        <f>IFERROR(VLOOKUP($C240,'_METADATA_TEMPLATE'!$B$2:$H$826,7,FALSE),"")</f>
        <v>Variable</v>
      </c>
      <c r="I240" s="2" t="str">
        <f>IFERROR(VLOOKUP(C240,'_METADATA_DEFAULT'!$A:$B,2,FALSE),"")</f>
        <v/>
      </c>
    </row>
    <row r="241" ht="15.75" customHeight="1">
      <c r="A241" s="3" t="s">
        <v>332</v>
      </c>
      <c r="B241" s="3" t="s">
        <v>1098</v>
      </c>
      <c r="C241" s="3" t="s">
        <v>1098</v>
      </c>
      <c r="D241" s="3">
        <f>IFERROR(VLOOKUP($C241,'_METADATA_TEMPLATE'!$B$2:$H$826,2,FALSE),"")</f>
        <v>509</v>
      </c>
      <c r="E241" s="3" t="str">
        <f>IFERROR(VLOOKUP($C241,'_METADATA_TEMPLATE'!$B$2:$H$826,4,FALSE),"")</f>
        <v/>
      </c>
      <c r="F241" s="3" t="str">
        <f>IFERROR(VLOOKUP($C241,'_METADATA_TEMPLATE'!$B$2:$H$826,5,FALSE),"")</f>
        <v/>
      </c>
      <c r="G241" s="3" t="str">
        <f>IFERROR(VLOOKUP($C241,'_METADATA_TEMPLATE'!$B$2:$H$826,6,FALSE),"")</f>
        <v>Total Pengeluaran Keluarga Sebulan</v>
      </c>
      <c r="H241" s="3" t="str">
        <f>IFERROR(VLOOKUP($C241,'_METADATA_TEMPLATE'!$B$2:$H$826,7,FALSE),"")</f>
        <v>Variable</v>
      </c>
      <c r="I241" s="3" t="str">
        <f>IFERROR(VLOOKUP(C241,'_METADATA_DEFAULT'!$A:$B,2,FALSE),"")</f>
        <v/>
      </c>
    </row>
    <row r="242" ht="15.75" customHeight="1">
      <c r="A242" s="2" t="s">
        <v>332</v>
      </c>
      <c r="B242" s="2" t="s">
        <v>1104</v>
      </c>
      <c r="C242" s="2" t="s">
        <v>1104</v>
      </c>
      <c r="D242" s="2">
        <f>IFERROR(VLOOKUP($C242,'_METADATA_TEMPLATE'!$B$2:$H$826,2,FALSE),"")</f>
        <v>510</v>
      </c>
      <c r="E242" s="2" t="str">
        <f>IFERROR(VLOOKUP($C242,'_METADATA_TEMPLATE'!$B$2:$H$826,4,FALSE),"")</f>
        <v/>
      </c>
      <c r="F242" s="2" t="str">
        <f>IFERROR(VLOOKUP($C242,'_METADATA_TEMPLATE'!$B$2:$H$826,5,FALSE),"")</f>
        <v/>
      </c>
      <c r="G242" s="2" t="str">
        <f>IFERROR(VLOOKUP($C242,'_METADATA_TEMPLATE'!$B$2:$H$826,6,FALSE),"")</f>
        <v>Pilihan Keberadaan Keluarga (new)</v>
      </c>
      <c r="H242" s="2" t="str">
        <f>IFERROR(VLOOKUP($C242,'_METADATA_TEMPLATE'!$B$2:$H$826,7,FALSE),"")</f>
        <v>Variable</v>
      </c>
      <c r="I242" s="2" t="str">
        <f>IFERROR(VLOOKUP(C242,'_METADATA_DEFAULT'!$A:$B,2,FALSE),"")</f>
        <v/>
      </c>
    </row>
    <row r="243" ht="15.75" customHeight="1">
      <c r="A243" s="3" t="s">
        <v>332</v>
      </c>
      <c r="B243" s="3" t="s">
        <v>1109</v>
      </c>
      <c r="C243" s="3" t="s">
        <v>1109</v>
      </c>
      <c r="D243" s="3">
        <f>IFERROR(VLOOKUP($C243,'_METADATA_TEMPLATE'!$B$2:$H$826,2,FALSE),"")</f>
        <v>512</v>
      </c>
      <c r="E243" s="3" t="str">
        <f>IFERROR(VLOOKUP($C243,'_METADATA_TEMPLATE'!$B$2:$H$826,4,FALSE),"")</f>
        <v/>
      </c>
      <c r="F243" s="3" t="str">
        <f>IFERROR(VLOOKUP($C243,'_METADATA_TEMPLATE'!$B$2:$H$826,5,FALSE),"")</f>
        <v/>
      </c>
      <c r="G243" s="3" t="str">
        <f>IFERROR(VLOOKUP($C243,'_METADATA_TEMPLATE'!$B$2:$H$826,6,FALSE),"")</f>
        <v>Pilihan Keberadaan Bangunan (new)</v>
      </c>
      <c r="H243" s="3" t="str">
        <f>IFERROR(VLOOKUP($C243,'_METADATA_TEMPLATE'!$B$2:$H$826,7,FALSE),"")</f>
        <v>Variable</v>
      </c>
      <c r="I243" s="3" t="str">
        <f>IFERROR(VLOOKUP(C243,'_METADATA_DEFAULT'!$A:$B,2,FALSE),"")</f>
        <v/>
      </c>
    </row>
    <row r="244" ht="15.75" customHeight="1">
      <c r="A244" s="2" t="s">
        <v>332</v>
      </c>
      <c r="B244" s="2" t="s">
        <v>1115</v>
      </c>
      <c r="C244" s="2" t="s">
        <v>1115</v>
      </c>
      <c r="D244" s="2">
        <f>IFERROR(VLOOKUP($C244,'_METADATA_TEMPLATE'!$B$2:$H$826,2,FALSE),"")</f>
        <v>517</v>
      </c>
      <c r="E244" s="2" t="str">
        <f>IFERROR(VLOOKUP($C244,'_METADATA_TEMPLATE'!$B$2:$H$826,4,FALSE),"")</f>
        <v/>
      </c>
      <c r="F244" s="2" t="str">
        <f>IFERROR(VLOOKUP($C244,'_METADATA_TEMPLATE'!$B$2:$H$826,5,FALSE),"")</f>
        <v/>
      </c>
      <c r="G244" s="2" t="str">
        <f>IFERROR(VLOOKUP($C244,'_METADATA_TEMPLATE'!$B$2:$H$826,6,FALSE),"")</f>
        <v>jumlah_tabung3kg_prelist</v>
      </c>
      <c r="H244" s="2" t="str">
        <f>IFERROR(VLOOKUP($C244,'_METADATA_TEMPLATE'!$B$2:$H$826,7,FALSE),"")</f>
        <v>Variable</v>
      </c>
      <c r="I244" s="2" t="str">
        <f>IFERROR(VLOOKUP(C244,'_METADATA_DEFAULT'!$A:$B,2,FALSE),"")</f>
        <v/>
      </c>
    </row>
    <row r="245" ht="15.75" customHeight="1">
      <c r="A245" s="3" t="s">
        <v>332</v>
      </c>
      <c r="B245" s="3" t="s">
        <v>1121</v>
      </c>
      <c r="C245" s="3" t="s">
        <v>1121</v>
      </c>
      <c r="D245" s="3">
        <f>IFERROR(VLOOKUP($C245,'_METADATA_TEMPLATE'!$B$2:$H$826,2,FALSE),"")</f>
        <v>519</v>
      </c>
      <c r="E245" s="3" t="str">
        <f>IFERROR(VLOOKUP($C245,'_METADATA_TEMPLATE'!$B$2:$H$826,4,FALSE),"")</f>
        <v/>
      </c>
      <c r="F245" s="3" t="str">
        <f>IFERROR(VLOOKUP($C245,'_METADATA_TEMPLATE'!$B$2:$H$826,5,FALSE),"")</f>
        <v/>
      </c>
      <c r="G245" s="3" t="str">
        <f>IFERROR(VLOOKUP($C245,'_METADATA_TEMPLATE'!$B$2:$H$826,6,FALSE),"")</f>
        <v>jumlah_tabung5kg_prelist</v>
      </c>
      <c r="H245" s="3" t="str">
        <f>IFERROR(VLOOKUP($C245,'_METADATA_TEMPLATE'!$B$2:$H$826,7,FALSE),"")</f>
        <v>Variable</v>
      </c>
      <c r="I245" s="3" t="str">
        <f>IFERROR(VLOOKUP(C245,'_METADATA_DEFAULT'!$A:$B,2,FALSE),"")</f>
        <v/>
      </c>
    </row>
    <row r="246" ht="15.75" customHeight="1">
      <c r="A246" s="2" t="s">
        <v>332</v>
      </c>
      <c r="B246" s="2" t="s">
        <v>1128</v>
      </c>
      <c r="C246" s="2" t="s">
        <v>1128</v>
      </c>
      <c r="D246" s="2">
        <f>IFERROR(VLOOKUP($C246,'_METADATA_TEMPLATE'!$B$2:$H$826,2,FALSE),"")</f>
        <v>521</v>
      </c>
      <c r="E246" s="2" t="str">
        <f>IFERROR(VLOOKUP($C246,'_METADATA_TEMPLATE'!$B$2:$H$826,4,FALSE),"")</f>
        <v/>
      </c>
      <c r="F246" s="2" t="str">
        <f>IFERROR(VLOOKUP($C246,'_METADATA_TEMPLATE'!$B$2:$H$826,5,FALSE),"")</f>
        <v/>
      </c>
      <c r="G246" s="2" t="str">
        <f>IFERROR(VLOOKUP($C246,'_METADATA_TEMPLATE'!$B$2:$H$826,6,FALSE),"")</f>
        <v>NOMOR URUT KELUARGA TERBESAR:</v>
      </c>
      <c r="H246" s="2" t="str">
        <f>IFERROR(VLOOKUP($C246,'_METADATA_TEMPLATE'!$B$2:$H$826,7,FALSE),"")</f>
        <v>Variable</v>
      </c>
      <c r="I246" s="2" t="str">
        <f>IFERROR(VLOOKUP(C246,'_METADATA_DEFAULT'!$A:$B,2,FALSE),"")</f>
        <v/>
      </c>
    </row>
    <row r="247" ht="15.75" customHeight="1">
      <c r="A247" s="3" t="s">
        <v>332</v>
      </c>
      <c r="B247" s="3" t="s">
        <v>1137</v>
      </c>
      <c r="C247" s="3" t="s">
        <v>1137</v>
      </c>
      <c r="D247" s="3">
        <f>IFERROR(VLOOKUP($C247,'_METADATA_TEMPLATE'!$B$2:$H$826,2,FALSE),"")</f>
        <v>522</v>
      </c>
      <c r="E247" s="3" t="str">
        <f>IFERROR(VLOOKUP($C247,'_METADATA_TEMPLATE'!$B$2:$H$826,4,FALSE),"")</f>
        <v/>
      </c>
      <c r="F247" s="3" t="str">
        <f>IFERROR(VLOOKUP($C247,'_METADATA_TEMPLATE'!$B$2:$H$826,5,FALSE),"")</f>
        <v/>
      </c>
      <c r="G247" s="3" t="str">
        <f>IFERROR(VLOOKUP($C247,'_METADATA_TEMPLATE'!$B$2:$H$826,6,FALSE),"")</f>
        <v>Nomor Urut Keluarga</v>
      </c>
      <c r="H247" s="3" t="str">
        <f>IFERROR(VLOOKUP($C247,'_METADATA_TEMPLATE'!$B$2:$H$826,7,FALSE),"")</f>
        <v>Variable</v>
      </c>
      <c r="I247" s="3" t="str">
        <f>IFERROR(VLOOKUP(C247,'_METADATA_DEFAULT'!$A:$B,2,FALSE),"")</f>
        <v/>
      </c>
    </row>
    <row r="248" ht="15.75" customHeight="1">
      <c r="A248" s="2" t="s">
        <v>332</v>
      </c>
      <c r="B248" s="2" t="s">
        <v>1143</v>
      </c>
      <c r="C248" s="2" t="s">
        <v>1143</v>
      </c>
      <c r="D248" s="2">
        <f>IFERROR(VLOOKUP($C248,'_METADATA_TEMPLATE'!$B$2:$H$826,2,FALSE),"")</f>
        <v>523</v>
      </c>
      <c r="E248" s="2" t="str">
        <f>IFERROR(VLOOKUP($C248,'_METADATA_TEMPLATE'!$B$2:$H$826,4,FALSE),"")</f>
        <v/>
      </c>
      <c r="F248" s="2" t="str">
        <f>IFERROR(VLOOKUP($C248,'_METADATA_TEMPLATE'!$B$2:$H$826,5,FALSE),"")</f>
        <v/>
      </c>
      <c r="G248" s="2" t="str">
        <f>IFERROR(VLOOKUP($C248,'_METADATA_TEMPLATE'!$B$2:$H$826,6,FALSE),"")</f>
        <v>jumlah_kulkas_prelist</v>
      </c>
      <c r="H248" s="2" t="str">
        <f>IFERROR(VLOOKUP($C248,'_METADATA_TEMPLATE'!$B$2:$H$826,7,FALSE),"")</f>
        <v>Variable</v>
      </c>
      <c r="I248" s="2" t="str">
        <f>IFERROR(VLOOKUP(C248,'_METADATA_DEFAULT'!$A:$B,2,FALSE),"")</f>
        <v/>
      </c>
    </row>
    <row r="249" ht="15.75" customHeight="1">
      <c r="A249" s="3" t="s">
        <v>332</v>
      </c>
      <c r="B249" s="3" t="s">
        <v>1150</v>
      </c>
      <c r="C249" s="3" t="s">
        <v>1150</v>
      </c>
      <c r="D249" s="3">
        <f>IFERROR(VLOOKUP($C249,'_METADATA_TEMPLATE'!$B$2:$H$826,2,FALSE),"")</f>
        <v>524</v>
      </c>
      <c r="E249" s="3" t="str">
        <f>IFERROR(VLOOKUP($C249,'_METADATA_TEMPLATE'!$B$2:$H$826,4,FALSE),"")</f>
        <v/>
      </c>
      <c r="F249" s="3" t="str">
        <f>IFERROR(VLOOKUP($C249,'_METADATA_TEMPLATE'!$B$2:$H$826,5,FALSE),"")</f>
        <v/>
      </c>
      <c r="G249" s="3" t="str">
        <f>IFERROR(VLOOKUP($C249,'_METADATA_TEMPLATE'!$B$2:$H$826,6,FALSE),"")</f>
        <v>jumlah_ac_prelist</v>
      </c>
      <c r="H249" s="3" t="str">
        <f>IFERROR(VLOOKUP($C249,'_METADATA_TEMPLATE'!$B$2:$H$826,7,FALSE),"")</f>
        <v>Variable</v>
      </c>
      <c r="I249" s="3" t="str">
        <f>IFERROR(VLOOKUP(C249,'_METADATA_DEFAULT'!$A:$B,2,FALSE),"")</f>
        <v/>
      </c>
    </row>
    <row r="250" ht="15.75" customHeight="1">
      <c r="A250" s="2" t="s">
        <v>332</v>
      </c>
      <c r="B250" s="2" t="s">
        <v>1157</v>
      </c>
      <c r="C250" s="2" t="s">
        <v>1157</v>
      </c>
      <c r="D250" s="2">
        <f>IFERROR(VLOOKUP($C250,'_METADATA_TEMPLATE'!$B$2:$H$826,2,FALSE),"")</f>
        <v>525</v>
      </c>
      <c r="E250" s="2" t="str">
        <f>IFERROR(VLOOKUP($C250,'_METADATA_TEMPLATE'!$B$2:$H$826,4,FALSE),"")</f>
        <v/>
      </c>
      <c r="F250" s="2" t="str">
        <f>IFERROR(VLOOKUP($C250,'_METADATA_TEMPLATE'!$B$2:$H$826,5,FALSE),"")</f>
        <v/>
      </c>
      <c r="G250" s="2" t="str">
        <f>IFERROR(VLOOKUP($C250,'_METADATA_TEMPLATE'!$B$2:$H$826,6,FALSE),"")</f>
        <v>jumlah_emas_prelist</v>
      </c>
      <c r="H250" s="2" t="str">
        <f>IFERROR(VLOOKUP($C250,'_METADATA_TEMPLATE'!$B$2:$H$826,7,FALSE),"")</f>
        <v>Variable</v>
      </c>
      <c r="I250" s="2" t="str">
        <f>IFERROR(VLOOKUP(C250,'_METADATA_DEFAULT'!$A:$B,2,FALSE),"")</f>
        <v/>
      </c>
    </row>
    <row r="251" ht="15.75" customHeight="1">
      <c r="A251" s="3" t="s">
        <v>332</v>
      </c>
      <c r="B251" s="3" t="s">
        <v>1165</v>
      </c>
      <c r="C251" s="3" t="s">
        <v>1165</v>
      </c>
      <c r="D251" s="3">
        <f>IFERROR(VLOOKUP($C251,'_METADATA_TEMPLATE'!$B$2:$H$826,2,FALSE),"")</f>
        <v>526</v>
      </c>
      <c r="E251" s="3" t="str">
        <f>IFERROR(VLOOKUP($C251,'_METADATA_TEMPLATE'!$B$2:$H$826,4,FALSE),"")</f>
        <v/>
      </c>
      <c r="F251" s="3" t="str">
        <f>IFERROR(VLOOKUP($C251,'_METADATA_TEMPLATE'!$B$2:$H$826,5,FALSE),"")</f>
        <v/>
      </c>
      <c r="G251" s="3" t="str">
        <f>IFERROR(VLOOKUP($C251,'_METADATA_TEMPLATE'!$B$2:$H$826,6,FALSE),"")</f>
        <v>Options untuk kode_bang disesuaikan</v>
      </c>
      <c r="H251" s="3" t="str">
        <f>IFERROR(VLOOKUP($C251,'_METADATA_TEMPLATE'!$B$2:$H$826,7,FALSE),"")</f>
        <v>Variable</v>
      </c>
      <c r="I251" s="3" t="str">
        <f>IFERROR(VLOOKUP(C251,'_METADATA_DEFAULT'!$A:$B,2,FALSE),"")</f>
        <v/>
      </c>
    </row>
    <row r="252" ht="15.75" customHeight="1">
      <c r="A252" s="2" t="s">
        <v>332</v>
      </c>
      <c r="B252" s="2" t="s">
        <v>1173</v>
      </c>
      <c r="C252" s="2" t="s">
        <v>1173</v>
      </c>
      <c r="D252" s="2">
        <f>IFERROR(VLOOKUP($C252,'_METADATA_TEMPLATE'!$B$2:$H$826,2,FALSE),"")</f>
        <v>527</v>
      </c>
      <c r="E252" s="2" t="str">
        <f>IFERROR(VLOOKUP($C252,'_METADATA_TEMPLATE'!$B$2:$H$826,4,FALSE),"")</f>
        <v/>
      </c>
      <c r="F252" s="2" t="str">
        <f>IFERROR(VLOOKUP($C252,'_METADATA_TEMPLATE'!$B$2:$H$826,5,FALSE),"")</f>
        <v/>
      </c>
      <c r="G252" s="2" t="str">
        <f>IFERROR(VLOOKUP($C252,'_METADATA_TEMPLATE'!$B$2:$H$826,6,FALSE),"")</f>
        <v>jumlah_laptop_prelist</v>
      </c>
      <c r="H252" s="2" t="str">
        <f>IFERROR(VLOOKUP($C252,'_METADATA_TEMPLATE'!$B$2:$H$826,7,FALSE),"")</f>
        <v>Variable</v>
      </c>
      <c r="I252" s="2" t="str">
        <f>IFERROR(VLOOKUP(C252,'_METADATA_DEFAULT'!$A:$B,2,FALSE),"")</f>
        <v/>
      </c>
    </row>
    <row r="253" ht="15.75" customHeight="1">
      <c r="A253" s="3" t="s">
        <v>332</v>
      </c>
      <c r="B253" s="3" t="s">
        <v>1178</v>
      </c>
      <c r="C253" s="3" t="s">
        <v>1178</v>
      </c>
      <c r="D253" s="3">
        <f>IFERROR(VLOOKUP($C253,'_METADATA_TEMPLATE'!$B$2:$H$826,2,FALSE),"")</f>
        <v>528</v>
      </c>
      <c r="E253" s="3" t="str">
        <f>IFERROR(VLOOKUP($C253,'_METADATA_TEMPLATE'!$B$2:$H$826,4,FALSE),"")</f>
        <v/>
      </c>
      <c r="F253" s="3" t="str">
        <f>IFERROR(VLOOKUP($C253,'_METADATA_TEMPLATE'!$B$2:$H$826,5,FALSE),"")</f>
        <v/>
      </c>
      <c r="G253" s="3" t="str">
        <f>IFERROR(VLOOKUP($C253,'_METADATA_TEMPLATE'!$B$2:$H$826,6,FALSE),"")</f>
        <v>jumlah_motor_prelist</v>
      </c>
      <c r="H253" s="3" t="str">
        <f>IFERROR(VLOOKUP($C253,'_METADATA_TEMPLATE'!$B$2:$H$826,7,FALSE),"")</f>
        <v>Variable</v>
      </c>
      <c r="I253" s="3" t="str">
        <f>IFERROR(VLOOKUP(C253,'_METADATA_DEFAULT'!$A:$B,2,FALSE),"")</f>
        <v/>
      </c>
    </row>
    <row r="254" ht="15.75" customHeight="1">
      <c r="A254" s="2" t="s">
        <v>332</v>
      </c>
      <c r="B254" s="2" t="s">
        <v>1185</v>
      </c>
      <c r="C254" s="2" t="s">
        <v>1185</v>
      </c>
      <c r="D254" s="2">
        <f>IFERROR(VLOOKUP($C254,'_METADATA_TEMPLATE'!$B$2:$H$826,2,FALSE),"")</f>
        <v>529</v>
      </c>
      <c r="E254" s="2" t="str">
        <f>IFERROR(VLOOKUP($C254,'_METADATA_TEMPLATE'!$B$2:$H$826,4,FALSE),"")</f>
        <v/>
      </c>
      <c r="F254" s="2" t="str">
        <f>IFERROR(VLOOKUP($C254,'_METADATA_TEMPLATE'!$B$2:$H$826,5,FALSE),"")</f>
        <v/>
      </c>
      <c r="G254" s="2" t="str">
        <f>IFERROR(VLOOKUP($C254,'_METADATA_TEMPLATE'!$B$2:$H$826,6,FALSE),"")</f>
        <v>jumlah_mobil_prelist</v>
      </c>
      <c r="H254" s="2" t="str">
        <f>IFERROR(VLOOKUP($C254,'_METADATA_TEMPLATE'!$B$2:$H$826,7,FALSE),"")</f>
        <v>Variable</v>
      </c>
      <c r="I254" s="2" t="str">
        <f>IFERROR(VLOOKUP(C254,'_METADATA_DEFAULT'!$A:$B,2,FALSE),"")</f>
        <v/>
      </c>
    </row>
    <row r="255" ht="15.75" customHeight="1">
      <c r="A255" s="3" t="s">
        <v>332</v>
      </c>
      <c r="B255" s="3" t="s">
        <v>1193</v>
      </c>
      <c r="C255" s="3" t="s">
        <v>1193</v>
      </c>
      <c r="D255" s="3">
        <f>IFERROR(VLOOKUP($C255,'_METADATA_TEMPLATE'!$B$2:$H$826,2,FALSE),"")</f>
        <v>530</v>
      </c>
      <c r="E255" s="3" t="str">
        <f>IFERROR(VLOOKUP($C255,'_METADATA_TEMPLATE'!$B$2:$H$826,4,FALSE),"")</f>
        <v/>
      </c>
      <c r="F255" s="3" t="str">
        <f>IFERROR(VLOOKUP($C255,'_METADATA_TEMPLATE'!$B$2:$H$826,5,FALSE),"")</f>
        <v/>
      </c>
      <c r="G255" s="3" t="str">
        <f>IFERROR(VLOOKUP($C255,'_METADATA_TEMPLATE'!$B$2:$H$826,6,FALSE),"")</f>
        <v>jumlah_lahan_prelist</v>
      </c>
      <c r="H255" s="3" t="str">
        <f>IFERROR(VLOOKUP($C255,'_METADATA_TEMPLATE'!$B$2:$H$826,7,FALSE),"")</f>
        <v>Variable</v>
      </c>
      <c r="I255" s="3" t="str">
        <f>IFERROR(VLOOKUP(C255,'_METADATA_DEFAULT'!$A:$B,2,FALSE),"")</f>
        <v/>
      </c>
    </row>
    <row r="256" ht="15.75" customHeight="1">
      <c r="A256" s="2" t="s">
        <v>332</v>
      </c>
      <c r="B256" s="2" t="s">
        <v>1200</v>
      </c>
      <c r="C256" s="2" t="s">
        <v>1200</v>
      </c>
      <c r="D256" s="2">
        <f>IFERROR(VLOOKUP($C256,'_METADATA_TEMPLATE'!$B$2:$H$826,2,FALSE),"")</f>
        <v>531</v>
      </c>
      <c r="E256" s="2" t="str">
        <f>IFERROR(VLOOKUP($C256,'_METADATA_TEMPLATE'!$B$2:$H$826,4,FALSE),"")</f>
        <v/>
      </c>
      <c r="F256" s="2" t="str">
        <f>IFERROR(VLOOKUP($C256,'_METADATA_TEMPLATE'!$B$2:$H$826,5,FALSE),"")</f>
        <v/>
      </c>
      <c r="G256" s="2" t="str">
        <f>IFERROR(VLOOKUP($C256,'_METADATA_TEMPLATE'!$B$2:$H$826,6,FALSE),"")</f>
        <v>jumlah_rumah_prelist</v>
      </c>
      <c r="H256" s="2" t="str">
        <f>IFERROR(VLOOKUP($C256,'_METADATA_TEMPLATE'!$B$2:$H$826,7,FALSE),"")</f>
        <v>Variable</v>
      </c>
      <c r="I256" s="2" t="str">
        <f>IFERROR(VLOOKUP(C256,'_METADATA_DEFAULT'!$A:$B,2,FALSE),"")</f>
        <v/>
      </c>
    </row>
    <row r="257" ht="15.75" customHeight="1">
      <c r="A257" s="3" t="s">
        <v>332</v>
      </c>
      <c r="B257" s="3" t="s">
        <v>1209</v>
      </c>
      <c r="C257" s="3" t="s">
        <v>1209</v>
      </c>
      <c r="D257" s="3">
        <f>IFERROR(VLOOKUP($C257,'_METADATA_TEMPLATE'!$B$2:$H$826,2,FALSE),"")</f>
        <v>534</v>
      </c>
      <c r="E257" s="3" t="str">
        <f>IFERROR(VLOOKUP($C257,'_METADATA_TEMPLATE'!$B$2:$H$826,4,FALSE),"")</f>
        <v/>
      </c>
      <c r="F257" s="3" t="str">
        <f>IFERROR(VLOOKUP($C257,'_METADATA_TEMPLATE'!$B$2:$H$826,5,FALSE),"")</f>
        <v/>
      </c>
      <c r="G257" s="3" t="str">
        <f>IFERROR(VLOOKUP($C257,'_METADATA_TEMPLATE'!$B$2:$H$826,6,FALSE),"")</f>
        <v>List yang ditampilkan di se2026_nested</v>
      </c>
      <c r="H257" s="3" t="str">
        <f>IFERROR(VLOOKUP($C257,'_METADATA_TEMPLATE'!$B$2:$H$826,7,FALSE),"")</f>
        <v>Variable</v>
      </c>
      <c r="I257" s="3" t="str">
        <f>IFERROR(VLOOKUP(C257,'_METADATA_DEFAULT'!$A:$B,2,FALSE),"")</f>
        <v/>
      </c>
    </row>
    <row r="258" ht="15.75" customHeight="1">
      <c r="A258" s="2" t="s">
        <v>332</v>
      </c>
      <c r="B258" s="2" t="s">
        <v>1215</v>
      </c>
      <c r="C258" s="2" t="s">
        <v>1215</v>
      </c>
      <c r="D258" s="2">
        <f>IFERROR(VLOOKUP($C258,'_METADATA_TEMPLATE'!$B$2:$H$826,2,FALSE),"")</f>
        <v>536</v>
      </c>
      <c r="E258" s="2" t="str">
        <f>IFERROR(VLOOKUP($C258,'_METADATA_TEMPLATE'!$B$2:$H$826,4,FALSE),"")</f>
        <v/>
      </c>
      <c r="F258" s="2" t="str">
        <f>IFERROR(VLOOKUP($C258,'_METADATA_TEMPLATE'!$B$2:$H$826,5,FALSE),"")</f>
        <v/>
      </c>
      <c r="G258" s="2" t="str">
        <f>IFERROR(VLOOKUP($C258,'_METADATA_TEMPLATE'!$B$2:$H$826,6,FALSE),"")</f>
        <v>Nama Usaha Prelist</v>
      </c>
      <c r="H258" s="2" t="str">
        <f>IFERROR(VLOOKUP($C258,'_METADATA_TEMPLATE'!$B$2:$H$826,7,FALSE),"")</f>
        <v>Variable</v>
      </c>
      <c r="I258" s="2" t="str">
        <f>IFERROR(VLOOKUP(C258,'_METADATA_DEFAULT'!$A:$B,2,FALSE),"")</f>
        <v/>
      </c>
    </row>
    <row r="259" ht="15.75" customHeight="1">
      <c r="A259" s="3" t="s">
        <v>332</v>
      </c>
      <c r="B259" s="3" t="s">
        <v>1220</v>
      </c>
      <c r="C259" s="3" t="s">
        <v>1220</v>
      </c>
      <c r="D259" s="3">
        <f>IFERROR(VLOOKUP($C259,'_METADATA_TEMPLATE'!$B$2:$H$826,2,FALSE),"")</f>
        <v>541</v>
      </c>
      <c r="E259" s="3" t="str">
        <f>IFERROR(VLOOKUP($C259,'_METADATA_TEMPLATE'!$B$2:$H$826,4,FALSE),"")</f>
        <v/>
      </c>
      <c r="F259" s="3" t="str">
        <f>IFERROR(VLOOKUP($C259,'_METADATA_TEMPLATE'!$B$2:$H$826,5,FALSE),"")</f>
        <v/>
      </c>
      <c r="G259" s="3" t="str">
        <f>IFERROR(VLOOKUP($C259,'_METADATA_TEMPLATE'!$B$2:$H$826,6,FALSE),"")</f>
        <v>idsbr_all</v>
      </c>
      <c r="H259" s="3" t="str">
        <f>IFERROR(VLOOKUP($C259,'_METADATA_TEMPLATE'!$B$2:$H$826,7,FALSE),"")</f>
        <v>Variable</v>
      </c>
      <c r="I259" s="3" t="str">
        <f>IFERROR(VLOOKUP(C259,'_METADATA_DEFAULT'!$A:$B,2,FALSE),"")</f>
        <v/>
      </c>
    </row>
    <row r="260" ht="15.75" customHeight="1">
      <c r="A260" s="2" t="s">
        <v>332</v>
      </c>
      <c r="B260" s="2" t="s">
        <v>1229</v>
      </c>
      <c r="C260" s="2" t="s">
        <v>1229</v>
      </c>
      <c r="D260" s="2">
        <f>IFERROR(VLOOKUP($C260,'_METADATA_TEMPLATE'!$B$2:$H$826,2,FALSE),"")</f>
        <v>543</v>
      </c>
      <c r="E260" s="2" t="str">
        <f>IFERROR(VLOOKUP($C260,'_METADATA_TEMPLATE'!$B$2:$H$826,4,FALSE),"")</f>
        <v/>
      </c>
      <c r="F260" s="2" t="str">
        <f>IFERROR(VLOOKUP($C260,'_METADATA_TEMPLATE'!$B$2:$H$826,5,FALSE),"")</f>
        <v/>
      </c>
      <c r="G260" s="2" t="str">
        <f>IFERROR(VLOOKUP($C260,'_METADATA_TEMPLATE'!$B$2:$H$826,6,FALSE),"")</f>
        <v>email_all</v>
      </c>
      <c r="H260" s="2" t="str">
        <f>IFERROR(VLOOKUP($C260,'_METADATA_TEMPLATE'!$B$2:$H$826,7,FALSE),"")</f>
        <v>Variable</v>
      </c>
      <c r="I260" s="2" t="str">
        <f>IFERROR(VLOOKUP(C260,'_METADATA_DEFAULT'!$A:$B,2,FALSE),"")</f>
        <v/>
      </c>
    </row>
    <row r="261" ht="15.75" customHeight="1">
      <c r="A261" s="3" t="s">
        <v>332</v>
      </c>
      <c r="B261" s="3" t="s">
        <v>1235</v>
      </c>
      <c r="C261" s="3" t="s">
        <v>1235</v>
      </c>
      <c r="D261" s="3">
        <f>IFERROR(VLOOKUP($C261,'_METADATA_TEMPLATE'!$B$2:$H$826,2,FALSE),"")</f>
        <v>544</v>
      </c>
      <c r="E261" s="3" t="str">
        <f>IFERROR(VLOOKUP($C261,'_METADATA_TEMPLATE'!$B$2:$H$826,4,FALSE),"")</f>
        <v/>
      </c>
      <c r="F261" s="3" t="str">
        <f>IFERROR(VLOOKUP($C261,'_METADATA_TEMPLATE'!$B$2:$H$826,5,FALSE),"")</f>
        <v/>
      </c>
      <c r="G261" s="3" t="str">
        <f>IFERROR(VLOOKUP($C261,'_METADATA_TEMPLATE'!$B$2:$H$826,6,FALSE),"")</f>
        <v>skala_usaha_all</v>
      </c>
      <c r="H261" s="3" t="str">
        <f>IFERROR(VLOOKUP($C261,'_METADATA_TEMPLATE'!$B$2:$H$826,7,FALSE),"")</f>
        <v>Variable</v>
      </c>
      <c r="I261" s="3" t="str">
        <f>IFERROR(VLOOKUP(C261,'_METADATA_DEFAULT'!$A:$B,2,FALSE),"")</f>
        <v/>
      </c>
    </row>
    <row r="262" ht="15.75" customHeight="1">
      <c r="A262" s="2" t="s">
        <v>332</v>
      </c>
      <c r="B262" s="2" t="s">
        <v>1241</v>
      </c>
      <c r="C262" s="2" t="s">
        <v>1241</v>
      </c>
      <c r="D262" s="2">
        <f>IFERROR(VLOOKUP($C262,'_METADATA_TEMPLATE'!$B$2:$H$826,2,FALSE),"")</f>
        <v>545</v>
      </c>
      <c r="E262" s="2" t="str">
        <f>IFERROR(VLOOKUP($C262,'_METADATA_TEMPLATE'!$B$2:$H$826,4,FALSE),"")</f>
        <v/>
      </c>
      <c r="F262" s="2" t="str">
        <f>IFERROR(VLOOKUP($C262,'_METADATA_TEMPLATE'!$B$2:$H$826,5,FALSE),"")</f>
        <v/>
      </c>
      <c r="G262" s="2" t="str">
        <f>IFERROR(VLOOKUP($C262,'_METADATA_TEMPLATE'!$B$2:$H$826,6,FALSE),"")</f>
        <v>idunik_MSSD</v>
      </c>
      <c r="H262" s="2" t="str">
        <f>IFERROR(VLOOKUP($C262,'_METADATA_TEMPLATE'!$B$2:$H$826,7,FALSE),"")</f>
        <v>Variable</v>
      </c>
      <c r="I262" s="2" t="str">
        <f>IFERROR(VLOOKUP(C262,'_METADATA_DEFAULT'!$A:$B,2,FALSE),"")</f>
        <v/>
      </c>
    </row>
    <row r="263" ht="15.75" customHeight="1">
      <c r="A263" s="3" t="s">
        <v>332</v>
      </c>
      <c r="B263" s="3" t="s">
        <v>1247</v>
      </c>
      <c r="C263" s="3" t="s">
        <v>1247</v>
      </c>
      <c r="D263" s="3">
        <f>IFERROR(VLOOKUP($C263,'_METADATA_TEMPLATE'!$B$2:$H$826,2,FALSE),"")</f>
        <v>546</v>
      </c>
      <c r="E263" s="3" t="str">
        <f>IFERROR(VLOOKUP($C263,'_METADATA_TEMPLATE'!$B$2:$H$826,4,FALSE),"")</f>
        <v/>
      </c>
      <c r="F263" s="3" t="str">
        <f>IFERROR(VLOOKUP($C263,'_METADATA_TEMPLATE'!$B$2:$H$826,5,FALSE),"")</f>
        <v/>
      </c>
      <c r="G263" s="3" t="str">
        <f>IFERROR(VLOOKUP($C263,'_METADATA_TEMPLATE'!$B$2:$H$826,6,FALSE),"")</f>
        <v>jumlah_usaha</v>
      </c>
      <c r="H263" s="3" t="str">
        <f>IFERROR(VLOOKUP($C263,'_METADATA_TEMPLATE'!$B$2:$H$826,7,FALSE),"")</f>
        <v>Variable</v>
      </c>
      <c r="I263" s="3" t="str">
        <f>IFERROR(VLOOKUP(C263,'_METADATA_DEFAULT'!$A:$B,2,FALSE),"")</f>
        <v/>
      </c>
    </row>
    <row r="264" ht="15.75" customHeight="1">
      <c r="A264" s="2" t="s">
        <v>332</v>
      </c>
      <c r="B264" s="2" t="s">
        <v>1253</v>
      </c>
      <c r="C264" s="2" t="s">
        <v>1253</v>
      </c>
      <c r="D264" s="2">
        <f>IFERROR(VLOOKUP($C264,'_METADATA_TEMPLATE'!$B$2:$H$826,2,FALSE),"")</f>
        <v>547</v>
      </c>
      <c r="E264" s="2" t="str">
        <f>IFERROR(VLOOKUP($C264,'_METADATA_TEMPLATE'!$B$2:$H$826,4,FALSE),"")</f>
        <v/>
      </c>
      <c r="F264" s="2" t="str">
        <f>IFERROR(VLOOKUP($C264,'_METADATA_TEMPLATE'!$B$2:$H$826,5,FALSE),"")</f>
        <v/>
      </c>
      <c r="G264" s="2" t="str">
        <f>IFERROR(VLOOKUP($C264,'_METADATA_TEMPLATE'!$B$2:$H$826,6,FALSE),"")</f>
        <v>Jumlah Usaha Pertanian</v>
      </c>
      <c r="H264" s="2" t="str">
        <f>IFERROR(VLOOKUP($C264,'_METADATA_TEMPLATE'!$B$2:$H$826,7,FALSE),"")</f>
        <v>Variable</v>
      </c>
      <c r="I264" s="2" t="str">
        <f>IFERROR(VLOOKUP(C264,'_METADATA_DEFAULT'!$A:$B,2,FALSE),"")</f>
        <v/>
      </c>
    </row>
    <row r="265" ht="15.75" customHeight="1">
      <c r="A265" s="3" t="s">
        <v>332</v>
      </c>
      <c r="B265" s="3" t="s">
        <v>1259</v>
      </c>
      <c r="C265" s="3" t="s">
        <v>1259</v>
      </c>
      <c r="D265" s="3">
        <f>IFERROR(VLOOKUP($C265,'_METADATA_TEMPLATE'!$B$2:$H$826,2,FALSE),"")</f>
        <v>548</v>
      </c>
      <c r="E265" s="3" t="str">
        <f>IFERROR(VLOOKUP($C265,'_METADATA_TEMPLATE'!$B$2:$H$826,4,FALSE),"")</f>
        <v/>
      </c>
      <c r="F265" s="3" t="str">
        <f>IFERROR(VLOOKUP($C265,'_METADATA_TEMPLATE'!$B$2:$H$826,5,FALSE),"")</f>
        <v/>
      </c>
      <c r="G265" s="3" t="str">
        <f>IFERROR(VLOOKUP($C265,'_METADATA_TEMPLATE'!$B$2:$H$826,6,FALSE),"")</f>
        <v>Jumlah Usaha Non-Pertanian</v>
      </c>
      <c r="H265" s="3" t="str">
        <f>IFERROR(VLOOKUP($C265,'_METADATA_TEMPLATE'!$B$2:$H$826,7,FALSE),"")</f>
        <v>Variable</v>
      </c>
      <c r="I265" s="3" t="str">
        <f>IFERROR(VLOOKUP(C265,'_METADATA_DEFAULT'!$A:$B,2,FALSE),"")</f>
        <v/>
      </c>
    </row>
    <row r="266" ht="15.75" customHeight="1">
      <c r="A266" s="2" t="s">
        <v>332</v>
      </c>
      <c r="B266" s="2" t="s">
        <v>1267</v>
      </c>
      <c r="C266" s="2" t="s">
        <v>1267</v>
      </c>
      <c r="D266" s="2">
        <f>IFERROR(VLOOKUP($C266,'_METADATA_TEMPLATE'!$B$2:$H$826,2,FALSE),"")</f>
        <v>549</v>
      </c>
      <c r="E266" s="2" t="str">
        <f>IFERROR(VLOOKUP($C266,'_METADATA_TEMPLATE'!$B$2:$H$826,4,FALSE),"")</f>
        <v/>
      </c>
      <c r="F266" s="2" t="str">
        <f>IFERROR(VLOOKUP($C266,'_METADATA_TEMPLATE'!$B$2:$H$826,5,FALSE),"")</f>
        <v/>
      </c>
      <c r="G266" s="2" t="str">
        <f>IFERROR(VLOOKUP($C266,'_METADATA_TEMPLATE'!$B$2:$H$826,6,FALSE),"")</f>
        <v>jum usaha gabung</v>
      </c>
      <c r="H266" s="2" t="str">
        <f>IFERROR(VLOOKUP($C266,'_METADATA_TEMPLATE'!$B$2:$H$826,7,FALSE),"")</f>
        <v>Variable</v>
      </c>
      <c r="I266" s="2" t="str">
        <f>IFERROR(VLOOKUP(C266,'_METADATA_DEFAULT'!$A:$B,2,FALSE),"")</f>
        <v/>
      </c>
    </row>
    <row r="267" ht="15.75" customHeight="1">
      <c r="A267" s="3" t="s">
        <v>332</v>
      </c>
      <c r="B267" s="3" t="s">
        <v>1272</v>
      </c>
      <c r="C267" s="3" t="s">
        <v>1272</v>
      </c>
      <c r="D267" s="3">
        <f>IFERROR(VLOOKUP($C267,'_METADATA_TEMPLATE'!$B$2:$H$826,2,FALSE),"")</f>
        <v>550</v>
      </c>
      <c r="E267" s="3" t="str">
        <f>IFERROR(VLOOKUP($C267,'_METADATA_TEMPLATE'!$B$2:$H$826,4,FALSE),"")</f>
        <v/>
      </c>
      <c r="F267" s="3" t="str">
        <f>IFERROR(VLOOKUP($C267,'_METADATA_TEMPLATE'!$B$2:$H$826,5,FALSE),"")</f>
        <v/>
      </c>
      <c r="G267" s="3" t="str">
        <f>IFERROR(VLOOKUP($C267,'_METADATA_TEMPLATE'!$B$2:$H$826,6,FALSE),"")</f>
        <v>skala_usaha_prelist</v>
      </c>
      <c r="H267" s="3" t="str">
        <f>IFERROR(VLOOKUP($C267,'_METADATA_TEMPLATE'!$B$2:$H$826,7,FALSE),"")</f>
        <v>Variable</v>
      </c>
      <c r="I267" s="3" t="str">
        <f>IFERROR(VLOOKUP(C267,'_METADATA_DEFAULT'!$A:$B,2,FALSE),"")</f>
        <v/>
      </c>
    </row>
    <row r="268" ht="15.75" customHeight="1">
      <c r="A268" s="2" t="s">
        <v>332</v>
      </c>
      <c r="B268" s="2" t="s">
        <v>12</v>
      </c>
      <c r="C268" s="2" t="s">
        <v>12</v>
      </c>
      <c r="D268" s="2" t="str">
        <f>IFERROR(VLOOKUP($C268,'_METADATA_TEMPLATE'!$B$2:$H$826,2,FALSE),"")</f>
        <v/>
      </c>
      <c r="E268" s="2" t="str">
        <f>IFERROR(VLOOKUP($C268,'_METADATA_TEMPLATE'!$B$2:$H$826,4,FALSE),"")</f>
        <v/>
      </c>
      <c r="F268" s="2" t="str">
        <f>IFERROR(VLOOKUP($C268,'_METADATA_TEMPLATE'!$B$2:$H$826,5,FALSE),"")</f>
        <v/>
      </c>
      <c r="G268" s="2" t="str">
        <f>IFERROR(VLOOKUP($C268,'_METADATA_TEMPLATE'!$B$2:$H$826,6,FALSE),"")</f>
        <v/>
      </c>
      <c r="H268" s="2" t="str">
        <f>IFERROR(VLOOKUP($C268,'_METADATA_TEMPLATE'!$B$2:$H$826,7,FALSE),"")</f>
        <v/>
      </c>
      <c r="I268" s="2" t="str">
        <f>IFERROR(VLOOKUP(C268,'_METADATA_DEFAULT'!$A:$B,2,FALSE),"")</f>
        <v>ID Assignment</v>
      </c>
    </row>
    <row r="269" ht="15.75" customHeight="1">
      <c r="A269" s="3" t="s">
        <v>332</v>
      </c>
      <c r="B269" s="3" t="s">
        <v>18</v>
      </c>
      <c r="C269" s="3" t="s">
        <v>18</v>
      </c>
      <c r="D269" s="3" t="str">
        <f>IFERROR(VLOOKUP($C269,'_METADATA_TEMPLATE'!$B$2:$H$826,2,FALSE),"")</f>
        <v/>
      </c>
      <c r="E269" s="3" t="str">
        <f>IFERROR(VLOOKUP($C269,'_METADATA_TEMPLATE'!$B$2:$H$826,4,FALSE),"")</f>
        <v/>
      </c>
      <c r="F269" s="3" t="str">
        <f>IFERROR(VLOOKUP($C269,'_METADATA_TEMPLATE'!$B$2:$H$826,5,FALSE),"")</f>
        <v/>
      </c>
      <c r="G269" s="3" t="str">
        <f>IFERROR(VLOOKUP($C269,'_METADATA_TEMPLATE'!$B$2:$H$826,6,FALSE),"")</f>
        <v/>
      </c>
      <c r="H269" s="3" t="str">
        <f>IFERROR(VLOOKUP($C269,'_METADATA_TEMPLATE'!$B$2:$H$826,7,FALSE),"")</f>
        <v/>
      </c>
      <c r="I269" s="3" t="str">
        <f>IFERROR(VLOOKUP(C269,'_METADATA_DEFAULT'!$A:$B,2,FALSE),"")</f>
        <v>Kode Lengkap Provinsi</v>
      </c>
    </row>
    <row r="270" ht="15.75" customHeight="1">
      <c r="A270" s="2" t="s">
        <v>332</v>
      </c>
      <c r="B270" s="2" t="s">
        <v>20</v>
      </c>
      <c r="C270" s="2" t="s">
        <v>20</v>
      </c>
      <c r="D270" s="2" t="str">
        <f>IFERROR(VLOOKUP($C270,'_METADATA_TEMPLATE'!$B$2:$H$826,2,FALSE),"")</f>
        <v/>
      </c>
      <c r="E270" s="2" t="str">
        <f>IFERROR(VLOOKUP($C270,'_METADATA_TEMPLATE'!$B$2:$H$826,4,FALSE),"")</f>
        <v/>
      </c>
      <c r="F270" s="2" t="str">
        <f>IFERROR(VLOOKUP($C270,'_METADATA_TEMPLATE'!$B$2:$H$826,5,FALSE),"")</f>
        <v/>
      </c>
      <c r="G270" s="2" t="str">
        <f>IFERROR(VLOOKUP($C270,'_METADATA_TEMPLATE'!$B$2:$H$826,6,FALSE),"")</f>
        <v/>
      </c>
      <c r="H270" s="2" t="str">
        <f>IFERROR(VLOOKUP($C270,'_METADATA_TEMPLATE'!$B$2:$H$826,7,FALSE),"")</f>
        <v/>
      </c>
      <c r="I270" s="2" t="str">
        <f>IFERROR(VLOOKUP(C270,'_METADATA_DEFAULT'!$A:$B,2,FALSE),"")</f>
        <v>Kode Lengkap Kabupaten/Kota</v>
      </c>
    </row>
    <row r="271" ht="15.75" customHeight="1">
      <c r="A271" s="3" t="s">
        <v>332</v>
      </c>
      <c r="B271" s="3" t="s">
        <v>43</v>
      </c>
      <c r="C271" s="3" t="s">
        <v>43</v>
      </c>
      <c r="D271" s="3" t="str">
        <f>IFERROR(VLOOKUP($C271,'_METADATA_TEMPLATE'!$B$2:$H$826,2,FALSE),"")</f>
        <v/>
      </c>
      <c r="E271" s="3" t="str">
        <f>IFERROR(VLOOKUP($C271,'_METADATA_TEMPLATE'!$B$2:$H$826,4,FALSE),"")</f>
        <v/>
      </c>
      <c r="F271" s="3" t="str">
        <f>IFERROR(VLOOKUP($C271,'_METADATA_TEMPLATE'!$B$2:$H$826,5,FALSE),"")</f>
        <v/>
      </c>
      <c r="G271" s="3" t="str">
        <f>IFERROR(VLOOKUP($C271,'_METADATA_TEMPLATE'!$B$2:$H$826,6,FALSE),"")</f>
        <v/>
      </c>
      <c r="H271" s="3" t="str">
        <f>IFERROR(VLOOKUP($C271,'_METADATA_TEMPLATE'!$B$2:$H$826,7,FALSE),"")</f>
        <v/>
      </c>
      <c r="I271" s="3" t="str">
        <f>IFERROR(VLOOKUP(C271,'_METADATA_DEFAULT'!$A:$B,2,FALSE),"")</f>
        <v>Tanggal Assignment Terakhir Diubah</v>
      </c>
    </row>
    <row r="272" ht="15.75" customHeight="1">
      <c r="A272" s="2" t="s">
        <v>332</v>
      </c>
      <c r="B272" s="2" t="s">
        <v>21</v>
      </c>
      <c r="C272" s="2" t="s">
        <v>21</v>
      </c>
      <c r="D272" s="2" t="str">
        <f>IFERROR(VLOOKUP($C272,'_METADATA_TEMPLATE'!$B$2:$H$826,2,FALSE),"")</f>
        <v/>
      </c>
      <c r="E272" s="2" t="str">
        <f>IFERROR(VLOOKUP($C272,'_METADATA_TEMPLATE'!$B$2:$H$826,4,FALSE),"")</f>
        <v/>
      </c>
      <c r="F272" s="2" t="str">
        <f>IFERROR(VLOOKUP($C272,'_METADATA_TEMPLATE'!$B$2:$H$826,5,FALSE),"")</f>
        <v/>
      </c>
      <c r="G272" s="2" t="str">
        <f>IFERROR(VLOOKUP($C272,'_METADATA_TEMPLATE'!$B$2:$H$826,6,FALSE),"")</f>
        <v/>
      </c>
      <c r="H272" s="2" t="str">
        <f>IFERROR(VLOOKUP($C272,'_METADATA_TEMPLATE'!$B$2:$H$826,7,FALSE),"")</f>
        <v/>
      </c>
      <c r="I272" s="2" t="str">
        <f>IFERROR(VLOOKUP(C272,'_METADATA_DEFAULT'!$A:$B,2,FALSE),"")</f>
        <v>ID Assignment + Timestamp</v>
      </c>
    </row>
    <row r="273" ht="15.75" customHeight="1">
      <c r="A273" s="3" t="s">
        <v>332</v>
      </c>
      <c r="B273" s="3" t="s">
        <v>153</v>
      </c>
      <c r="C273" s="3" t="s">
        <v>153</v>
      </c>
      <c r="D273" s="3" t="str">
        <f>IFERROR(VLOOKUP($C273,'_METADATA_TEMPLATE'!$B$2:$H$826,2,FALSE),"")</f>
        <v/>
      </c>
      <c r="E273" s="3" t="str">
        <f>IFERROR(VLOOKUP($C273,'_METADATA_TEMPLATE'!$B$2:$H$826,4,FALSE),"")</f>
        <v/>
      </c>
      <c r="F273" s="3" t="str">
        <f>IFERROR(VLOOKUP($C273,'_METADATA_TEMPLATE'!$B$2:$H$826,5,FALSE),"")</f>
        <v/>
      </c>
      <c r="G273" s="3" t="str">
        <f>IFERROR(VLOOKUP($C273,'_METADATA_TEMPLATE'!$B$2:$H$826,6,FALSE),"")</f>
        <v/>
      </c>
      <c r="H273" s="3" t="str">
        <f>IFERROR(VLOOKUP($C273,'_METADATA_TEMPLATE'!$B$2:$H$826,7,FALSE),"")</f>
        <v/>
      </c>
      <c r="I273" s="3" t="str">
        <f>IFERROR(VLOOKUP(C273,'_METADATA_DEFAULT'!$A:$B,2,FALSE),"")</f>
        <v>1 = Assignment Tambahan, 0 = Assignment Prelist</v>
      </c>
    </row>
    <row r="274" ht="15.75" customHeight="1">
      <c r="A274" s="2" t="s">
        <v>332</v>
      </c>
      <c r="B274" s="2" t="s">
        <v>42</v>
      </c>
      <c r="C274" s="2" t="s">
        <v>42</v>
      </c>
      <c r="D274" s="2" t="str">
        <f>IFERROR(VLOOKUP($C274,'_METADATA_TEMPLATE'!$B$2:$H$826,2,FALSE),"")</f>
        <v/>
      </c>
      <c r="E274" s="2" t="str">
        <f>IFERROR(VLOOKUP($C274,'_METADATA_TEMPLATE'!$B$2:$H$826,4,FALSE),"")</f>
        <v/>
      </c>
      <c r="F274" s="2" t="str">
        <f>IFERROR(VLOOKUP($C274,'_METADATA_TEMPLATE'!$B$2:$H$826,5,FALSE),"")</f>
        <v/>
      </c>
      <c r="G274" s="2" t="str">
        <f>IFERROR(VLOOKUP($C274,'_METADATA_TEMPLATE'!$B$2:$H$826,6,FALSE),"")</f>
        <v/>
      </c>
      <c r="H274" s="2" t="str">
        <f>IFERROR(VLOOKUP($C274,'_METADATA_TEMPLATE'!$B$2:$H$826,7,FALSE),"")</f>
        <v/>
      </c>
      <c r="I274" s="2" t="str">
        <f>IFERROR(VLOOKUP(C274,'_METADATA_DEFAULT'!$A:$B,2,FALSE),"")</f>
        <v>Status Assignment</v>
      </c>
    </row>
    <row r="275" ht="15.75" customHeight="1">
      <c r="A275" s="3" t="s">
        <v>332</v>
      </c>
      <c r="B275" s="3" t="s">
        <v>47</v>
      </c>
      <c r="C275" s="3" t="s">
        <v>47</v>
      </c>
      <c r="D275" s="3" t="str">
        <f>IFERROR(VLOOKUP($C275,'_METADATA_TEMPLATE'!$B$2:$H$826,2,FALSE),"")</f>
        <v/>
      </c>
      <c r="E275" s="3" t="str">
        <f>IFERROR(VLOOKUP($C275,'_METADATA_TEMPLATE'!$B$2:$H$826,4,FALSE),"")</f>
        <v/>
      </c>
      <c r="F275" s="3" t="str">
        <f>IFERROR(VLOOKUP($C275,'_METADATA_TEMPLATE'!$B$2:$H$826,5,FALSE),"")</f>
        <v/>
      </c>
      <c r="G275" s="3" t="str">
        <f>IFERROR(VLOOKUP($C275,'_METADATA_TEMPLATE'!$B$2:$H$826,6,FALSE),"")</f>
        <v/>
      </c>
      <c r="H275" s="3" t="str">
        <f>IFERROR(VLOOKUP($C275,'_METADATA_TEMPLATE'!$B$2:$H$826,7,FALSE),"")</f>
        <v/>
      </c>
      <c r="I275" s="3" t="str">
        <f>IFERROR(VLOOKUP(C275,'_METADATA_DEFAULT'!$A:$B,2,FALSE),"")</f>
        <v>ID Status Assignment</v>
      </c>
    </row>
    <row r="276" ht="15.75" customHeight="1">
      <c r="A276" s="2" t="s">
        <v>332</v>
      </c>
      <c r="B276" s="2" t="s">
        <v>1315</v>
      </c>
      <c r="C276" s="2" t="s">
        <v>1315</v>
      </c>
      <c r="D276" s="2" t="str">
        <f>IFERROR(VLOOKUP($C276,'_METADATA_TEMPLATE'!$B$2:$H$826,2,FALSE),"")</f>
        <v/>
      </c>
      <c r="E276" s="2" t="str">
        <f>IFERROR(VLOOKUP($C276,'_METADATA_TEMPLATE'!$B$2:$H$826,4,FALSE),"")</f>
        <v/>
      </c>
      <c r="F276" s="2" t="str">
        <f>IFERROR(VLOOKUP($C276,'_METADATA_TEMPLATE'!$B$2:$H$826,5,FALSE),"")</f>
        <v/>
      </c>
      <c r="G276" s="2" t="str">
        <f>IFERROR(VLOOKUP($C276,'_METADATA_TEMPLATE'!$B$2:$H$826,6,FALSE),"")</f>
        <v/>
      </c>
      <c r="H276" s="2" t="str">
        <f>IFERROR(VLOOKUP($C276,'_METADATA_TEMPLATE'!$B$2:$H$826,7,FALSE),"")</f>
        <v/>
      </c>
      <c r="I276" s="2" t="str">
        <f>IFERROR(VLOOKUP(C276,'_METADATA_DEFAULT'!$A:$B,2,FALSE),"")</f>
        <v/>
      </c>
    </row>
    <row r="277" ht="15.75" customHeight="1">
      <c r="A277" s="3" t="s">
        <v>332</v>
      </c>
      <c r="B277" s="3" t="s">
        <v>1321</v>
      </c>
      <c r="C277" s="3" t="s">
        <v>1321</v>
      </c>
      <c r="D277" s="3" t="str">
        <f>IFERROR(VLOOKUP($C277,'_METADATA_TEMPLATE'!$B$2:$H$826,2,FALSE),"")</f>
        <v/>
      </c>
      <c r="E277" s="3" t="str">
        <f>IFERROR(VLOOKUP($C277,'_METADATA_TEMPLATE'!$B$2:$H$826,4,FALSE),"")</f>
        <v/>
      </c>
      <c r="F277" s="3" t="str">
        <f>IFERROR(VLOOKUP($C277,'_METADATA_TEMPLATE'!$B$2:$H$826,5,FALSE),"")</f>
        <v/>
      </c>
      <c r="G277" s="3" t="str">
        <f>IFERROR(VLOOKUP($C277,'_METADATA_TEMPLATE'!$B$2:$H$826,6,FALSE),"")</f>
        <v/>
      </c>
      <c r="H277" s="3" t="str">
        <f>IFERROR(VLOOKUP($C277,'_METADATA_TEMPLATE'!$B$2:$H$826,7,FALSE),"")</f>
        <v/>
      </c>
      <c r="I277" s="3" t="str">
        <f>IFERROR(VLOOKUP(C277,'_METADATA_DEFAULT'!$A:$B,2,FALSE),"")</f>
        <v/>
      </c>
    </row>
    <row r="278" ht="15.75" customHeight="1">
      <c r="A278" s="2" t="s">
        <v>332</v>
      </c>
      <c r="B278" s="2" t="s">
        <v>26</v>
      </c>
      <c r="C278" s="2" t="s">
        <v>26</v>
      </c>
      <c r="D278" s="2" t="str">
        <f>IFERROR(VLOOKUP($C278,'_METADATA_TEMPLATE'!$B$2:$H$826,2,FALSE),"")</f>
        <v/>
      </c>
      <c r="E278" s="2" t="str">
        <f>IFERROR(VLOOKUP($C278,'_METADATA_TEMPLATE'!$B$2:$H$826,4,FALSE),"")</f>
        <v/>
      </c>
      <c r="F278" s="2" t="str">
        <f>IFERROR(VLOOKUP($C278,'_METADATA_TEMPLATE'!$B$2:$H$826,5,FALSE),"")</f>
        <v/>
      </c>
      <c r="G278" s="2" t="str">
        <f>IFERROR(VLOOKUP($C278,'_METADATA_TEMPLATE'!$B$2:$H$826,6,FALSE),"")</f>
        <v/>
      </c>
      <c r="H278" s="2" t="str">
        <f>IFERROR(VLOOKUP($C278,'_METADATA_TEMPLATE'!$B$2:$H$826,7,FALSE),"")</f>
        <v/>
      </c>
      <c r="I278" s="2" t="str">
        <f>IFERROR(VLOOKUP(C278,'_METADATA_DEFAULT'!$A:$B,2,FALSE),"")</f>
        <v>1 = Aktif, 0 = Dihapus</v>
      </c>
    </row>
    <row r="279" ht="15.75" customHeight="1">
      <c r="A279" s="3" t="s">
        <v>332</v>
      </c>
      <c r="B279" s="3" t="s">
        <v>1338</v>
      </c>
      <c r="C279" s="3" t="s">
        <v>1338</v>
      </c>
      <c r="D279" s="3" t="str">
        <f>IFERROR(VLOOKUP($C279,'_METADATA_TEMPLATE'!$B$2:$H$826,2,FALSE),"")</f>
        <v/>
      </c>
      <c r="E279" s="3" t="str">
        <f>IFERROR(VLOOKUP($C279,'_METADATA_TEMPLATE'!$B$2:$H$826,4,FALSE),"")</f>
        <v/>
      </c>
      <c r="F279" s="3" t="str">
        <f>IFERROR(VLOOKUP($C279,'_METADATA_TEMPLATE'!$B$2:$H$826,5,FALSE),"")</f>
        <v/>
      </c>
      <c r="G279" s="3" t="str">
        <f>IFERROR(VLOOKUP($C279,'_METADATA_TEMPLATE'!$B$2:$H$826,6,FALSE),"")</f>
        <v/>
      </c>
      <c r="H279" s="3" t="str">
        <f>IFERROR(VLOOKUP($C279,'_METADATA_TEMPLATE'!$B$2:$H$826,7,FALSE),"")</f>
        <v/>
      </c>
      <c r="I279" s="3" t="str">
        <f>IFERROR(VLOOKUP(C279,'_METADATA_DEFAULT'!$A:$B,2,FALSE),"")</f>
        <v/>
      </c>
    </row>
    <row r="280" ht="15.75" customHeight="1">
      <c r="A280" s="2" t="s">
        <v>332</v>
      </c>
      <c r="B280" s="2" t="s">
        <v>1343</v>
      </c>
      <c r="C280" s="2" t="s">
        <v>1343</v>
      </c>
      <c r="D280" s="2" t="str">
        <f>IFERROR(VLOOKUP($C280,'_METADATA_TEMPLATE'!$B$2:$H$826,2,FALSE),"")</f>
        <v/>
      </c>
      <c r="E280" s="2" t="str">
        <f>IFERROR(VLOOKUP($C280,'_METADATA_TEMPLATE'!$B$2:$H$826,4,FALSE),"")</f>
        <v/>
      </c>
      <c r="F280" s="2" t="str">
        <f>IFERROR(VLOOKUP($C280,'_METADATA_TEMPLATE'!$B$2:$H$826,5,FALSE),"")</f>
        <v/>
      </c>
      <c r="G280" s="2" t="str">
        <f>IFERROR(VLOOKUP($C280,'_METADATA_TEMPLATE'!$B$2:$H$826,6,FALSE),"")</f>
        <v/>
      </c>
      <c r="H280" s="2" t="str">
        <f>IFERROR(VLOOKUP($C280,'_METADATA_TEMPLATE'!$B$2:$H$826,7,FALSE),"")</f>
        <v/>
      </c>
      <c r="I280" s="2" t="str">
        <f>IFERROR(VLOOKUP(C280,'_METADATA_DEFAULT'!$A:$B,2,FALSE),"")</f>
        <v/>
      </c>
    </row>
    <row r="281" ht="15.75" customHeight="1">
      <c r="A281" s="3" t="s">
        <v>332</v>
      </c>
      <c r="B281" s="3" t="s">
        <v>137</v>
      </c>
      <c r="C281" s="3" t="s">
        <v>137</v>
      </c>
      <c r="D281" s="3" t="str">
        <f>IFERROR(VLOOKUP($C281,'_METADATA_TEMPLATE'!$B$2:$H$826,2,FALSE),"")</f>
        <v/>
      </c>
      <c r="E281" s="3" t="str">
        <f>IFERROR(VLOOKUP($C281,'_METADATA_TEMPLATE'!$B$2:$H$826,4,FALSE),"")</f>
        <v/>
      </c>
      <c r="F281" s="3" t="str">
        <f>IFERROR(VLOOKUP($C281,'_METADATA_TEMPLATE'!$B$2:$H$826,5,FALSE),"")</f>
        <v/>
      </c>
      <c r="G281" s="3" t="str">
        <f>IFERROR(VLOOKUP($C281,'_METADATA_TEMPLATE'!$B$2:$H$826,6,FALSE),"")</f>
        <v/>
      </c>
      <c r="H281" s="3" t="str">
        <f>IFERROR(VLOOKUP($C281,'_METADATA_TEMPLATE'!$B$2:$H$826,7,FALSE),"")</f>
        <v/>
      </c>
      <c r="I281" s="3" t="str">
        <f>IFERROR(VLOOKUP(C281,'_METADATA_DEFAULT'!$A:$B,2,FALSE),"")</f>
        <v>Kode Provinsi</v>
      </c>
    </row>
    <row r="282" ht="15.75" customHeight="1">
      <c r="A282" s="2" t="s">
        <v>332</v>
      </c>
      <c r="B282" s="2" t="s">
        <v>141</v>
      </c>
      <c r="C282" s="2" t="s">
        <v>141</v>
      </c>
      <c r="D282" s="2" t="str">
        <f>IFERROR(VLOOKUP($C282,'_METADATA_TEMPLATE'!$B$2:$H$826,2,FALSE),"")</f>
        <v/>
      </c>
      <c r="E282" s="2" t="str">
        <f>IFERROR(VLOOKUP($C282,'_METADATA_TEMPLATE'!$B$2:$H$826,4,FALSE),"")</f>
        <v/>
      </c>
      <c r="F282" s="2" t="str">
        <f>IFERROR(VLOOKUP($C282,'_METADATA_TEMPLATE'!$B$2:$H$826,5,FALSE),"")</f>
        <v/>
      </c>
      <c r="G282" s="2" t="str">
        <f>IFERROR(VLOOKUP($C282,'_METADATA_TEMPLATE'!$B$2:$H$826,6,FALSE),"")</f>
        <v/>
      </c>
      <c r="H282" s="2" t="str">
        <f>IFERROR(VLOOKUP($C282,'_METADATA_TEMPLATE'!$B$2:$H$826,7,FALSE),"")</f>
        <v/>
      </c>
      <c r="I282" s="2" t="str">
        <f>IFERROR(VLOOKUP(C282,'_METADATA_DEFAULT'!$A:$B,2,FALSE),"")</f>
        <v>Provinsi</v>
      </c>
    </row>
    <row r="283" ht="15.75" customHeight="1">
      <c r="A283" s="3" t="s">
        <v>332</v>
      </c>
      <c r="B283" s="3" t="s">
        <v>145</v>
      </c>
      <c r="C283" s="3" t="s">
        <v>145</v>
      </c>
      <c r="D283" s="3" t="str">
        <f>IFERROR(VLOOKUP($C283,'_METADATA_TEMPLATE'!$B$2:$H$826,2,FALSE),"")</f>
        <v/>
      </c>
      <c r="E283" s="3" t="str">
        <f>IFERROR(VLOOKUP($C283,'_METADATA_TEMPLATE'!$B$2:$H$826,4,FALSE),"")</f>
        <v/>
      </c>
      <c r="F283" s="3" t="str">
        <f>IFERROR(VLOOKUP($C283,'_METADATA_TEMPLATE'!$B$2:$H$826,5,FALSE),"")</f>
        <v/>
      </c>
      <c r="G283" s="3" t="str">
        <f>IFERROR(VLOOKUP($C283,'_METADATA_TEMPLATE'!$B$2:$H$826,6,FALSE),"")</f>
        <v/>
      </c>
      <c r="H283" s="3" t="str">
        <f>IFERROR(VLOOKUP($C283,'_METADATA_TEMPLATE'!$B$2:$H$826,7,FALSE),"")</f>
        <v/>
      </c>
      <c r="I283" s="3" t="str">
        <f>IFERROR(VLOOKUP(C283,'_METADATA_DEFAULT'!$A:$B,2,FALSE),"")</f>
        <v/>
      </c>
    </row>
    <row r="284" ht="15.75" customHeight="1">
      <c r="A284" s="2" t="s">
        <v>332</v>
      </c>
      <c r="B284" s="2" t="s">
        <v>149</v>
      </c>
      <c r="C284" s="2" t="s">
        <v>149</v>
      </c>
      <c r="D284" s="2" t="str">
        <f>IFERROR(VLOOKUP($C284,'_METADATA_TEMPLATE'!$B$2:$H$826,2,FALSE),"")</f>
        <v/>
      </c>
      <c r="E284" s="2" t="str">
        <f>IFERROR(VLOOKUP($C284,'_METADATA_TEMPLATE'!$B$2:$H$826,4,FALSE),"")</f>
        <v/>
      </c>
      <c r="F284" s="2" t="str">
        <f>IFERROR(VLOOKUP($C284,'_METADATA_TEMPLATE'!$B$2:$H$826,5,FALSE),"")</f>
        <v/>
      </c>
      <c r="G284" s="2" t="str">
        <f>IFERROR(VLOOKUP($C284,'_METADATA_TEMPLATE'!$B$2:$H$826,6,FALSE),"")</f>
        <v/>
      </c>
      <c r="H284" s="2" t="str">
        <f>IFERROR(VLOOKUP($C284,'_METADATA_TEMPLATE'!$B$2:$H$826,7,FALSE),"")</f>
        <v/>
      </c>
      <c r="I284" s="2" t="str">
        <f>IFERROR(VLOOKUP(C284,'_METADATA_DEFAULT'!$A:$B,2,FALSE),"")</f>
        <v/>
      </c>
    </row>
    <row r="285" ht="15.75" customHeight="1">
      <c r="A285" s="3" t="s">
        <v>332</v>
      </c>
      <c r="B285" s="3" t="s">
        <v>157</v>
      </c>
      <c r="C285" s="3" t="s">
        <v>157</v>
      </c>
      <c r="D285" s="3" t="str">
        <f>IFERROR(VLOOKUP($C285,'_METADATA_TEMPLATE'!$B$2:$H$826,2,FALSE),"")</f>
        <v/>
      </c>
      <c r="E285" s="3" t="str">
        <f>IFERROR(VLOOKUP($C285,'_METADATA_TEMPLATE'!$B$2:$H$826,4,FALSE),"")</f>
        <v/>
      </c>
      <c r="F285" s="3" t="str">
        <f>IFERROR(VLOOKUP($C285,'_METADATA_TEMPLATE'!$B$2:$H$826,5,FALSE),"")</f>
        <v/>
      </c>
      <c r="G285" s="3" t="str">
        <f>IFERROR(VLOOKUP($C285,'_METADATA_TEMPLATE'!$B$2:$H$826,6,FALSE),"")</f>
        <v/>
      </c>
      <c r="H285" s="3" t="str">
        <f>IFERROR(VLOOKUP($C285,'_METADATA_TEMPLATE'!$B$2:$H$826,7,FALSE),"")</f>
        <v/>
      </c>
      <c r="I285" s="3" t="str">
        <f>IFERROR(VLOOKUP(C285,'_METADATA_DEFAULT'!$A:$B,2,FALSE),"")</f>
        <v/>
      </c>
    </row>
    <row r="286" ht="15.75" customHeight="1">
      <c r="A286" s="2" t="s">
        <v>332</v>
      </c>
      <c r="B286" s="2" t="s">
        <v>161</v>
      </c>
      <c r="C286" s="2" t="s">
        <v>161</v>
      </c>
      <c r="D286" s="2" t="str">
        <f>IFERROR(VLOOKUP($C286,'_METADATA_TEMPLATE'!$B$2:$H$826,2,FALSE),"")</f>
        <v/>
      </c>
      <c r="E286" s="2" t="str">
        <f>IFERROR(VLOOKUP($C286,'_METADATA_TEMPLATE'!$B$2:$H$826,4,FALSE),"")</f>
        <v/>
      </c>
      <c r="F286" s="2" t="str">
        <f>IFERROR(VLOOKUP($C286,'_METADATA_TEMPLATE'!$B$2:$H$826,5,FALSE),"")</f>
        <v/>
      </c>
      <c r="G286" s="2" t="str">
        <f>IFERROR(VLOOKUP($C286,'_METADATA_TEMPLATE'!$B$2:$H$826,6,FALSE),"")</f>
        <v/>
      </c>
      <c r="H286" s="2" t="str">
        <f>IFERROR(VLOOKUP($C286,'_METADATA_TEMPLATE'!$B$2:$H$826,7,FALSE),"")</f>
        <v/>
      </c>
      <c r="I286" s="2" t="str">
        <f>IFERROR(VLOOKUP(C286,'_METADATA_DEFAULT'!$A:$B,2,FALSE),"")</f>
        <v>Kode Kabupaten/Kota</v>
      </c>
    </row>
    <row r="287" ht="15.75" customHeight="1">
      <c r="A287" s="3" t="s">
        <v>332</v>
      </c>
      <c r="B287" s="3" t="s">
        <v>165</v>
      </c>
      <c r="C287" s="3" t="s">
        <v>165</v>
      </c>
      <c r="D287" s="3" t="str">
        <f>IFERROR(VLOOKUP($C287,'_METADATA_TEMPLATE'!$B$2:$H$826,2,FALSE),"")</f>
        <v/>
      </c>
      <c r="E287" s="3" t="str">
        <f>IFERROR(VLOOKUP($C287,'_METADATA_TEMPLATE'!$B$2:$H$826,4,FALSE),"")</f>
        <v/>
      </c>
      <c r="F287" s="3" t="str">
        <f>IFERROR(VLOOKUP($C287,'_METADATA_TEMPLATE'!$B$2:$H$826,5,FALSE),"")</f>
        <v/>
      </c>
      <c r="G287" s="3" t="str">
        <f>IFERROR(VLOOKUP($C287,'_METADATA_TEMPLATE'!$B$2:$H$826,6,FALSE),"")</f>
        <v/>
      </c>
      <c r="H287" s="3" t="str">
        <f>IFERROR(VLOOKUP($C287,'_METADATA_TEMPLATE'!$B$2:$H$826,7,FALSE),"")</f>
        <v/>
      </c>
      <c r="I287" s="3" t="str">
        <f>IFERROR(VLOOKUP(C287,'_METADATA_DEFAULT'!$A:$B,2,FALSE),"")</f>
        <v>Kabupaten/Kota</v>
      </c>
    </row>
    <row r="288" ht="15.75" customHeight="1">
      <c r="A288" s="2" t="s">
        <v>332</v>
      </c>
      <c r="B288" s="2" t="s">
        <v>168</v>
      </c>
      <c r="C288" s="2" t="s">
        <v>168</v>
      </c>
      <c r="D288" s="2" t="str">
        <f>IFERROR(VLOOKUP($C288,'_METADATA_TEMPLATE'!$B$2:$H$826,2,FALSE),"")</f>
        <v/>
      </c>
      <c r="E288" s="2" t="str">
        <f>IFERROR(VLOOKUP($C288,'_METADATA_TEMPLATE'!$B$2:$H$826,4,FALSE),"")</f>
        <v/>
      </c>
      <c r="F288" s="2" t="str">
        <f>IFERROR(VLOOKUP($C288,'_METADATA_TEMPLATE'!$B$2:$H$826,5,FALSE),"")</f>
        <v/>
      </c>
      <c r="G288" s="2" t="str">
        <f>IFERROR(VLOOKUP($C288,'_METADATA_TEMPLATE'!$B$2:$H$826,6,FALSE),"")</f>
        <v/>
      </c>
      <c r="H288" s="2" t="str">
        <f>IFERROR(VLOOKUP($C288,'_METADATA_TEMPLATE'!$B$2:$H$826,7,FALSE),"")</f>
        <v/>
      </c>
      <c r="I288" s="2" t="str">
        <f>IFERROR(VLOOKUP(C288,'_METADATA_DEFAULT'!$A:$B,2,FALSE),"")</f>
        <v>Kode Kecamatan</v>
      </c>
    </row>
    <row r="289" ht="15.75" customHeight="1">
      <c r="A289" s="3" t="s">
        <v>332</v>
      </c>
      <c r="B289" s="3" t="s">
        <v>172</v>
      </c>
      <c r="C289" s="3" t="s">
        <v>172</v>
      </c>
      <c r="D289" s="3" t="str">
        <f>IFERROR(VLOOKUP($C289,'_METADATA_TEMPLATE'!$B$2:$H$826,2,FALSE),"")</f>
        <v/>
      </c>
      <c r="E289" s="3" t="str">
        <f>IFERROR(VLOOKUP($C289,'_METADATA_TEMPLATE'!$B$2:$H$826,4,FALSE),"")</f>
        <v/>
      </c>
      <c r="F289" s="3" t="str">
        <f>IFERROR(VLOOKUP($C289,'_METADATA_TEMPLATE'!$B$2:$H$826,5,FALSE),"")</f>
        <v/>
      </c>
      <c r="G289" s="3" t="str">
        <f>IFERROR(VLOOKUP($C289,'_METADATA_TEMPLATE'!$B$2:$H$826,6,FALSE),"")</f>
        <v/>
      </c>
      <c r="H289" s="3" t="str">
        <f>IFERROR(VLOOKUP($C289,'_METADATA_TEMPLATE'!$B$2:$H$826,7,FALSE),"")</f>
        <v/>
      </c>
      <c r="I289" s="3" t="str">
        <f>IFERROR(VLOOKUP(C289,'_METADATA_DEFAULT'!$A:$B,2,FALSE),"")</f>
        <v>Kode Lengkap Kecamatan</v>
      </c>
    </row>
    <row r="290" ht="15.75" customHeight="1">
      <c r="A290" s="2" t="s">
        <v>332</v>
      </c>
      <c r="B290" s="2" t="s">
        <v>176</v>
      </c>
      <c r="C290" s="2" t="s">
        <v>176</v>
      </c>
      <c r="D290" s="2" t="str">
        <f>IFERROR(VLOOKUP($C290,'_METADATA_TEMPLATE'!$B$2:$H$826,2,FALSE),"")</f>
        <v/>
      </c>
      <c r="E290" s="2" t="str">
        <f>IFERROR(VLOOKUP($C290,'_METADATA_TEMPLATE'!$B$2:$H$826,4,FALSE),"")</f>
        <v/>
      </c>
      <c r="F290" s="2" t="str">
        <f>IFERROR(VLOOKUP($C290,'_METADATA_TEMPLATE'!$B$2:$H$826,5,FALSE),"")</f>
        <v/>
      </c>
      <c r="G290" s="2" t="str">
        <f>IFERROR(VLOOKUP($C290,'_METADATA_TEMPLATE'!$B$2:$H$826,6,FALSE),"")</f>
        <v/>
      </c>
      <c r="H290" s="2" t="str">
        <f>IFERROR(VLOOKUP($C290,'_METADATA_TEMPLATE'!$B$2:$H$826,7,FALSE),"")</f>
        <v/>
      </c>
      <c r="I290" s="2" t="str">
        <f>IFERROR(VLOOKUP(C290,'_METADATA_DEFAULT'!$A:$B,2,FALSE),"")</f>
        <v>Kecamatan</v>
      </c>
    </row>
    <row r="291" ht="15.75" customHeight="1">
      <c r="A291" s="3" t="s">
        <v>332</v>
      </c>
      <c r="B291" s="3" t="s">
        <v>181</v>
      </c>
      <c r="C291" s="3" t="s">
        <v>181</v>
      </c>
      <c r="D291" s="3" t="str">
        <f>IFERROR(VLOOKUP($C291,'_METADATA_TEMPLATE'!$B$2:$H$826,2,FALSE),"")</f>
        <v/>
      </c>
      <c r="E291" s="3" t="str">
        <f>IFERROR(VLOOKUP($C291,'_METADATA_TEMPLATE'!$B$2:$H$826,4,FALSE),"")</f>
        <v/>
      </c>
      <c r="F291" s="3" t="str">
        <f>IFERROR(VLOOKUP($C291,'_METADATA_TEMPLATE'!$B$2:$H$826,5,FALSE),"")</f>
        <v/>
      </c>
      <c r="G291" s="3" t="str">
        <f>IFERROR(VLOOKUP($C291,'_METADATA_TEMPLATE'!$B$2:$H$826,6,FALSE),"")</f>
        <v/>
      </c>
      <c r="H291" s="3" t="str">
        <f>IFERROR(VLOOKUP($C291,'_METADATA_TEMPLATE'!$B$2:$H$826,7,FALSE),"")</f>
        <v/>
      </c>
      <c r="I291" s="3" t="str">
        <f>IFERROR(VLOOKUP(C291,'_METADATA_DEFAULT'!$A:$B,2,FALSE),"")</f>
        <v>Kode Kelurahan/Desa</v>
      </c>
    </row>
    <row r="292" ht="15.75" customHeight="1">
      <c r="A292" s="2" t="s">
        <v>332</v>
      </c>
      <c r="B292" s="2" t="s">
        <v>184</v>
      </c>
      <c r="C292" s="2" t="s">
        <v>184</v>
      </c>
      <c r="D292" s="2" t="str">
        <f>IFERROR(VLOOKUP($C292,'_METADATA_TEMPLATE'!$B$2:$H$826,2,FALSE),"")</f>
        <v/>
      </c>
      <c r="E292" s="2" t="str">
        <f>IFERROR(VLOOKUP($C292,'_METADATA_TEMPLATE'!$B$2:$H$826,4,FALSE),"")</f>
        <v/>
      </c>
      <c r="F292" s="2" t="str">
        <f>IFERROR(VLOOKUP($C292,'_METADATA_TEMPLATE'!$B$2:$H$826,5,FALSE),"")</f>
        <v/>
      </c>
      <c r="G292" s="2" t="str">
        <f>IFERROR(VLOOKUP($C292,'_METADATA_TEMPLATE'!$B$2:$H$826,6,FALSE),"")</f>
        <v/>
      </c>
      <c r="H292" s="2" t="str">
        <f>IFERROR(VLOOKUP($C292,'_METADATA_TEMPLATE'!$B$2:$H$826,7,FALSE),"")</f>
        <v/>
      </c>
      <c r="I292" s="2" t="str">
        <f>IFERROR(VLOOKUP(C292,'_METADATA_DEFAULT'!$A:$B,2,FALSE),"")</f>
        <v>Kode Lengkap Kelurahan/Desa</v>
      </c>
    </row>
    <row r="293" ht="15.75" customHeight="1">
      <c r="A293" s="3" t="s">
        <v>332</v>
      </c>
      <c r="B293" s="3" t="s">
        <v>188</v>
      </c>
      <c r="C293" s="3" t="s">
        <v>188</v>
      </c>
      <c r="D293" s="3" t="str">
        <f>IFERROR(VLOOKUP($C293,'_METADATA_TEMPLATE'!$B$2:$H$826,2,FALSE),"")</f>
        <v/>
      </c>
      <c r="E293" s="3" t="str">
        <f>IFERROR(VLOOKUP($C293,'_METADATA_TEMPLATE'!$B$2:$H$826,4,FALSE),"")</f>
        <v/>
      </c>
      <c r="F293" s="3" t="str">
        <f>IFERROR(VLOOKUP($C293,'_METADATA_TEMPLATE'!$B$2:$H$826,5,FALSE),"")</f>
        <v/>
      </c>
      <c r="G293" s="3" t="str">
        <f>IFERROR(VLOOKUP($C293,'_METADATA_TEMPLATE'!$B$2:$H$826,6,FALSE),"")</f>
        <v/>
      </c>
      <c r="H293" s="3" t="str">
        <f>IFERROR(VLOOKUP($C293,'_METADATA_TEMPLATE'!$B$2:$H$826,7,FALSE),"")</f>
        <v/>
      </c>
      <c r="I293" s="3" t="str">
        <f>IFERROR(VLOOKUP(C293,'_METADATA_DEFAULT'!$A:$B,2,FALSE),"")</f>
        <v>Kelurahan/Desa</v>
      </c>
    </row>
    <row r="294" ht="15.75" customHeight="1">
      <c r="A294" s="2" t="s">
        <v>332</v>
      </c>
      <c r="B294" s="2" t="s">
        <v>191</v>
      </c>
      <c r="C294" s="2" t="s">
        <v>191</v>
      </c>
      <c r="D294" s="2" t="str">
        <f>IFERROR(VLOOKUP($C294,'_METADATA_TEMPLATE'!$B$2:$H$826,2,FALSE),"")</f>
        <v/>
      </c>
      <c r="E294" s="2" t="str">
        <f>IFERROR(VLOOKUP($C294,'_METADATA_TEMPLATE'!$B$2:$H$826,4,FALSE),"")</f>
        <v/>
      </c>
      <c r="F294" s="2" t="str">
        <f>IFERROR(VLOOKUP($C294,'_METADATA_TEMPLATE'!$B$2:$H$826,5,FALSE),"")</f>
        <v/>
      </c>
      <c r="G294" s="2" t="str">
        <f>IFERROR(VLOOKUP($C294,'_METADATA_TEMPLATE'!$B$2:$H$826,6,FALSE),"")</f>
        <v/>
      </c>
      <c r="H294" s="2" t="str">
        <f>IFERROR(VLOOKUP($C294,'_METADATA_TEMPLATE'!$B$2:$H$826,7,FALSE),"")</f>
        <v/>
      </c>
      <c r="I294" s="2" t="str">
        <f>IFERROR(VLOOKUP(C294,'_METADATA_DEFAULT'!$A:$B,2,FALSE),"")</f>
        <v>Kode SLS</v>
      </c>
    </row>
    <row r="295" ht="15.75" customHeight="1">
      <c r="A295" s="3" t="s">
        <v>332</v>
      </c>
      <c r="B295" s="3" t="s">
        <v>194</v>
      </c>
      <c r="C295" s="3" t="s">
        <v>194</v>
      </c>
      <c r="D295" s="3" t="str">
        <f>IFERROR(VLOOKUP($C295,'_METADATA_TEMPLATE'!$B$2:$H$826,2,FALSE),"")</f>
        <v/>
      </c>
      <c r="E295" s="3" t="str">
        <f>IFERROR(VLOOKUP($C295,'_METADATA_TEMPLATE'!$B$2:$H$826,4,FALSE),"")</f>
        <v/>
      </c>
      <c r="F295" s="3" t="str">
        <f>IFERROR(VLOOKUP($C295,'_METADATA_TEMPLATE'!$B$2:$H$826,5,FALSE),"")</f>
        <v/>
      </c>
      <c r="G295" s="3" t="str">
        <f>IFERROR(VLOOKUP($C295,'_METADATA_TEMPLATE'!$B$2:$H$826,6,FALSE),"")</f>
        <v/>
      </c>
      <c r="H295" s="3" t="str">
        <f>IFERROR(VLOOKUP($C295,'_METADATA_TEMPLATE'!$B$2:$H$826,7,FALSE),"")</f>
        <v/>
      </c>
      <c r="I295" s="3" t="str">
        <f>IFERROR(VLOOKUP(C295,'_METADATA_DEFAULT'!$A:$B,2,FALSE),"")</f>
        <v>Kode Lengkap SLS</v>
      </c>
    </row>
    <row r="296" ht="15.75" customHeight="1">
      <c r="A296" s="2" t="s">
        <v>332</v>
      </c>
      <c r="B296" s="2" t="s">
        <v>197</v>
      </c>
      <c r="C296" s="2" t="s">
        <v>197</v>
      </c>
      <c r="D296" s="2" t="str">
        <f>IFERROR(VLOOKUP($C296,'_METADATA_TEMPLATE'!$B$2:$H$826,2,FALSE),"")</f>
        <v/>
      </c>
      <c r="E296" s="2" t="str">
        <f>IFERROR(VLOOKUP($C296,'_METADATA_TEMPLATE'!$B$2:$H$826,4,FALSE),"")</f>
        <v/>
      </c>
      <c r="F296" s="2" t="str">
        <f>IFERROR(VLOOKUP($C296,'_METADATA_TEMPLATE'!$B$2:$H$826,5,FALSE),"")</f>
        <v/>
      </c>
      <c r="G296" s="2" t="str">
        <f>IFERROR(VLOOKUP($C296,'_METADATA_TEMPLATE'!$B$2:$H$826,6,FALSE),"")</f>
        <v/>
      </c>
      <c r="H296" s="2" t="str">
        <f>IFERROR(VLOOKUP($C296,'_METADATA_TEMPLATE'!$B$2:$H$826,7,FALSE),"")</f>
        <v/>
      </c>
      <c r="I296" s="2" t="str">
        <f>IFERROR(VLOOKUP(C296,'_METADATA_DEFAULT'!$A:$B,2,FALSE),"")</f>
        <v>SLS</v>
      </c>
    </row>
    <row r="297" ht="15.75" customHeight="1">
      <c r="A297" s="3" t="s">
        <v>332</v>
      </c>
      <c r="B297" s="3" t="s">
        <v>202</v>
      </c>
      <c r="C297" s="3" t="s">
        <v>202</v>
      </c>
      <c r="D297" s="3" t="str">
        <f>IFERROR(VLOOKUP($C297,'_METADATA_TEMPLATE'!$B$2:$H$826,2,FALSE),"")</f>
        <v/>
      </c>
      <c r="E297" s="3" t="str">
        <f>IFERROR(VLOOKUP($C297,'_METADATA_TEMPLATE'!$B$2:$H$826,4,FALSE),"")</f>
        <v/>
      </c>
      <c r="F297" s="3" t="str">
        <f>IFERROR(VLOOKUP($C297,'_METADATA_TEMPLATE'!$B$2:$H$826,5,FALSE),"")</f>
        <v/>
      </c>
      <c r="G297" s="3" t="str">
        <f>IFERROR(VLOOKUP($C297,'_METADATA_TEMPLATE'!$B$2:$H$826,6,FALSE),"")</f>
        <v/>
      </c>
      <c r="H297" s="3" t="str">
        <f>IFERROR(VLOOKUP($C297,'_METADATA_TEMPLATE'!$B$2:$H$826,7,FALSE),"")</f>
        <v/>
      </c>
      <c r="I297" s="3" t="str">
        <f>IFERROR(VLOOKUP(C297,'_METADATA_DEFAULT'!$A:$B,2,FALSE),"")</f>
        <v>Kode Sub-SLS</v>
      </c>
    </row>
    <row r="298" ht="15.75" customHeight="1">
      <c r="A298" s="2" t="s">
        <v>332</v>
      </c>
      <c r="B298" s="2" t="s">
        <v>206</v>
      </c>
      <c r="C298" s="2" t="s">
        <v>206</v>
      </c>
      <c r="D298" s="2" t="str">
        <f>IFERROR(VLOOKUP($C298,'_METADATA_TEMPLATE'!$B$2:$H$826,2,FALSE),"")</f>
        <v/>
      </c>
      <c r="E298" s="2" t="str">
        <f>IFERROR(VLOOKUP($C298,'_METADATA_TEMPLATE'!$B$2:$H$826,4,FALSE),"")</f>
        <v/>
      </c>
      <c r="F298" s="2" t="str">
        <f>IFERROR(VLOOKUP($C298,'_METADATA_TEMPLATE'!$B$2:$H$826,5,FALSE),"")</f>
        <v/>
      </c>
      <c r="G298" s="2" t="str">
        <f>IFERROR(VLOOKUP($C298,'_METADATA_TEMPLATE'!$B$2:$H$826,6,FALSE),"")</f>
        <v/>
      </c>
      <c r="H298" s="2" t="str">
        <f>IFERROR(VLOOKUP($C298,'_METADATA_TEMPLATE'!$B$2:$H$826,7,FALSE),"")</f>
        <v/>
      </c>
      <c r="I298" s="2" t="str">
        <f>IFERROR(VLOOKUP(C298,'_METADATA_DEFAULT'!$A:$B,2,FALSE),"")</f>
        <v>Kode Lengkap Sub-SLS</v>
      </c>
    </row>
    <row r="299" ht="15.75" customHeight="1">
      <c r="A299" s="3" t="s">
        <v>332</v>
      </c>
      <c r="B299" s="3" t="s">
        <v>209</v>
      </c>
      <c r="C299" s="3" t="s">
        <v>209</v>
      </c>
      <c r="D299" s="3" t="str">
        <f>IFERROR(VLOOKUP($C299,'_METADATA_TEMPLATE'!$B$2:$H$826,2,FALSE),"")</f>
        <v/>
      </c>
      <c r="E299" s="3" t="str">
        <f>IFERROR(VLOOKUP($C299,'_METADATA_TEMPLATE'!$B$2:$H$826,4,FALSE),"")</f>
        <v/>
      </c>
      <c r="F299" s="3" t="str">
        <f>IFERROR(VLOOKUP($C299,'_METADATA_TEMPLATE'!$B$2:$H$826,5,FALSE),"")</f>
        <v/>
      </c>
      <c r="G299" s="3" t="str">
        <f>IFERROR(VLOOKUP($C299,'_METADATA_TEMPLATE'!$B$2:$H$826,6,FALSE),"")</f>
        <v/>
      </c>
      <c r="H299" s="3" t="str">
        <f>IFERROR(VLOOKUP($C299,'_METADATA_TEMPLATE'!$B$2:$H$826,7,FALSE),"")</f>
        <v/>
      </c>
      <c r="I299" s="3" t="str">
        <f>IFERROR(VLOOKUP(C299,'_METADATA_DEFAULT'!$A:$B,2,FALSE),"")</f>
        <v>Sub-SLS</v>
      </c>
    </row>
    <row r="300" ht="15.75" customHeight="1">
      <c r="A300" s="2" t="s">
        <v>332</v>
      </c>
      <c r="B300" s="2" t="s">
        <v>211</v>
      </c>
      <c r="C300" s="2" t="s">
        <v>211</v>
      </c>
      <c r="D300" s="2" t="str">
        <f>IFERROR(VLOOKUP($C300,'_METADATA_TEMPLATE'!$B$2:$H$826,2,FALSE),"")</f>
        <v/>
      </c>
      <c r="E300" s="2" t="str">
        <f>IFERROR(VLOOKUP($C300,'_METADATA_TEMPLATE'!$B$2:$H$826,4,FALSE),"")</f>
        <v/>
      </c>
      <c r="F300" s="2" t="str">
        <f>IFERROR(VLOOKUP($C300,'_METADATA_TEMPLATE'!$B$2:$H$826,5,FALSE),"")</f>
        <v/>
      </c>
      <c r="G300" s="2" t="str">
        <f>IFERROR(VLOOKUP($C300,'_METADATA_TEMPLATE'!$B$2:$H$826,6,FALSE),"")</f>
        <v/>
      </c>
      <c r="H300" s="2" t="str">
        <f>IFERROR(VLOOKUP($C300,'_METADATA_TEMPLATE'!$B$2:$H$826,7,FALSE),"")</f>
        <v/>
      </c>
      <c r="I300" s="2" t="str">
        <f>IFERROR(VLOOKUP(C300,'_METADATA_DEFAULT'!$A:$B,2,FALSE),"")</f>
        <v/>
      </c>
    </row>
    <row r="301" ht="15.75" customHeight="1">
      <c r="A301" s="3" t="s">
        <v>332</v>
      </c>
      <c r="B301" s="3" t="s">
        <v>214</v>
      </c>
      <c r="C301" s="3" t="s">
        <v>214</v>
      </c>
      <c r="D301" s="3" t="str">
        <f>IFERROR(VLOOKUP($C301,'_METADATA_TEMPLATE'!$B$2:$H$826,2,FALSE),"")</f>
        <v/>
      </c>
      <c r="E301" s="3" t="str">
        <f>IFERROR(VLOOKUP($C301,'_METADATA_TEMPLATE'!$B$2:$H$826,4,FALSE),"")</f>
        <v/>
      </c>
      <c r="F301" s="3" t="str">
        <f>IFERROR(VLOOKUP($C301,'_METADATA_TEMPLATE'!$B$2:$H$826,5,FALSE),"")</f>
        <v/>
      </c>
      <c r="G301" s="3" t="str">
        <f>IFERROR(VLOOKUP($C301,'_METADATA_TEMPLATE'!$B$2:$H$826,6,FALSE),"")</f>
        <v/>
      </c>
      <c r="H301" s="3" t="str">
        <f>IFERROR(VLOOKUP($C301,'_METADATA_TEMPLATE'!$B$2:$H$826,7,FALSE),"")</f>
        <v/>
      </c>
      <c r="I301" s="3" t="str">
        <f>IFERROR(VLOOKUP(C301,'_METADATA_DEFAULT'!$A:$B,2,FALSE),"")</f>
        <v/>
      </c>
    </row>
    <row r="302" ht="15.75" customHeight="1">
      <c r="A302" s="2" t="s">
        <v>332</v>
      </c>
      <c r="B302" s="2" t="s">
        <v>216</v>
      </c>
      <c r="C302" s="2" t="s">
        <v>216</v>
      </c>
      <c r="D302" s="2" t="str">
        <f>IFERROR(VLOOKUP($C302,'_METADATA_TEMPLATE'!$B$2:$H$826,2,FALSE),"")</f>
        <v/>
      </c>
      <c r="E302" s="2" t="str">
        <f>IFERROR(VLOOKUP($C302,'_METADATA_TEMPLATE'!$B$2:$H$826,4,FALSE),"")</f>
        <v/>
      </c>
      <c r="F302" s="2" t="str">
        <f>IFERROR(VLOOKUP($C302,'_METADATA_TEMPLATE'!$B$2:$H$826,5,FALSE),"")</f>
        <v/>
      </c>
      <c r="G302" s="2" t="str">
        <f>IFERROR(VLOOKUP($C302,'_METADATA_TEMPLATE'!$B$2:$H$826,6,FALSE),"")</f>
        <v/>
      </c>
      <c r="H302" s="2" t="str">
        <f>IFERROR(VLOOKUP($C302,'_METADATA_TEMPLATE'!$B$2:$H$826,7,FALSE),"")</f>
        <v/>
      </c>
      <c r="I302" s="2" t="str">
        <f>IFERROR(VLOOKUP(C302,'_METADATA_DEFAULT'!$A:$B,2,FALSE),"")</f>
        <v/>
      </c>
    </row>
    <row r="303" ht="15.75" customHeight="1">
      <c r="A303" s="3" t="s">
        <v>332</v>
      </c>
      <c r="B303" s="3" t="s">
        <v>218</v>
      </c>
      <c r="C303" s="3" t="s">
        <v>218</v>
      </c>
      <c r="D303" s="3" t="str">
        <f>IFERROR(VLOOKUP($C303,'_METADATA_TEMPLATE'!$B$2:$H$826,2,FALSE),"")</f>
        <v/>
      </c>
      <c r="E303" s="3" t="str">
        <f>IFERROR(VLOOKUP($C303,'_METADATA_TEMPLATE'!$B$2:$H$826,4,FALSE),"")</f>
        <v/>
      </c>
      <c r="F303" s="3" t="str">
        <f>IFERROR(VLOOKUP($C303,'_METADATA_TEMPLATE'!$B$2:$H$826,5,FALSE),"")</f>
        <v/>
      </c>
      <c r="G303" s="3" t="str">
        <f>IFERROR(VLOOKUP($C303,'_METADATA_TEMPLATE'!$B$2:$H$826,6,FALSE),"")</f>
        <v/>
      </c>
      <c r="H303" s="3" t="str">
        <f>IFERROR(VLOOKUP($C303,'_METADATA_TEMPLATE'!$B$2:$H$826,7,FALSE),"")</f>
        <v/>
      </c>
      <c r="I303" s="3" t="str">
        <f>IFERROR(VLOOKUP(C303,'_METADATA_DEFAULT'!$A:$B,2,FALSE),"")</f>
        <v/>
      </c>
    </row>
    <row r="304" ht="15.75" customHeight="1">
      <c r="A304" s="2" t="s">
        <v>332</v>
      </c>
      <c r="B304" s="2" t="s">
        <v>221</v>
      </c>
      <c r="C304" s="2" t="s">
        <v>221</v>
      </c>
      <c r="D304" s="2" t="str">
        <f>IFERROR(VLOOKUP($C304,'_METADATA_TEMPLATE'!$B$2:$H$826,2,FALSE),"")</f>
        <v/>
      </c>
      <c r="E304" s="2" t="str">
        <f>IFERROR(VLOOKUP($C304,'_METADATA_TEMPLATE'!$B$2:$H$826,4,FALSE),"")</f>
        <v/>
      </c>
      <c r="F304" s="2" t="str">
        <f>IFERROR(VLOOKUP($C304,'_METADATA_TEMPLATE'!$B$2:$H$826,5,FALSE),"")</f>
        <v/>
      </c>
      <c r="G304" s="2" t="str">
        <f>IFERROR(VLOOKUP($C304,'_METADATA_TEMPLATE'!$B$2:$H$826,6,FALSE),"")</f>
        <v/>
      </c>
      <c r="H304" s="2" t="str">
        <f>IFERROR(VLOOKUP($C304,'_METADATA_TEMPLATE'!$B$2:$H$826,7,FALSE),"")</f>
        <v/>
      </c>
      <c r="I304" s="2" t="str">
        <f>IFERROR(VLOOKUP(C304,'_METADATA_DEFAULT'!$A:$B,2,FALSE),"")</f>
        <v/>
      </c>
    </row>
    <row r="305" ht="15.75" customHeight="1">
      <c r="A305" s="3" t="s">
        <v>332</v>
      </c>
      <c r="B305" s="3" t="s">
        <v>225</v>
      </c>
      <c r="C305" s="3" t="s">
        <v>225</v>
      </c>
      <c r="D305" s="3" t="str">
        <f>IFERROR(VLOOKUP($C305,'_METADATA_TEMPLATE'!$B$2:$H$826,2,FALSE),"")</f>
        <v/>
      </c>
      <c r="E305" s="3" t="str">
        <f>IFERROR(VLOOKUP($C305,'_METADATA_TEMPLATE'!$B$2:$H$826,4,FALSE),"")</f>
        <v/>
      </c>
      <c r="F305" s="3" t="str">
        <f>IFERROR(VLOOKUP($C305,'_METADATA_TEMPLATE'!$B$2:$H$826,5,FALSE),"")</f>
        <v/>
      </c>
      <c r="G305" s="3" t="str">
        <f>IFERROR(VLOOKUP($C305,'_METADATA_TEMPLATE'!$B$2:$H$826,6,FALSE),"")</f>
        <v/>
      </c>
      <c r="H305" s="3" t="str">
        <f>IFERROR(VLOOKUP($C305,'_METADATA_TEMPLATE'!$B$2:$H$826,7,FALSE),"")</f>
        <v/>
      </c>
      <c r="I305" s="3" t="str">
        <f>IFERROR(VLOOKUP(C305,'_METADATA_DEFAULT'!$A:$B,2,FALSE),"")</f>
        <v/>
      </c>
    </row>
    <row r="306" ht="15.75" customHeight="1">
      <c r="A306" s="2" t="s">
        <v>332</v>
      </c>
      <c r="B306" s="2" t="s">
        <v>227</v>
      </c>
      <c r="C306" s="2" t="s">
        <v>227</v>
      </c>
      <c r="D306" s="2" t="str">
        <f>IFERROR(VLOOKUP($C306,'_METADATA_TEMPLATE'!$B$2:$H$826,2,FALSE),"")</f>
        <v/>
      </c>
      <c r="E306" s="2" t="str">
        <f>IFERROR(VLOOKUP($C306,'_METADATA_TEMPLATE'!$B$2:$H$826,4,FALSE),"")</f>
        <v/>
      </c>
      <c r="F306" s="2" t="str">
        <f>IFERROR(VLOOKUP($C306,'_METADATA_TEMPLATE'!$B$2:$H$826,5,FALSE),"")</f>
        <v/>
      </c>
      <c r="G306" s="2" t="str">
        <f>IFERROR(VLOOKUP($C306,'_METADATA_TEMPLATE'!$B$2:$H$826,6,FALSE),"")</f>
        <v/>
      </c>
      <c r="H306" s="2" t="str">
        <f>IFERROR(VLOOKUP($C306,'_METADATA_TEMPLATE'!$B$2:$H$826,7,FALSE),"")</f>
        <v/>
      </c>
      <c r="I306" s="2" t="str">
        <f>IFERROR(VLOOKUP(C306,'_METADATA_DEFAULT'!$A:$B,2,FALSE),"")</f>
        <v/>
      </c>
    </row>
    <row r="307" ht="15.75" customHeight="1">
      <c r="A307" s="3" t="s">
        <v>332</v>
      </c>
      <c r="B307" s="3" t="s">
        <v>230</v>
      </c>
      <c r="C307" s="3" t="s">
        <v>230</v>
      </c>
      <c r="D307" s="3" t="str">
        <f>IFERROR(VLOOKUP($C307,'_METADATA_TEMPLATE'!$B$2:$H$826,2,FALSE),"")</f>
        <v/>
      </c>
      <c r="E307" s="3" t="str">
        <f>IFERROR(VLOOKUP($C307,'_METADATA_TEMPLATE'!$B$2:$H$826,4,FALSE),"")</f>
        <v/>
      </c>
      <c r="F307" s="3" t="str">
        <f>IFERROR(VLOOKUP($C307,'_METADATA_TEMPLATE'!$B$2:$H$826,5,FALSE),"")</f>
        <v/>
      </c>
      <c r="G307" s="3" t="str">
        <f>IFERROR(VLOOKUP($C307,'_METADATA_TEMPLATE'!$B$2:$H$826,6,FALSE),"")</f>
        <v/>
      </c>
      <c r="H307" s="3" t="str">
        <f>IFERROR(VLOOKUP($C307,'_METADATA_TEMPLATE'!$B$2:$H$826,7,FALSE),"")</f>
        <v/>
      </c>
      <c r="I307" s="3" t="str">
        <f>IFERROR(VLOOKUP(C307,'_METADATA_DEFAULT'!$A:$B,2,FALSE),"")</f>
        <v/>
      </c>
    </row>
    <row r="308" ht="15.75" customHeight="1">
      <c r="A308" s="2" t="s">
        <v>332</v>
      </c>
      <c r="B308" s="2" t="s">
        <v>234</v>
      </c>
      <c r="C308" s="2" t="s">
        <v>234</v>
      </c>
      <c r="D308" s="2" t="str">
        <f>IFERROR(VLOOKUP($C308,'_METADATA_TEMPLATE'!$B$2:$H$826,2,FALSE),"")</f>
        <v/>
      </c>
      <c r="E308" s="2" t="str">
        <f>IFERROR(VLOOKUP($C308,'_METADATA_TEMPLATE'!$B$2:$H$826,4,FALSE),"")</f>
        <v/>
      </c>
      <c r="F308" s="2" t="str">
        <f>IFERROR(VLOOKUP($C308,'_METADATA_TEMPLATE'!$B$2:$H$826,5,FALSE),"")</f>
        <v/>
      </c>
      <c r="G308" s="2" t="str">
        <f>IFERROR(VLOOKUP($C308,'_METADATA_TEMPLATE'!$B$2:$H$826,6,FALSE),"")</f>
        <v/>
      </c>
      <c r="H308" s="2" t="str">
        <f>IFERROR(VLOOKUP($C308,'_METADATA_TEMPLATE'!$B$2:$H$826,7,FALSE),"")</f>
        <v/>
      </c>
      <c r="I308" s="2" t="str">
        <f>IFERROR(VLOOKUP(C308,'_METADATA_DEFAULT'!$A:$B,2,FALSE),"")</f>
        <v/>
      </c>
    </row>
    <row r="309" ht="15.75" customHeight="1">
      <c r="A309" s="3" t="s">
        <v>332</v>
      </c>
      <c r="B309" s="3" t="s">
        <v>75</v>
      </c>
      <c r="C309" s="3" t="s">
        <v>75</v>
      </c>
      <c r="D309" s="3" t="str">
        <f>IFERROR(VLOOKUP($C309,'_METADATA_TEMPLATE'!$B$2:$H$826,2,FALSE),"")</f>
        <v/>
      </c>
      <c r="E309" s="3" t="str">
        <f>IFERROR(VLOOKUP($C309,'_METADATA_TEMPLATE'!$B$2:$H$826,4,FALSE),"")</f>
        <v/>
      </c>
      <c r="F309" s="3" t="str">
        <f>IFERROR(VLOOKUP($C309,'_METADATA_TEMPLATE'!$B$2:$H$826,5,FALSE),"")</f>
        <v/>
      </c>
      <c r="G309" s="3" t="str">
        <f>IFERROR(VLOOKUP($C309,'_METADATA_TEMPLATE'!$B$2:$H$826,6,FALSE),"")</f>
        <v/>
      </c>
      <c r="H309" s="3" t="str">
        <f>IFERROR(VLOOKUP($C309,'_METADATA_TEMPLATE'!$B$2:$H$826,7,FALSE),"")</f>
        <v/>
      </c>
      <c r="I309" s="3" t="str">
        <f>IFERROR(VLOOKUP(C309,'_METADATA_DEFAULT'!$A:$B,2,FALSE),"")</f>
        <v>ID Periode Survei</v>
      </c>
    </row>
    <row r="310" ht="15.75" customHeight="1">
      <c r="A310" s="2" t="s">
        <v>332</v>
      </c>
      <c r="B310" s="2" t="s">
        <v>240</v>
      </c>
      <c r="C310" s="2" t="s">
        <v>240</v>
      </c>
      <c r="D310" s="2" t="str">
        <f>IFERROR(VLOOKUP($C310,'_METADATA_TEMPLATE'!$B$2:$H$826,2,FALSE),"")</f>
        <v/>
      </c>
      <c r="E310" s="2" t="str">
        <f>IFERROR(VLOOKUP($C310,'_METADATA_TEMPLATE'!$B$2:$H$826,4,FALSE),"")</f>
        <v/>
      </c>
      <c r="F310" s="2" t="str">
        <f>IFERROR(VLOOKUP($C310,'_METADATA_TEMPLATE'!$B$2:$H$826,5,FALSE),"")</f>
        <v/>
      </c>
      <c r="G310" s="2" t="str">
        <f>IFERROR(VLOOKUP($C310,'_METADATA_TEMPLATE'!$B$2:$H$826,6,FALSE),"")</f>
        <v/>
      </c>
      <c r="H310" s="2" t="str">
        <f>IFERROR(VLOOKUP($C310,'_METADATA_TEMPLATE'!$B$2:$H$826,7,FALSE),"")</f>
        <v/>
      </c>
      <c r="I310" s="2" t="str">
        <f>IFERROR(VLOOKUP(C310,'_METADATA_DEFAULT'!$A:$B,2,FALSE),"")</f>
        <v/>
      </c>
    </row>
    <row r="311" ht="15.75" customHeight="1">
      <c r="A311" s="3" t="s">
        <v>332</v>
      </c>
      <c r="B311" s="3" t="s">
        <v>1499</v>
      </c>
      <c r="C311" s="3" t="s">
        <v>1499</v>
      </c>
      <c r="D311" s="3" t="str">
        <f>IFERROR(VLOOKUP($C311,'_METADATA_TEMPLATE'!$B$2:$H$826,2,FALSE),"")</f>
        <v/>
      </c>
      <c r="E311" s="3" t="str">
        <f>IFERROR(VLOOKUP($C311,'_METADATA_TEMPLATE'!$B$2:$H$826,4,FALSE),"")</f>
        <v/>
      </c>
      <c r="F311" s="3" t="str">
        <f>IFERROR(VLOOKUP($C311,'_METADATA_TEMPLATE'!$B$2:$H$826,5,FALSE),"")</f>
        <v/>
      </c>
      <c r="G311" s="3" t="str">
        <f>IFERROR(VLOOKUP($C311,'_METADATA_TEMPLATE'!$B$2:$H$826,6,FALSE),"")</f>
        <v/>
      </c>
      <c r="H311" s="3" t="str">
        <f>IFERROR(VLOOKUP($C311,'_METADATA_TEMPLATE'!$B$2:$H$826,7,FALSE),"")</f>
        <v/>
      </c>
      <c r="I311" s="3" t="str">
        <f>IFERROR(VLOOKUP(C311,'_METADATA_DEFAULT'!$A:$B,2,FALSE),"")</f>
        <v/>
      </c>
    </row>
    <row r="312" ht="15.75" customHeight="1">
      <c r="A312" s="2" t="s">
        <v>332</v>
      </c>
      <c r="B312" s="2" t="s">
        <v>1503</v>
      </c>
      <c r="C312" s="2" t="s">
        <v>1503</v>
      </c>
      <c r="D312" s="2" t="str">
        <f>IFERROR(VLOOKUP($C312,'_METADATA_TEMPLATE'!$B$2:$H$826,2,FALSE),"")</f>
        <v/>
      </c>
      <c r="E312" s="2" t="str">
        <f>IFERROR(VLOOKUP($C312,'_METADATA_TEMPLATE'!$B$2:$H$826,4,FALSE),"")</f>
        <v/>
      </c>
      <c r="F312" s="2" t="str">
        <f>IFERROR(VLOOKUP($C312,'_METADATA_TEMPLATE'!$B$2:$H$826,5,FALSE),"")</f>
        <v/>
      </c>
      <c r="G312" s="2" t="str">
        <f>IFERROR(VLOOKUP($C312,'_METADATA_TEMPLATE'!$B$2:$H$826,6,FALSE),"")</f>
        <v/>
      </c>
      <c r="H312" s="2" t="str">
        <f>IFERROR(VLOOKUP($C312,'_METADATA_TEMPLATE'!$B$2:$H$826,7,FALSE),"")</f>
        <v/>
      </c>
      <c r="I312" s="2" t="str">
        <f>IFERROR(VLOOKUP(C312,'_METADATA_DEFAULT'!$A:$B,2,FALSE),"")</f>
        <v/>
      </c>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373</v>
      </c>
      <c r="B2" s="2" t="s">
        <v>374</v>
      </c>
      <c r="C2" s="2" t="s">
        <v>375</v>
      </c>
      <c r="D2" s="2">
        <f>IFERROR(VLOOKUP($C2,'_METADATA_TEMPLATE'!$B$2:$H$826,2,FALSE),"")</f>
        <v>103</v>
      </c>
      <c r="E2" s="2" t="str">
        <f>IFERROR(VLOOKUP($C2,'_METADATA_TEMPLATE'!$B$2:$H$826,4,FALSE),"")</f>
        <v>SE2026 - L BLOK II</v>
      </c>
      <c r="F2" s="2" t="str">
        <f>IFERROR(VLOOKUP($C2,'_METADATA_TEMPLATE'!$B$2:$H$826,5,FALSE),"")</f>
        <v/>
      </c>
      <c r="G2" s="2" t="str">
        <f>IFERROR(VLOOKUP($C2,'_METADATA_TEMPLATE'!$B$2:$H$826,6,FALSE),"")</f>
        <v>Pilih UMKM dalam satu SLS yang sama</v>
      </c>
      <c r="H2" s="2" t="str">
        <f>IFERROR(VLOOKUP($C2,'_METADATA_TEMPLATE'!$B$2:$H$826,7,FALSE),"")</f>
        <v>Select</v>
      </c>
      <c r="I2" s="2" t="str">
        <f>IFERROR(VLOOKUP(C2,'_METADATA_DEFAULT'!$A:$B,2,FALSE),"")</f>
        <v/>
      </c>
    </row>
    <row r="3">
      <c r="A3" s="3" t="s">
        <v>373</v>
      </c>
      <c r="B3" s="3" t="s">
        <v>378</v>
      </c>
      <c r="C3" s="3" t="s">
        <v>375</v>
      </c>
      <c r="D3" s="3">
        <f>IFERROR(VLOOKUP($C3,'_METADATA_TEMPLATE'!$B$2:$H$826,2,FALSE),"")</f>
        <v>103</v>
      </c>
      <c r="E3" s="3" t="str">
        <f>IFERROR(VLOOKUP($C3,'_METADATA_TEMPLATE'!$B$2:$H$826,4,FALSE),"")</f>
        <v>SE2026 - L BLOK II</v>
      </c>
      <c r="F3" s="3" t="str">
        <f>IFERROR(VLOOKUP($C3,'_METADATA_TEMPLATE'!$B$2:$H$826,5,FALSE),"")</f>
        <v/>
      </c>
      <c r="G3" s="3" t="str">
        <f>IFERROR(VLOOKUP($C3,'_METADATA_TEMPLATE'!$B$2:$H$826,6,FALSE),"")</f>
        <v>Pilih UMKM dalam satu SLS yang sama</v>
      </c>
      <c r="H3" s="3" t="str">
        <f>IFERROR(VLOOKUP($C3,'_METADATA_TEMPLATE'!$B$2:$H$826,7,FALSE),"")</f>
        <v>Select</v>
      </c>
      <c r="I3" s="3" t="str">
        <f>IFERROR(VLOOKUP(C3,'_METADATA_DEFAULT'!$A:$B,2,FALSE),"")</f>
        <v/>
      </c>
    </row>
    <row r="4">
      <c r="A4" s="2" t="s">
        <v>373</v>
      </c>
      <c r="B4" s="2" t="s">
        <v>381</v>
      </c>
      <c r="C4" s="2" t="s">
        <v>381</v>
      </c>
      <c r="D4" s="2">
        <f>IFERROR(VLOOKUP($C4,'_METADATA_TEMPLATE'!$B$2:$H$826,2,FALSE),"")</f>
        <v>106</v>
      </c>
      <c r="E4" s="2" t="str">
        <f>IFERROR(VLOOKUP($C4,'_METADATA_TEMPLATE'!$B$2:$H$826,4,FALSE),"")</f>
        <v>SE2026 - L BLOK II</v>
      </c>
      <c r="F4" s="2" t="str">
        <f>IFERROR(VLOOKUP($C4,'_METADATA_TEMPLATE'!$B$2:$H$826,5,FALSE),"")</f>
        <v>1</v>
      </c>
      <c r="G4" s="2" t="str">
        <f>IFERROR(VLOOKUP($C4,'_METADATA_TEMPLATE'!$B$2:$H$826,6,FALSE),"")</f>
        <v>Provinsi</v>
      </c>
      <c r="H4" s="2" t="str">
        <f>IFERROR(VLOOKUP($C4,'_METADATA_TEMPLATE'!$B$2:$H$826,7,FALSE),"")</f>
        <v>Variable</v>
      </c>
      <c r="I4" s="2" t="str">
        <f>IFERROR(VLOOKUP(C4,'_METADATA_DEFAULT'!$A:$B,2,FALSE),"")</f>
        <v/>
      </c>
    </row>
    <row r="5">
      <c r="A5" s="3" t="s">
        <v>373</v>
      </c>
      <c r="B5" s="3" t="s">
        <v>383</v>
      </c>
      <c r="C5" s="3" t="s">
        <v>383</v>
      </c>
      <c r="D5" s="3">
        <f>IFERROR(VLOOKUP($C5,'_METADATA_TEMPLATE'!$B$2:$H$826,2,FALSE),"")</f>
        <v>107</v>
      </c>
      <c r="E5" s="3" t="str">
        <f>IFERROR(VLOOKUP($C5,'_METADATA_TEMPLATE'!$B$2:$H$826,4,FALSE),"")</f>
        <v>SE2026 - L BLOK II</v>
      </c>
      <c r="F5" s="3" t="str">
        <f>IFERROR(VLOOKUP($C5,'_METADATA_TEMPLATE'!$B$2:$H$826,5,FALSE),"")</f>
        <v>2</v>
      </c>
      <c r="G5" s="3" t="str">
        <f>IFERROR(VLOOKUP($C5,'_METADATA_TEMPLATE'!$B$2:$H$826,6,FALSE),"")</f>
        <v>Kabupaten/Kota</v>
      </c>
      <c r="H5" s="3" t="str">
        <f>IFERROR(VLOOKUP($C5,'_METADATA_TEMPLATE'!$B$2:$H$826,7,FALSE),"")</f>
        <v>Variable</v>
      </c>
      <c r="I5" s="3" t="str">
        <f>IFERROR(VLOOKUP(C5,'_METADATA_DEFAULT'!$A:$B,2,FALSE),"")</f>
        <v/>
      </c>
    </row>
    <row r="6">
      <c r="A6" s="2" t="s">
        <v>373</v>
      </c>
      <c r="B6" s="2" t="s">
        <v>386</v>
      </c>
      <c r="C6" s="2" t="s">
        <v>386</v>
      </c>
      <c r="D6" s="2">
        <f>IFERROR(VLOOKUP($C6,'_METADATA_TEMPLATE'!$B$2:$H$826,2,FALSE),"")</f>
        <v>110</v>
      </c>
      <c r="E6" s="2" t="str">
        <f>IFERROR(VLOOKUP($C6,'_METADATA_TEMPLATE'!$B$2:$H$826,4,FALSE),"")</f>
        <v>SE2026 - L BLOK II</v>
      </c>
      <c r="F6" s="2" t="str">
        <f>IFERROR(VLOOKUP($C6,'_METADATA_TEMPLATE'!$B$2:$H$826,5,FALSE),"")</f>
        <v>3</v>
      </c>
      <c r="G6" s="2" t="str">
        <f>IFERROR(VLOOKUP($C6,'_METADATA_TEMPLATE'!$B$2:$H$826,6,FALSE),"")</f>
        <v>Kecamatan</v>
      </c>
      <c r="H6" s="2" t="str">
        <f>IFERROR(VLOOKUP($C6,'_METADATA_TEMPLATE'!$B$2:$H$826,7,FALSE),"")</f>
        <v>Variable</v>
      </c>
      <c r="I6" s="2" t="str">
        <f>IFERROR(VLOOKUP(C6,'_METADATA_DEFAULT'!$A:$B,2,FALSE),"")</f>
        <v/>
      </c>
    </row>
    <row r="7">
      <c r="A7" s="3" t="s">
        <v>373</v>
      </c>
      <c r="B7" s="3" t="s">
        <v>388</v>
      </c>
      <c r="C7" s="3" t="s">
        <v>388</v>
      </c>
      <c r="D7" s="3">
        <f>IFERROR(VLOOKUP($C7,'_METADATA_TEMPLATE'!$B$2:$H$826,2,FALSE),"")</f>
        <v>112</v>
      </c>
      <c r="E7" s="3" t="str">
        <f>IFERROR(VLOOKUP($C7,'_METADATA_TEMPLATE'!$B$2:$H$826,4,FALSE),"")</f>
        <v>SE2026 - L BLOK II</v>
      </c>
      <c r="F7" s="3" t="str">
        <f>IFERROR(VLOOKUP($C7,'_METADATA_TEMPLATE'!$B$2:$H$826,5,FALSE),"")</f>
        <v>4</v>
      </c>
      <c r="G7" s="3" t="str">
        <f>IFERROR(VLOOKUP($C7,'_METADATA_TEMPLATE'!$B$2:$H$826,6,FALSE),"")</f>
        <v>Kelurahan/Desa/Nagari</v>
      </c>
      <c r="H7" s="3" t="str">
        <f>IFERROR(VLOOKUP($C7,'_METADATA_TEMPLATE'!$B$2:$H$826,7,FALSE),"")</f>
        <v>Variable</v>
      </c>
      <c r="I7" s="3" t="str">
        <f>IFERROR(VLOOKUP(C7,'_METADATA_DEFAULT'!$A:$B,2,FALSE),"")</f>
        <v/>
      </c>
    </row>
    <row r="8">
      <c r="A8" s="2" t="s">
        <v>373</v>
      </c>
      <c r="B8" s="2" t="s">
        <v>392</v>
      </c>
      <c r="C8" s="2" t="s">
        <v>392</v>
      </c>
      <c r="D8" s="2">
        <f>IFERROR(VLOOKUP($C8,'_METADATA_TEMPLATE'!$B$2:$H$826,2,FALSE),"")</f>
        <v>114</v>
      </c>
      <c r="E8" s="2" t="str">
        <f>IFERROR(VLOOKUP($C8,'_METADATA_TEMPLATE'!$B$2:$H$826,4,FALSE),"")</f>
        <v>SE2026 - L BLOK II</v>
      </c>
      <c r="F8" s="2" t="str">
        <f>IFERROR(VLOOKUP($C8,'_METADATA_TEMPLATE'!$B$2:$H$826,5,FALSE),"")</f>
        <v/>
      </c>
      <c r="G8" s="2" t="str">
        <f>IFERROR(VLOOKUP($C8,'_METADATA_TEMPLATE'!$B$2:$H$826,6,FALSE),"")</f>
        <v>Kode SLS/Sub-SLS</v>
      </c>
      <c r="H8" s="2" t="str">
        <f>IFERROR(VLOOKUP($C8,'_METADATA_TEMPLATE'!$B$2:$H$826,7,FALSE),"")</f>
        <v>Variable</v>
      </c>
      <c r="I8" s="2" t="str">
        <f>IFERROR(VLOOKUP(C8,'_METADATA_DEFAULT'!$A:$B,2,FALSE),"")</f>
        <v/>
      </c>
    </row>
    <row r="9">
      <c r="A9" s="3" t="s">
        <v>373</v>
      </c>
      <c r="B9" s="3" t="s">
        <v>395</v>
      </c>
      <c r="C9" s="3" t="s">
        <v>395</v>
      </c>
      <c r="D9" s="3">
        <f>IFERROR(VLOOKUP($C9,'_METADATA_TEMPLATE'!$B$2:$H$826,2,FALSE),"")</f>
        <v>116</v>
      </c>
      <c r="E9" s="3" t="str">
        <f>IFERROR(VLOOKUP($C9,'_METADATA_TEMPLATE'!$B$2:$H$826,4,FALSE),"")</f>
        <v>SE2026 - L BLOK II</v>
      </c>
      <c r="F9" s="3" t="str">
        <f>IFERROR(VLOOKUP($C9,'_METADATA_TEMPLATE'!$B$2:$H$826,5,FALSE),"")</f>
        <v/>
      </c>
      <c r="G9" s="3" t="str">
        <f>IFERROR(VLOOKUP($C9,'_METADATA_TEMPLATE'!$B$2:$H$826,6,FALSE),"")</f>
        <v>Nama SLS/Sub-SLS</v>
      </c>
      <c r="H9" s="3" t="str">
        <f>IFERROR(VLOOKUP($C9,'_METADATA_TEMPLATE'!$B$2:$H$826,7,FALSE),"")</f>
        <v>Variable</v>
      </c>
      <c r="I9" s="3" t="str">
        <f>IFERROR(VLOOKUP(C9,'_METADATA_DEFAULT'!$A:$B,2,FALSE),"")</f>
        <v/>
      </c>
    </row>
    <row r="10">
      <c r="A10" s="2" t="s">
        <v>373</v>
      </c>
      <c r="B10" s="2" t="s">
        <v>400</v>
      </c>
      <c r="C10" s="2" t="s">
        <v>400</v>
      </c>
      <c r="D10" s="2">
        <f>IFERROR(VLOOKUP($C10,'_METADATA_TEMPLATE'!$B$2:$H$826,2,FALSE),"")</f>
        <v>117</v>
      </c>
      <c r="E10" s="2" t="str">
        <f>IFERROR(VLOOKUP($C10,'_METADATA_TEMPLATE'!$B$2:$H$826,4,FALSE),"")</f>
        <v>SE2026 - L BLOK II</v>
      </c>
      <c r="F10" s="2" t="str">
        <f>IFERROR(VLOOKUP($C10,'_METADATA_TEMPLATE'!$B$2:$H$826,5,FALSE),"")</f>
        <v>6</v>
      </c>
      <c r="G10" s="2" t="str">
        <f>IFERROR(VLOOKUP($C10,'_METADATA_TEMPLATE'!$B$2:$H$826,6,FALSE),"")</f>
        <v>Nomor Bangunan</v>
      </c>
      <c r="H10" s="2" t="str">
        <f>IFERROR(VLOOKUP($C10,'_METADATA_TEMPLATE'!$B$2:$H$826,7,FALSE),"")</f>
        <v>Variable</v>
      </c>
      <c r="I10" s="2" t="str">
        <f>IFERROR(VLOOKUP(C10,'_METADATA_DEFAULT'!$A:$B,2,FALSE),"")</f>
        <v/>
      </c>
    </row>
    <row r="11">
      <c r="A11" s="3" t="s">
        <v>373</v>
      </c>
      <c r="B11" s="3" t="s">
        <v>402</v>
      </c>
      <c r="C11" s="3" t="s">
        <v>402</v>
      </c>
      <c r="D11" s="3">
        <f>IFERROR(VLOOKUP($C11,'_METADATA_TEMPLATE'!$B$2:$H$826,2,FALSE),"")</f>
        <v>119</v>
      </c>
      <c r="E11" s="3" t="str">
        <f>IFERROR(VLOOKUP($C11,'_METADATA_TEMPLATE'!$B$2:$H$826,4,FALSE),"")</f>
        <v>SE2026 - L BLOK II</v>
      </c>
      <c r="F11" s="3" t="str">
        <f>IFERROR(VLOOKUP($C11,'_METADATA_TEMPLATE'!$B$2:$H$826,5,FALSE),"")</f>
        <v>7</v>
      </c>
      <c r="G11" s="3" t="str">
        <f>IFERROR(VLOOKUP($C11,'_METADATA_TEMPLATE'!$B$2:$H$826,6,FALSE),"")</f>
        <v>Nomor Urut Usaha/Perusahaan</v>
      </c>
      <c r="H11" s="3" t="str">
        <f>IFERROR(VLOOKUP($C11,'_METADATA_TEMPLATE'!$B$2:$H$826,7,FALSE),"")</f>
        <v>Variable</v>
      </c>
      <c r="I11" s="3" t="str">
        <f>IFERROR(VLOOKUP(C11,'_METADATA_DEFAULT'!$A:$B,2,FALSE),"")</f>
        <v/>
      </c>
    </row>
    <row r="12">
      <c r="A12" s="2" t="s">
        <v>373</v>
      </c>
      <c r="B12" s="2" t="s">
        <v>405</v>
      </c>
      <c r="C12" s="2" t="s">
        <v>405</v>
      </c>
      <c r="D12" s="2">
        <f>IFERROR(VLOOKUP($C12,'_METADATA_TEMPLATE'!$B$2:$H$826,2,FALSE),"")</f>
        <v>120</v>
      </c>
      <c r="E12" s="2" t="str">
        <f>IFERROR(VLOOKUP($C12,'_METADATA_TEMPLATE'!$B$2:$H$826,4,FALSE),"")</f>
        <v>SE2026 - L BLOK II</v>
      </c>
      <c r="F12" s="2" t="str">
        <f>IFERROR(VLOOKUP($C12,'_METADATA_TEMPLATE'!$B$2:$H$826,5,FALSE),"")</f>
        <v>8</v>
      </c>
      <c r="G12" s="2" t="str">
        <f>IFERROR(VLOOKUP($C12,'_METADATA_TEMPLATE'!$B$2:$H$826,6,FALSE),"")</f>
        <v>a. Nama usaha/perusahaan</v>
      </c>
      <c r="H12" s="2" t="str">
        <f>IFERROR(VLOOKUP($C12,'_METADATA_TEMPLATE'!$B$2:$H$826,7,FALSE),"")</f>
        <v>Variable</v>
      </c>
      <c r="I12" s="2" t="str">
        <f>IFERROR(VLOOKUP(C12,'_METADATA_DEFAULT'!$A:$B,2,FALSE),"")</f>
        <v/>
      </c>
    </row>
    <row r="13">
      <c r="A13" s="3" t="s">
        <v>373</v>
      </c>
      <c r="B13" s="3" t="s">
        <v>407</v>
      </c>
      <c r="C13" s="3" t="s">
        <v>408</v>
      </c>
      <c r="D13" s="3">
        <f>IFERROR(VLOOKUP($C13,'_METADATA_TEMPLATE'!$B$2:$H$826,2,FALSE),"")</f>
        <v>121</v>
      </c>
      <c r="E13" s="3" t="str">
        <f>IFERROR(VLOOKUP($C13,'_METADATA_TEMPLATE'!$B$2:$H$826,4,FALSE),"")</f>
        <v>SE2026 - L BLOK II</v>
      </c>
      <c r="F13" s="3" t="str">
        <f>IFERROR(VLOOKUP($C13,'_METADATA_TEMPLATE'!$B$2:$H$826,5,FALSE),"")</f>
        <v/>
      </c>
      <c r="G13" s="3" t="str">
        <f>IFERROR(VLOOKUP($C13,'_METADATA_TEMPLATE'!$B$2:$H$826,6,FALSE),"")</f>
        <v>Keberadaan Usaha</v>
      </c>
      <c r="H13" s="3" t="str">
        <f>IFERROR(VLOOKUP($C13,'_METADATA_TEMPLATE'!$B$2:$H$826,7,FALSE),"")</f>
        <v>Radio Group</v>
      </c>
      <c r="I13" s="3" t="str">
        <f>IFERROR(VLOOKUP(C13,'_METADATA_DEFAULT'!$A:$B,2,FALSE),"")</f>
        <v/>
      </c>
    </row>
    <row r="14">
      <c r="A14" s="2" t="s">
        <v>373</v>
      </c>
      <c r="B14" s="2" t="s">
        <v>411</v>
      </c>
      <c r="C14" s="2" t="s">
        <v>408</v>
      </c>
      <c r="D14" s="2">
        <f>IFERROR(VLOOKUP($C14,'_METADATA_TEMPLATE'!$B$2:$H$826,2,FALSE),"")</f>
        <v>121</v>
      </c>
      <c r="E14" s="2" t="str">
        <f>IFERROR(VLOOKUP($C14,'_METADATA_TEMPLATE'!$B$2:$H$826,4,FALSE),"")</f>
        <v>SE2026 - L BLOK II</v>
      </c>
      <c r="F14" s="2" t="str">
        <f>IFERROR(VLOOKUP($C14,'_METADATA_TEMPLATE'!$B$2:$H$826,5,FALSE),"")</f>
        <v/>
      </c>
      <c r="G14" s="2" t="str">
        <f>IFERROR(VLOOKUP($C14,'_METADATA_TEMPLATE'!$B$2:$H$826,6,FALSE),"")</f>
        <v>Keberadaan Usaha</v>
      </c>
      <c r="H14" s="2" t="str">
        <f>IFERROR(VLOOKUP($C14,'_METADATA_TEMPLATE'!$B$2:$H$826,7,FALSE),"")</f>
        <v>Radio Group</v>
      </c>
      <c r="I14" s="2" t="str">
        <f>IFERROR(VLOOKUP(C14,'_METADATA_DEFAULT'!$A:$B,2,FALSE),"")</f>
        <v/>
      </c>
    </row>
    <row r="15">
      <c r="A15" s="3" t="s">
        <v>373</v>
      </c>
      <c r="B15" s="3" t="s">
        <v>414</v>
      </c>
      <c r="C15" s="3" t="s">
        <v>414</v>
      </c>
      <c r="D15" s="3">
        <f>IFERROR(VLOOKUP($C15,'_METADATA_TEMPLATE'!$B$2:$H$826,2,FALSE),"")</f>
        <v>122</v>
      </c>
      <c r="E15" s="3" t="str">
        <f>IFERROR(VLOOKUP($C15,'_METADATA_TEMPLATE'!$B$2:$H$826,4,FALSE),"")</f>
        <v>SE2026 - L BLOK II</v>
      </c>
      <c r="F15" s="3" t="str">
        <f>IFERROR(VLOOKUP($C15,'_METADATA_TEMPLATE'!$B$2:$H$826,5,FALSE),"")</f>
        <v/>
      </c>
      <c r="G15" s="3" t="str">
        <f>IFERROR(VLOOKUP($C15,'_METADATA_TEMPLATE'!$B$2:$H$826,6,FALSE),"")</f>
        <v>$label_edit $hint_edit</v>
      </c>
      <c r="H15" s="3" t="str">
        <f>IFERROR(VLOOKUP($C15,'_METADATA_TEMPLATE'!$B$2:$H$826,7,FALSE),"")</f>
        <v>Text Input</v>
      </c>
      <c r="I15" s="3" t="str">
        <f>IFERROR(VLOOKUP(C15,'_METADATA_DEFAULT'!$A:$B,2,FALSE),"")</f>
        <v/>
      </c>
    </row>
    <row r="16">
      <c r="A16" s="2" t="s">
        <v>373</v>
      </c>
      <c r="B16" s="2" t="s">
        <v>417</v>
      </c>
      <c r="C16" s="2" t="s">
        <v>417</v>
      </c>
      <c r="D16" s="2">
        <f>IFERROR(VLOOKUP($C16,'_METADATA_TEMPLATE'!$B$2:$H$826,2,FALSE),"")</f>
        <v>123</v>
      </c>
      <c r="E16" s="2" t="str">
        <f>IFERROR(VLOOKUP($C16,'_METADATA_TEMPLATE'!$B$2:$H$826,4,FALSE),"")</f>
        <v>SE2026 - L BLOK II</v>
      </c>
      <c r="F16" s="2" t="str">
        <f>IFERROR(VLOOKUP($C16,'_METADATA_TEMPLATE'!$B$2:$H$826,5,FALSE),"")</f>
        <v>8</v>
      </c>
      <c r="G16" s="2" t="str">
        <f>IFERROR(VLOOKUP($C16,'_METADATA_TEMPLATE'!$B$2:$H$826,6,FALSE),"")</f>
        <v>b. Nama komersial usaha/perusahaan Jika tidak memiliki nama komersial, maka tuliskan nama usaha/perusahaan.</v>
      </c>
      <c r="H16" s="2" t="str">
        <f>IFERROR(VLOOKUP($C16,'_METADATA_TEMPLATE'!$B$2:$H$826,7,FALSE),"")</f>
        <v>Text Input</v>
      </c>
      <c r="I16" s="2" t="str">
        <f>IFERROR(VLOOKUP(C16,'_METADATA_DEFAULT'!$A:$B,2,FALSE),"")</f>
        <v/>
      </c>
    </row>
    <row r="17">
      <c r="A17" s="3" t="s">
        <v>373</v>
      </c>
      <c r="B17" s="3" t="s">
        <v>420</v>
      </c>
      <c r="C17" s="3" t="s">
        <v>420</v>
      </c>
      <c r="D17" s="3">
        <f>IFERROR(VLOOKUP($C17,'_METADATA_TEMPLATE'!$B$2:$H$826,2,FALSE),"")</f>
        <v>124</v>
      </c>
      <c r="E17" s="3" t="str">
        <f>IFERROR(VLOOKUP($C17,'_METADATA_TEMPLATE'!$B$2:$H$826,4,FALSE),"")</f>
        <v>SE2026 - L BLOK II</v>
      </c>
      <c r="F17" s="3" t="str">
        <f>IFERROR(VLOOKUP($C17,'_METADATA_TEMPLATE'!$B$2:$H$826,5,FALSE),"")</f>
        <v>8c</v>
      </c>
      <c r="G17" s="3" t="str">
        <f>IFERROR(VLOOKUP($C17,'_METADATA_TEMPLATE'!$B$2:$H$826,6,FALSE),"")</f>
        <v>Alamat usaha/perusahaan</v>
      </c>
      <c r="H17" s="3" t="str">
        <f>IFERROR(VLOOKUP($C17,'_METADATA_TEMPLATE'!$B$2:$H$826,7,FALSE),"")</f>
        <v>Text Area</v>
      </c>
      <c r="I17" s="3" t="str">
        <f>IFERROR(VLOOKUP(C17,'_METADATA_DEFAULT'!$A:$B,2,FALSE),"")</f>
        <v/>
      </c>
    </row>
    <row r="18">
      <c r="A18" s="2" t="s">
        <v>373</v>
      </c>
      <c r="B18" s="2" t="s">
        <v>424</v>
      </c>
      <c r="C18" s="2" t="s">
        <v>424</v>
      </c>
      <c r="D18" s="2">
        <f>IFERROR(VLOOKUP($C18,'_METADATA_TEMPLATE'!$B$2:$H$826,2,FALSE),"")</f>
        <v>125</v>
      </c>
      <c r="E18" s="2" t="str">
        <f>IFERROR(VLOOKUP($C18,'_METADATA_TEMPLATE'!$B$2:$H$826,4,FALSE),"")</f>
        <v>SE2026 - L BLOK II</v>
      </c>
      <c r="F18" s="2" t="str">
        <f>IFERROR(VLOOKUP($C18,'_METADATA_TEMPLATE'!$B$2:$H$826,5,FALSE),"")</f>
        <v/>
      </c>
      <c r="G18" s="2" t="str">
        <f>IFERROR(VLOOKUP($C18,'_METADATA_TEMPLATE'!$B$2:$H$826,6,FALSE),"")</f>
        <v>• RT</v>
      </c>
      <c r="H18" s="2" t="str">
        <f>IFERROR(VLOOKUP($C18,'_METADATA_TEMPLATE'!$B$2:$H$826,7,FALSE),"")</f>
        <v>Text Input</v>
      </c>
      <c r="I18" s="2" t="str">
        <f>IFERROR(VLOOKUP(C18,'_METADATA_DEFAULT'!$A:$B,2,FALSE),"")</f>
        <v/>
      </c>
    </row>
    <row r="19">
      <c r="A19" s="3" t="s">
        <v>373</v>
      </c>
      <c r="B19" s="3" t="s">
        <v>426</v>
      </c>
      <c r="C19" s="3" t="s">
        <v>426</v>
      </c>
      <c r="D19" s="3">
        <f>IFERROR(VLOOKUP($C19,'_METADATA_TEMPLATE'!$B$2:$H$826,2,FALSE),"")</f>
        <v>126</v>
      </c>
      <c r="E19" s="3" t="str">
        <f>IFERROR(VLOOKUP($C19,'_METADATA_TEMPLATE'!$B$2:$H$826,4,FALSE),"")</f>
        <v>SE2026 - L BLOK II</v>
      </c>
      <c r="F19" s="3" t="str">
        <f>IFERROR(VLOOKUP($C19,'_METADATA_TEMPLATE'!$B$2:$H$826,5,FALSE),"")</f>
        <v/>
      </c>
      <c r="G19" s="3" t="str">
        <f>IFERROR(VLOOKUP($C19,'_METADATA_TEMPLATE'!$B$2:$H$826,6,FALSE),"")</f>
        <v>• RW</v>
      </c>
      <c r="H19" s="3" t="str">
        <f>IFERROR(VLOOKUP($C19,'_METADATA_TEMPLATE'!$B$2:$H$826,7,FALSE),"")</f>
        <v>Text Input</v>
      </c>
      <c r="I19" s="3" t="str">
        <f>IFERROR(VLOOKUP(C19,'_METADATA_DEFAULT'!$A:$B,2,FALSE),"")</f>
        <v/>
      </c>
    </row>
    <row r="20">
      <c r="A20" s="2" t="s">
        <v>373</v>
      </c>
      <c r="B20" s="2" t="s">
        <v>428</v>
      </c>
      <c r="C20" s="2" t="s">
        <v>428</v>
      </c>
      <c r="D20" s="2">
        <f>IFERROR(VLOOKUP($C20,'_METADATA_TEMPLATE'!$B$2:$H$826,2,FALSE),"")</f>
        <v>127</v>
      </c>
      <c r="E20" s="2" t="str">
        <f>IFERROR(VLOOKUP($C20,'_METADATA_TEMPLATE'!$B$2:$H$826,4,FALSE),"")</f>
        <v>SE2026 - L BLOK II</v>
      </c>
      <c r="F20" s="2" t="str">
        <f>IFERROR(VLOOKUP($C20,'_METADATA_TEMPLATE'!$B$2:$H$826,5,FALSE),"")</f>
        <v/>
      </c>
      <c r="G20" s="2" t="str">
        <f>IFERROR(VLOOKUP($C20,'_METADATA_TEMPLATE'!$B$2:$H$826,6,FALSE),"")</f>
        <v>• Kode Pos</v>
      </c>
      <c r="H20" s="2" t="str">
        <f>IFERROR(VLOOKUP($C20,'_METADATA_TEMPLATE'!$B$2:$H$826,7,FALSE),"")</f>
        <v>Variable</v>
      </c>
      <c r="I20" s="2" t="str">
        <f>IFERROR(VLOOKUP(C20,'_METADATA_DEFAULT'!$A:$B,2,FALSE),"")</f>
        <v/>
      </c>
    </row>
    <row r="21" ht="15.75" customHeight="1">
      <c r="A21" s="3" t="s">
        <v>373</v>
      </c>
      <c r="B21" s="3" t="s">
        <v>432</v>
      </c>
      <c r="C21" s="3" t="s">
        <v>432</v>
      </c>
      <c r="D21" s="3">
        <f>IFERROR(VLOOKUP($C21,'_METADATA_TEMPLATE'!$B$2:$H$826,2,FALSE),"")</f>
        <v>128</v>
      </c>
      <c r="E21" s="3" t="str">
        <f>IFERROR(VLOOKUP($C21,'_METADATA_TEMPLATE'!$B$2:$H$826,4,FALSE),"")</f>
        <v>SE2026 - L BLOK II</v>
      </c>
      <c r="F21" s="3" t="str">
        <f>IFERROR(VLOOKUP($C21,'_METADATA_TEMPLATE'!$B$2:$H$826,5,FALSE),"")</f>
        <v/>
      </c>
      <c r="G21" s="3" t="str">
        <f>IFERROR(VLOOKUP($C21,'_METADATA_TEMPLATE'!$B$2:$H$826,6,FALSE),"")</f>
        <v>- Kode Area</v>
      </c>
      <c r="H21" s="3" t="str">
        <f>IFERROR(VLOOKUP($C21,'_METADATA_TEMPLATE'!$B$2:$H$826,7,FALSE),"")</f>
        <v>Text Input</v>
      </c>
      <c r="I21" s="3" t="str">
        <f>IFERROR(VLOOKUP(C21,'_METADATA_DEFAULT'!$A:$B,2,FALSE),"")</f>
        <v/>
      </c>
    </row>
    <row r="22" ht="15.75" customHeight="1">
      <c r="A22" s="2" t="s">
        <v>373</v>
      </c>
      <c r="B22" s="2" t="s">
        <v>435</v>
      </c>
      <c r="C22" s="2" t="s">
        <v>435</v>
      </c>
      <c r="D22" s="2">
        <f>IFERROR(VLOOKUP($C22,'_METADATA_TEMPLATE'!$B$2:$H$826,2,FALSE),"")</f>
        <v>129</v>
      </c>
      <c r="E22" s="2" t="str">
        <f>IFERROR(VLOOKUP($C22,'_METADATA_TEMPLATE'!$B$2:$H$826,4,FALSE),"")</f>
        <v>SE2026 - L BLOK II</v>
      </c>
      <c r="F22" s="2" t="str">
        <f>IFERROR(VLOOKUP($C22,'_METADATA_TEMPLATE'!$B$2:$H$826,5,FALSE),"")</f>
        <v/>
      </c>
      <c r="G22" s="2" t="str">
        <f>IFERROR(VLOOKUP($C22,'_METADATA_TEMPLATE'!$B$2:$H$826,6,FALSE),"")</f>
        <v>- Nomor Telepon</v>
      </c>
      <c r="H22" s="2" t="str">
        <f>IFERROR(VLOOKUP($C22,'_METADATA_TEMPLATE'!$B$2:$H$826,7,FALSE),"")</f>
        <v>Text Input</v>
      </c>
      <c r="I22" s="2" t="str">
        <f>IFERROR(VLOOKUP(C22,'_METADATA_DEFAULT'!$A:$B,2,FALSE),"")</f>
        <v/>
      </c>
    </row>
    <row r="23" ht="15.75" customHeight="1">
      <c r="A23" s="3" t="s">
        <v>373</v>
      </c>
      <c r="B23" s="3" t="s">
        <v>437</v>
      </c>
      <c r="C23" s="3" t="s">
        <v>437</v>
      </c>
      <c r="D23" s="3">
        <f>IFERROR(VLOOKUP($C23,'_METADATA_TEMPLATE'!$B$2:$H$826,2,FALSE),"")</f>
        <v>130</v>
      </c>
      <c r="E23" s="3" t="str">
        <f>IFERROR(VLOOKUP($C23,'_METADATA_TEMPLATE'!$B$2:$H$826,4,FALSE),"")</f>
        <v>SE2026 - L BLOK II</v>
      </c>
      <c r="F23" s="3" t="str">
        <f>IFERROR(VLOOKUP($C23,'_METADATA_TEMPLATE'!$B$2:$H$826,5,FALSE),"")</f>
        <v/>
      </c>
      <c r="G23" s="3" t="str">
        <f>IFERROR(VLOOKUP($C23,'_METADATA_TEMPLATE'!$B$2:$H$826,6,FALSE),"")</f>
        <v>- Ekstensi</v>
      </c>
      <c r="H23" s="3" t="str">
        <f>IFERROR(VLOOKUP($C23,'_METADATA_TEMPLATE'!$B$2:$H$826,7,FALSE),"")</f>
        <v>Text Input</v>
      </c>
      <c r="I23" s="3" t="str">
        <f>IFERROR(VLOOKUP(C23,'_METADATA_DEFAULT'!$A:$B,2,FALSE),"")</f>
        <v/>
      </c>
    </row>
    <row r="24" ht="15.75" customHeight="1">
      <c r="A24" s="2" t="s">
        <v>373</v>
      </c>
      <c r="B24" s="2" t="s">
        <v>10</v>
      </c>
      <c r="C24" s="2" t="s">
        <v>10</v>
      </c>
      <c r="D24" s="2">
        <f>IFERROR(VLOOKUP($C24,'_METADATA_TEMPLATE'!$B$2:$H$826,2,FALSE),"")</f>
        <v>131</v>
      </c>
      <c r="E24" s="2" t="str">
        <f>IFERROR(VLOOKUP($C24,'_METADATA_TEMPLATE'!$B$2:$H$826,4,FALSE),"")</f>
        <v>SE2026 - L BLOK II</v>
      </c>
      <c r="F24" s="2" t="str">
        <f>IFERROR(VLOOKUP($C24,'_METADATA_TEMPLATE'!$B$2:$H$826,5,FALSE),"")</f>
        <v/>
      </c>
      <c r="G24" s="2" t="str">
        <f>IFERROR(VLOOKUP($C24,'_METADATA_TEMPLATE'!$B$2:$H$826,6,FALSE),"")</f>
        <v>• Email</v>
      </c>
      <c r="H24" s="2" t="str">
        <f>IFERROR(VLOOKUP($C24,'_METADATA_TEMPLATE'!$B$2:$H$826,7,FALSE),"")</f>
        <v>Text Input</v>
      </c>
      <c r="I24" s="2" t="str">
        <f>IFERROR(VLOOKUP(C24,'_METADATA_DEFAULT'!$A:$B,2,FALSE),"")</f>
        <v/>
      </c>
    </row>
    <row r="25" ht="15.75" customHeight="1">
      <c r="A25" s="3" t="s">
        <v>373</v>
      </c>
      <c r="B25" s="3" t="s">
        <v>445</v>
      </c>
      <c r="C25" s="3" t="s">
        <v>445</v>
      </c>
      <c r="D25" s="3">
        <f>IFERROR(VLOOKUP($C25,'_METADATA_TEMPLATE'!$B$2:$H$826,2,FALSE),"")</f>
        <v>132</v>
      </c>
      <c r="E25" s="3" t="str">
        <f>IFERROR(VLOOKUP($C25,'_METADATA_TEMPLATE'!$B$2:$H$826,4,FALSE),"")</f>
        <v>SE2026 - L BLOK II</v>
      </c>
      <c r="F25" s="3" t="str">
        <f>IFERROR(VLOOKUP($C25,'_METADATA_TEMPLATE'!$B$2:$H$826,5,FALSE),"")</f>
        <v/>
      </c>
      <c r="G25" s="3" t="str">
        <f>IFERROR(VLOOKUP($C25,'_METADATA_TEMPLATE'!$B$2:$H$826,6,FALSE),"")</f>
        <v>• Nomor HP/whatsapp:</v>
      </c>
      <c r="H25" s="3" t="str">
        <f>IFERROR(VLOOKUP($C25,'_METADATA_TEMPLATE'!$B$2:$H$826,7,FALSE),"")</f>
        <v>Text Input</v>
      </c>
      <c r="I25" s="3" t="str">
        <f>IFERROR(VLOOKUP(C25,'_METADATA_DEFAULT'!$A:$B,2,FALSE),"")</f>
        <v/>
      </c>
    </row>
    <row r="26" ht="15.75" customHeight="1">
      <c r="A26" s="2" t="s">
        <v>373</v>
      </c>
      <c r="B26" s="2" t="s">
        <v>447</v>
      </c>
      <c r="C26" s="2" t="s">
        <v>447</v>
      </c>
      <c r="D26" s="2">
        <f>IFERROR(VLOOKUP($C26,'_METADATA_TEMPLATE'!$B$2:$H$826,2,FALSE),"")</f>
        <v>133</v>
      </c>
      <c r="E26" s="2" t="str">
        <f>IFERROR(VLOOKUP($C26,'_METADATA_TEMPLATE'!$B$2:$H$826,4,FALSE),"")</f>
        <v>SE2026 - L BLOK II</v>
      </c>
      <c r="F26" s="2" t="str">
        <f>IFERROR(VLOOKUP($C26,'_METADATA_TEMPLATE'!$B$2:$H$826,5,FALSE),"")</f>
        <v/>
      </c>
      <c r="G26" s="2" t="str">
        <f>IFERROR(VLOOKUP($C26,'_METADATA_TEMPLATE'!$B$2:$H$826,6,FALSE),"")</f>
        <v>• Homepage/website Alamat website diawali dengan www. Contoh : www.bps.go.id</v>
      </c>
      <c r="H26" s="2" t="str">
        <f>IFERROR(VLOOKUP($C26,'_METADATA_TEMPLATE'!$B$2:$H$826,7,FALSE),"")</f>
        <v>Text Input</v>
      </c>
      <c r="I26" s="2" t="str">
        <f>IFERROR(VLOOKUP(C26,'_METADATA_DEFAULT'!$A:$B,2,FALSE),"")</f>
        <v/>
      </c>
    </row>
    <row r="27" ht="15.75" customHeight="1">
      <c r="A27" s="3" t="s">
        <v>373</v>
      </c>
      <c r="B27" s="3" t="s">
        <v>451</v>
      </c>
      <c r="C27" s="3" t="s">
        <v>452</v>
      </c>
      <c r="D27" s="3">
        <f>IFERROR(VLOOKUP($C27,'_METADATA_TEMPLATE'!$B$2:$H$826,2,FALSE),"")</f>
        <v>134</v>
      </c>
      <c r="E27" s="3" t="str">
        <f>IFERROR(VLOOKUP($C27,'_METADATA_TEMPLATE'!$B$2:$H$826,4,FALSE),"")</f>
        <v>SE2026 - L BLOK II</v>
      </c>
      <c r="F27" s="3" t="str">
        <f>IFERROR(VLOOKUP($C27,'_METADATA_TEMPLATE'!$B$2:$H$826,5,FALSE),"")</f>
        <v>8</v>
      </c>
      <c r="G27" s="3" t="str">
        <f>IFERROR(VLOOKUP($C27,'_METADATA_TEMPLATE'!$B$2:$H$826,6,FALSE),"")</f>
        <v>d. Jenis kawasan beroperasi</v>
      </c>
      <c r="H27" s="3" t="str">
        <f>IFERROR(VLOOKUP($C27,'_METADATA_TEMPLATE'!$B$2:$H$826,7,FALSE),"")</f>
        <v>Radio Group</v>
      </c>
      <c r="I27" s="3" t="str">
        <f>IFERROR(VLOOKUP(C27,'_METADATA_DEFAULT'!$A:$B,2,FALSE),"")</f>
        <v/>
      </c>
    </row>
    <row r="28" ht="15.75" customHeight="1">
      <c r="A28" s="2" t="s">
        <v>373</v>
      </c>
      <c r="B28" s="2" t="s">
        <v>454</v>
      </c>
      <c r="C28" s="2" t="s">
        <v>452</v>
      </c>
      <c r="D28" s="2">
        <f>IFERROR(VLOOKUP($C28,'_METADATA_TEMPLATE'!$B$2:$H$826,2,FALSE),"")</f>
        <v>134</v>
      </c>
      <c r="E28" s="2" t="str">
        <f>IFERROR(VLOOKUP($C28,'_METADATA_TEMPLATE'!$B$2:$H$826,4,FALSE),"")</f>
        <v>SE2026 - L BLOK II</v>
      </c>
      <c r="F28" s="2" t="str">
        <f>IFERROR(VLOOKUP($C28,'_METADATA_TEMPLATE'!$B$2:$H$826,5,FALSE),"")</f>
        <v>8</v>
      </c>
      <c r="G28" s="2" t="str">
        <f>IFERROR(VLOOKUP($C28,'_METADATA_TEMPLATE'!$B$2:$H$826,6,FALSE),"")</f>
        <v>d. Jenis kawasan beroperasi</v>
      </c>
      <c r="H28" s="2" t="str">
        <f>IFERROR(VLOOKUP($C28,'_METADATA_TEMPLATE'!$B$2:$H$826,7,FALSE),"")</f>
        <v>Radio Group</v>
      </c>
      <c r="I28" s="2" t="str">
        <f>IFERROR(VLOOKUP(C28,'_METADATA_DEFAULT'!$A:$B,2,FALSE),"")</f>
        <v/>
      </c>
    </row>
    <row r="29" ht="15.75" customHeight="1">
      <c r="A29" s="3" t="s">
        <v>373</v>
      </c>
      <c r="B29" s="3" t="s">
        <v>456</v>
      </c>
      <c r="C29" s="3" t="s">
        <v>457</v>
      </c>
      <c r="D29" s="3">
        <f>IFERROR(VLOOKUP($C29,'_METADATA_TEMPLATE'!$B$2:$H$826,2,FALSE),"")</f>
        <v>135</v>
      </c>
      <c r="E29" s="3" t="str">
        <f>IFERROR(VLOOKUP($C29,'_METADATA_TEMPLATE'!$B$2:$H$826,4,FALSE),"")</f>
        <v>SE2026 - L BLOK II</v>
      </c>
      <c r="F29" s="3" t="str">
        <f>IFERROR(VLOOKUP($C29,'_METADATA_TEMPLATE'!$B$2:$H$826,5,FALSE),"")</f>
        <v>8</v>
      </c>
      <c r="G29" s="3" t="str">
        <f>IFERROR(VLOOKUP($C29,'_METADATA_TEMPLATE'!$B$2:$H$826,6,FALSE),"")</f>
        <v>e. Nama KEK/KI</v>
      </c>
      <c r="H29" s="3" t="str">
        <f>IFERROR(VLOOKUP($C29,'_METADATA_TEMPLATE'!$B$2:$H$826,7,FALSE),"")</f>
        <v>Select</v>
      </c>
      <c r="I29" s="3" t="str">
        <f>IFERROR(VLOOKUP(C29,'_METADATA_DEFAULT'!$A:$B,2,FALSE),"")</f>
        <v/>
      </c>
    </row>
    <row r="30" ht="15.75" customHeight="1">
      <c r="A30" s="2" t="s">
        <v>373</v>
      </c>
      <c r="B30" s="2" t="s">
        <v>461</v>
      </c>
      <c r="C30" s="2" t="s">
        <v>457</v>
      </c>
      <c r="D30" s="2">
        <f>IFERROR(VLOOKUP($C30,'_METADATA_TEMPLATE'!$B$2:$H$826,2,FALSE),"")</f>
        <v>135</v>
      </c>
      <c r="E30" s="2" t="str">
        <f>IFERROR(VLOOKUP($C30,'_METADATA_TEMPLATE'!$B$2:$H$826,4,FALSE),"")</f>
        <v>SE2026 - L BLOK II</v>
      </c>
      <c r="F30" s="2" t="str">
        <f>IFERROR(VLOOKUP($C30,'_METADATA_TEMPLATE'!$B$2:$H$826,5,FALSE),"")</f>
        <v>8</v>
      </c>
      <c r="G30" s="2" t="str">
        <f>IFERROR(VLOOKUP($C30,'_METADATA_TEMPLATE'!$B$2:$H$826,6,FALSE),"")</f>
        <v>e. Nama KEK/KI</v>
      </c>
      <c r="H30" s="2" t="str">
        <f>IFERROR(VLOOKUP($C30,'_METADATA_TEMPLATE'!$B$2:$H$826,7,FALSE),"")</f>
        <v>Select</v>
      </c>
      <c r="I30" s="2" t="str">
        <f>IFERROR(VLOOKUP(C30,'_METADATA_DEFAULT'!$A:$B,2,FALSE),"")</f>
        <v/>
      </c>
    </row>
    <row r="31" ht="15.75" customHeight="1">
      <c r="A31" s="3" t="s">
        <v>373</v>
      </c>
      <c r="B31" s="3" t="s">
        <v>463</v>
      </c>
      <c r="C31" s="3" t="s">
        <v>463</v>
      </c>
      <c r="D31" s="3">
        <f>IFERROR(VLOOKUP($C31,'_METADATA_TEMPLATE'!$B$2:$H$826,2,FALSE),"")</f>
        <v>136</v>
      </c>
      <c r="E31" s="3" t="str">
        <f>IFERROR(VLOOKUP($C31,'_METADATA_TEMPLATE'!$B$2:$H$826,4,FALSE),"")</f>
        <v>SE2026 - L BLOK II</v>
      </c>
      <c r="F31" s="3" t="str">
        <f>IFERROR(VLOOKUP($C31,'_METADATA_TEMPLATE'!$B$2:$H$826,5,FALSE),"")</f>
        <v>8</v>
      </c>
      <c r="G31" s="3" t="str">
        <f>IFERROR(VLOOKUP($C31,'_METADATA_TEMPLATE'!$B$2:$H$826,6,FALSE),"")</f>
        <v>e. Nama kawasan Contoh: KEK Mandalika, Kawasan Industri Jababeka, Stasiun Gambir, Bandara Soekarno-Hatta, Pelabuhan Tanjung Priok, Terminal Pulo Gebang, Rest Area KM 57 Tol Jakarta–Cikampek, Sentra Batik Laweyan, Kompleks Pertokoan ITC Mangga Dua</v>
      </c>
      <c r="H31" s="3" t="str">
        <f>IFERROR(VLOOKUP($C31,'_METADATA_TEMPLATE'!$B$2:$H$826,7,FALSE),"")</f>
        <v>Text Input</v>
      </c>
      <c r="I31" s="3" t="str">
        <f>IFERROR(VLOOKUP(C31,'_METADATA_DEFAULT'!$A:$B,2,FALSE),"")</f>
        <v/>
      </c>
    </row>
    <row r="32" ht="15.75" customHeight="1">
      <c r="A32" s="2" t="s">
        <v>373</v>
      </c>
      <c r="B32" s="2" t="s">
        <v>467</v>
      </c>
      <c r="C32" s="2" t="s">
        <v>468</v>
      </c>
      <c r="D32" s="2">
        <f>IFERROR(VLOOKUP($C32,'_METADATA_TEMPLATE'!$B$2:$H$826,2,FALSE),"")</f>
        <v>137</v>
      </c>
      <c r="E32" s="2" t="str">
        <f>IFERROR(VLOOKUP($C32,'_METADATA_TEMPLATE'!$B$2:$H$826,4,FALSE),"")</f>
        <v>SE2026 - L BLOK II</v>
      </c>
      <c r="F32" s="2" t="str">
        <f>IFERROR(VLOOKUP($C32,'_METADATA_TEMPLATE'!$B$2:$H$826,5,FALSE),"")</f>
        <v>9</v>
      </c>
      <c r="G32" s="2" t="str">
        <f>IFERROR(VLOOKUP($C32,'_METADATA_TEMPLATE'!$B$2:$H$826,6,FALSE),"")</f>
        <v>a. Apa jenis usaha/perusahaan ini?</v>
      </c>
      <c r="H32" s="2" t="str">
        <f>IFERROR(VLOOKUP($C32,'_METADATA_TEMPLATE'!$B$2:$H$826,7,FALSE),"")</f>
        <v>Radio Group</v>
      </c>
      <c r="I32" s="2" t="str">
        <f>IFERROR(VLOOKUP(C32,'_METADATA_DEFAULT'!$A:$B,2,FALSE),"")</f>
        <v/>
      </c>
    </row>
    <row r="33" ht="15.75" customHeight="1">
      <c r="A33" s="3" t="s">
        <v>373</v>
      </c>
      <c r="B33" s="3" t="s">
        <v>471</v>
      </c>
      <c r="C33" s="3" t="s">
        <v>468</v>
      </c>
      <c r="D33" s="3">
        <f>IFERROR(VLOOKUP($C33,'_METADATA_TEMPLATE'!$B$2:$H$826,2,FALSE),"")</f>
        <v>137</v>
      </c>
      <c r="E33" s="3" t="str">
        <f>IFERROR(VLOOKUP($C33,'_METADATA_TEMPLATE'!$B$2:$H$826,4,FALSE),"")</f>
        <v>SE2026 - L BLOK II</v>
      </c>
      <c r="F33" s="3" t="str">
        <f>IFERROR(VLOOKUP($C33,'_METADATA_TEMPLATE'!$B$2:$H$826,5,FALSE),"")</f>
        <v>9</v>
      </c>
      <c r="G33" s="3" t="str">
        <f>IFERROR(VLOOKUP($C33,'_METADATA_TEMPLATE'!$B$2:$H$826,6,FALSE),"")</f>
        <v>a. Apa jenis usaha/perusahaan ini?</v>
      </c>
      <c r="H33" s="3" t="str">
        <f>IFERROR(VLOOKUP($C33,'_METADATA_TEMPLATE'!$B$2:$H$826,7,FALSE),"")</f>
        <v>Radio Group</v>
      </c>
      <c r="I33" s="3" t="str">
        <f>IFERROR(VLOOKUP(C33,'_METADATA_DEFAULT'!$A:$B,2,FALSE),"")</f>
        <v/>
      </c>
    </row>
    <row r="34" ht="15.75" customHeight="1">
      <c r="A34" s="2" t="s">
        <v>373</v>
      </c>
      <c r="B34" s="2" t="s">
        <v>473</v>
      </c>
      <c r="C34" s="2" t="s">
        <v>473</v>
      </c>
      <c r="D34" s="2">
        <f>IFERROR(VLOOKUP($C34,'_METADATA_TEMPLATE'!$B$2:$H$826,2,FALSE),"")</f>
        <v>138</v>
      </c>
      <c r="E34" s="2" t="str">
        <f>IFERROR(VLOOKUP($C34,'_METADATA_TEMPLATE'!$B$2:$H$826,4,FALSE),"")</f>
        <v>SE2026 - L BLOK II</v>
      </c>
      <c r="F34" s="2" t="str">
        <f>IFERROR(VLOOKUP($C34,'_METADATA_TEMPLATE'!$B$2:$H$826,5,FALSE),"")</f>
        <v>9</v>
      </c>
      <c r="G34" s="2" t="str">
        <f>IFERROR(VLOOKUP($C34,'_METADATA_TEMPLATE'!$B$2:$H$826,6,FALSE),"")</f>
        <v>b1. Alamat/lokasi usaha utama</v>
      </c>
      <c r="H34" s="2" t="str">
        <f>IFERROR(VLOOKUP($C34,'_METADATA_TEMPLATE'!$B$2:$H$826,7,FALSE),"")</f>
        <v>Text Area</v>
      </c>
      <c r="I34" s="2" t="str">
        <f>IFERROR(VLOOKUP(C34,'_METADATA_DEFAULT'!$A:$B,2,FALSE),"")</f>
        <v/>
      </c>
    </row>
    <row r="35" ht="15.75" customHeight="1">
      <c r="A35" s="3" t="s">
        <v>373</v>
      </c>
      <c r="B35" s="3" t="s">
        <v>477</v>
      </c>
      <c r="C35" s="3" t="s">
        <v>478</v>
      </c>
      <c r="D35" s="3">
        <f>IFERROR(VLOOKUP($C35,'_METADATA_TEMPLATE'!$B$2:$H$826,2,FALSE),"")</f>
        <v>139</v>
      </c>
      <c r="E35" s="3" t="str">
        <f>IFERROR(VLOOKUP($C35,'_METADATA_TEMPLATE'!$B$2:$H$826,4,FALSE),"")</f>
        <v>SE2026 - L BLOK II</v>
      </c>
      <c r="F35" s="3" t="str">
        <f>IFERROR(VLOOKUP($C35,'_METADATA_TEMPLATE'!$B$2:$H$826,5,FALSE),"")</f>
        <v>9</v>
      </c>
      <c r="G35" s="3" t="str">
        <f>IFERROR(VLOOKUP($C35,'_METADATA_TEMPLATE'!$B$2:$H$826,6,FALSE),"")</f>
        <v>b2. Provinsi</v>
      </c>
      <c r="H35" s="3" t="str">
        <f>IFERROR(VLOOKUP($C35,'_METADATA_TEMPLATE'!$B$2:$H$826,7,FALSE),"")</f>
        <v>Select</v>
      </c>
      <c r="I35" s="3" t="str">
        <f>IFERROR(VLOOKUP(C35,'_METADATA_DEFAULT'!$A:$B,2,FALSE),"")</f>
        <v/>
      </c>
    </row>
    <row r="36" ht="15.75" customHeight="1">
      <c r="A36" s="2" t="s">
        <v>373</v>
      </c>
      <c r="B36" s="2" t="s">
        <v>481</v>
      </c>
      <c r="C36" s="2" t="s">
        <v>478</v>
      </c>
      <c r="D36" s="2">
        <f>IFERROR(VLOOKUP($C36,'_METADATA_TEMPLATE'!$B$2:$H$826,2,FALSE),"")</f>
        <v>139</v>
      </c>
      <c r="E36" s="2" t="str">
        <f>IFERROR(VLOOKUP($C36,'_METADATA_TEMPLATE'!$B$2:$H$826,4,FALSE),"")</f>
        <v>SE2026 - L BLOK II</v>
      </c>
      <c r="F36" s="2" t="str">
        <f>IFERROR(VLOOKUP($C36,'_METADATA_TEMPLATE'!$B$2:$H$826,5,FALSE),"")</f>
        <v>9</v>
      </c>
      <c r="G36" s="2" t="str">
        <f>IFERROR(VLOOKUP($C36,'_METADATA_TEMPLATE'!$B$2:$H$826,6,FALSE),"")</f>
        <v>b2. Provinsi</v>
      </c>
      <c r="H36" s="2" t="str">
        <f>IFERROR(VLOOKUP($C36,'_METADATA_TEMPLATE'!$B$2:$H$826,7,FALSE),"")</f>
        <v>Select</v>
      </c>
      <c r="I36" s="2" t="str">
        <f>IFERROR(VLOOKUP(C36,'_METADATA_DEFAULT'!$A:$B,2,FALSE),"")</f>
        <v/>
      </c>
    </row>
    <row r="37" ht="15.75" customHeight="1">
      <c r="A37" s="3" t="s">
        <v>373</v>
      </c>
      <c r="B37" s="3" t="s">
        <v>483</v>
      </c>
      <c r="C37" s="3" t="s">
        <v>484</v>
      </c>
      <c r="D37" s="3">
        <f>IFERROR(VLOOKUP($C37,'_METADATA_TEMPLATE'!$B$2:$H$826,2,FALSE),"")</f>
        <v>140</v>
      </c>
      <c r="E37" s="3" t="str">
        <f>IFERROR(VLOOKUP($C37,'_METADATA_TEMPLATE'!$B$2:$H$826,4,FALSE),"")</f>
        <v>SE2026 - L BLOK II</v>
      </c>
      <c r="F37" s="3" t="str">
        <f>IFERROR(VLOOKUP($C37,'_METADATA_TEMPLATE'!$B$2:$H$826,5,FALSE),"")</f>
        <v>9</v>
      </c>
      <c r="G37" s="3" t="str">
        <f>IFERROR(VLOOKUP($C37,'_METADATA_TEMPLATE'!$B$2:$H$826,6,FALSE),"")</f>
        <v>b3. Kabupaten/Kota</v>
      </c>
      <c r="H37" s="3" t="str">
        <f>IFERROR(VLOOKUP($C37,'_METADATA_TEMPLATE'!$B$2:$H$826,7,FALSE),"")</f>
        <v>Select</v>
      </c>
      <c r="I37" s="3" t="str">
        <f>IFERROR(VLOOKUP(C37,'_METADATA_DEFAULT'!$A:$B,2,FALSE),"")</f>
        <v/>
      </c>
    </row>
    <row r="38" ht="15.75" customHeight="1">
      <c r="A38" s="2" t="s">
        <v>373</v>
      </c>
      <c r="B38" s="2" t="s">
        <v>488</v>
      </c>
      <c r="C38" s="2" t="s">
        <v>484</v>
      </c>
      <c r="D38" s="2">
        <f>IFERROR(VLOOKUP($C38,'_METADATA_TEMPLATE'!$B$2:$H$826,2,FALSE),"")</f>
        <v>140</v>
      </c>
      <c r="E38" s="2" t="str">
        <f>IFERROR(VLOOKUP($C38,'_METADATA_TEMPLATE'!$B$2:$H$826,4,FALSE),"")</f>
        <v>SE2026 - L BLOK II</v>
      </c>
      <c r="F38" s="2" t="str">
        <f>IFERROR(VLOOKUP($C38,'_METADATA_TEMPLATE'!$B$2:$H$826,5,FALSE),"")</f>
        <v>9</v>
      </c>
      <c r="G38" s="2" t="str">
        <f>IFERROR(VLOOKUP($C38,'_METADATA_TEMPLATE'!$B$2:$H$826,6,FALSE),"")</f>
        <v>b3. Kabupaten/Kota</v>
      </c>
      <c r="H38" s="2" t="str">
        <f>IFERROR(VLOOKUP($C38,'_METADATA_TEMPLATE'!$B$2:$H$826,7,FALSE),"")</f>
        <v>Select</v>
      </c>
      <c r="I38" s="2" t="str">
        <f>IFERROR(VLOOKUP(C38,'_METADATA_DEFAULT'!$A:$B,2,FALSE),"")</f>
        <v/>
      </c>
    </row>
    <row r="39" ht="15.75" customHeight="1">
      <c r="A39" s="3" t="s">
        <v>373</v>
      </c>
      <c r="B39" s="3" t="s">
        <v>491</v>
      </c>
      <c r="C39" s="3" t="s">
        <v>492</v>
      </c>
      <c r="D39" s="3">
        <f>IFERROR(VLOOKUP($C39,'_METADATA_TEMPLATE'!$B$2:$H$826,2,FALSE),"")</f>
        <v>141</v>
      </c>
      <c r="E39" s="3" t="str">
        <f>IFERROR(VLOOKUP($C39,'_METADATA_TEMPLATE'!$B$2:$H$826,4,FALSE),"")</f>
        <v>SE2026 - L BLOK II</v>
      </c>
      <c r="F39" s="3" t="str">
        <f>IFERROR(VLOOKUP($C39,'_METADATA_TEMPLATE'!$B$2:$H$826,5,FALSE),"")</f>
        <v>10</v>
      </c>
      <c r="G39" s="3" t="str">
        <f>IFERROR(VLOOKUP($C39,'_METADATA_TEMPLATE'!$B$2:$H$826,6,FALSE),"")</f>
        <v>a. Apakah memiliki Nomor Induk Berusaha (NIB)?</v>
      </c>
      <c r="H39" s="3" t="str">
        <f>IFERROR(VLOOKUP($C39,'_METADATA_TEMPLATE'!$B$2:$H$826,7,FALSE),"")</f>
        <v>Radio Group</v>
      </c>
      <c r="I39" s="3" t="str">
        <f>IFERROR(VLOOKUP(C39,'_METADATA_DEFAULT'!$A:$B,2,FALSE),"")</f>
        <v/>
      </c>
    </row>
    <row r="40" ht="15.75" customHeight="1">
      <c r="A40" s="2" t="s">
        <v>373</v>
      </c>
      <c r="B40" s="2" t="s">
        <v>494</v>
      </c>
      <c r="C40" s="2" t="s">
        <v>492</v>
      </c>
      <c r="D40" s="2">
        <f>IFERROR(VLOOKUP($C40,'_METADATA_TEMPLATE'!$B$2:$H$826,2,FALSE),"")</f>
        <v>141</v>
      </c>
      <c r="E40" s="2" t="str">
        <f>IFERROR(VLOOKUP($C40,'_METADATA_TEMPLATE'!$B$2:$H$826,4,FALSE),"")</f>
        <v>SE2026 - L BLOK II</v>
      </c>
      <c r="F40" s="2" t="str">
        <f>IFERROR(VLOOKUP($C40,'_METADATA_TEMPLATE'!$B$2:$H$826,5,FALSE),"")</f>
        <v>10</v>
      </c>
      <c r="G40" s="2" t="str">
        <f>IFERROR(VLOOKUP($C40,'_METADATA_TEMPLATE'!$B$2:$H$826,6,FALSE),"")</f>
        <v>a. Apakah memiliki Nomor Induk Berusaha (NIB)?</v>
      </c>
      <c r="H40" s="2" t="str">
        <f>IFERROR(VLOOKUP($C40,'_METADATA_TEMPLATE'!$B$2:$H$826,7,FALSE),"")</f>
        <v>Radio Group</v>
      </c>
      <c r="I40" s="2" t="str">
        <f>IFERROR(VLOOKUP(C40,'_METADATA_DEFAULT'!$A:$B,2,FALSE),"")</f>
        <v/>
      </c>
    </row>
    <row r="41" ht="15.75" customHeight="1">
      <c r="A41" s="3" t="s">
        <v>373</v>
      </c>
      <c r="B41" s="3" t="s">
        <v>497</v>
      </c>
      <c r="C41" s="3" t="s">
        <v>497</v>
      </c>
      <c r="D41" s="3">
        <f>IFERROR(VLOOKUP($C41,'_METADATA_TEMPLATE'!$B$2:$H$826,2,FALSE),"")</f>
        <v>142</v>
      </c>
      <c r="E41" s="3" t="str">
        <f>IFERROR(VLOOKUP($C41,'_METADATA_TEMPLATE'!$B$2:$H$826,4,FALSE),"")</f>
        <v>SE2026 - L BLOK II</v>
      </c>
      <c r="F41" s="3" t="str">
        <f>IFERROR(VLOOKUP($C41,'_METADATA_TEMPLATE'!$B$2:$H$826,5,FALSE),"")</f>
        <v>10</v>
      </c>
      <c r="G41" s="3" t="str">
        <f>IFERROR(VLOOKUP($C41,'_METADATA_TEMPLATE'!$B$2:$H$826,6,FALSE),"")</f>
        <v>b. Tuliskan NIB:</v>
      </c>
      <c r="H41" s="3" t="str">
        <f>IFERROR(VLOOKUP($C41,'_METADATA_TEMPLATE'!$B$2:$H$826,7,FALSE),"")</f>
        <v>Text Input</v>
      </c>
      <c r="I41" s="3" t="str">
        <f>IFERROR(VLOOKUP(C41,'_METADATA_DEFAULT'!$A:$B,2,FALSE),"")</f>
        <v/>
      </c>
    </row>
    <row r="42" ht="15.75" customHeight="1">
      <c r="A42" s="2" t="s">
        <v>373</v>
      </c>
      <c r="B42" s="2" t="s">
        <v>499</v>
      </c>
      <c r="C42" s="2" t="s">
        <v>500</v>
      </c>
      <c r="D42" s="2">
        <f>IFERROR(VLOOKUP($C42,'_METADATA_TEMPLATE'!$B$2:$H$826,2,FALSE),"")</f>
        <v>144</v>
      </c>
      <c r="E42" s="2" t="str">
        <f>IFERROR(VLOOKUP($C42,'_METADATA_TEMPLATE'!$B$2:$H$826,4,FALSE),"")</f>
        <v>SE2026 - L BLOK II</v>
      </c>
      <c r="F42" s="2" t="str">
        <f>IFERROR(VLOOKUP($C42,'_METADATA_TEMPLATE'!$B$2:$H$826,5,FALSE),"")</f>
        <v>10</v>
      </c>
      <c r="G42" s="2" t="str">
        <f>IFERROR(VLOOKUP($C42,'_METADATA_TEMPLATE'!$B$2:$H$826,6,FALSE),"")</f>
        <v>c. Apa alasan utama tidak memiliki NIB?</v>
      </c>
      <c r="H42" s="2" t="str">
        <f>IFERROR(VLOOKUP($C42,'_METADATA_TEMPLATE'!$B$2:$H$826,7,FALSE),"")</f>
        <v>Radio Group</v>
      </c>
      <c r="I42" s="2" t="str">
        <f>IFERROR(VLOOKUP(C42,'_METADATA_DEFAULT'!$A:$B,2,FALSE),"")</f>
        <v/>
      </c>
    </row>
    <row r="43" ht="15.75" customHeight="1">
      <c r="A43" s="3" t="s">
        <v>373</v>
      </c>
      <c r="B43" s="3" t="s">
        <v>503</v>
      </c>
      <c r="C43" s="3" t="s">
        <v>500</v>
      </c>
      <c r="D43" s="3">
        <f>IFERROR(VLOOKUP($C43,'_METADATA_TEMPLATE'!$B$2:$H$826,2,FALSE),"")</f>
        <v>144</v>
      </c>
      <c r="E43" s="3" t="str">
        <f>IFERROR(VLOOKUP($C43,'_METADATA_TEMPLATE'!$B$2:$H$826,4,FALSE),"")</f>
        <v>SE2026 - L BLOK II</v>
      </c>
      <c r="F43" s="3" t="str">
        <f>IFERROR(VLOOKUP($C43,'_METADATA_TEMPLATE'!$B$2:$H$826,5,FALSE),"")</f>
        <v>10</v>
      </c>
      <c r="G43" s="3" t="str">
        <f>IFERROR(VLOOKUP($C43,'_METADATA_TEMPLATE'!$B$2:$H$826,6,FALSE),"")</f>
        <v>c. Apa alasan utama tidak memiliki NIB?</v>
      </c>
      <c r="H43" s="3" t="str">
        <f>IFERROR(VLOOKUP($C43,'_METADATA_TEMPLATE'!$B$2:$H$826,7,FALSE),"")</f>
        <v>Radio Group</v>
      </c>
      <c r="I43" s="3" t="str">
        <f>IFERROR(VLOOKUP(C43,'_METADATA_DEFAULT'!$A:$B,2,FALSE),"")</f>
        <v/>
      </c>
    </row>
    <row r="44" ht="15.75" customHeight="1">
      <c r="A44" s="2" t="s">
        <v>373</v>
      </c>
      <c r="B44" s="2" t="s">
        <v>505</v>
      </c>
      <c r="C44" s="2" t="s">
        <v>505</v>
      </c>
      <c r="D44" s="2">
        <f>IFERROR(VLOOKUP($C44,'_METADATA_TEMPLATE'!$B$2:$H$826,2,FALSE),"")</f>
        <v>145</v>
      </c>
      <c r="E44" s="2" t="str">
        <f>IFERROR(VLOOKUP($C44,'_METADATA_TEMPLATE'!$B$2:$H$826,4,FALSE),"")</f>
        <v>SE2026 - L BLOK II</v>
      </c>
      <c r="F44" s="2" t="str">
        <f>IFERROR(VLOOKUP($C44,'_METADATA_TEMPLATE'!$B$2:$H$826,5,FALSE),"")</f>
        <v>10</v>
      </c>
      <c r="G44" s="2" t="str">
        <f>IFERROR(VLOOKUP($C44,'_METADATA_TEMPLATE'!$B$2:$H$826,6,FALSE),"")</f>
        <v>c. Lainnya, tuliskan....</v>
      </c>
      <c r="H44" s="2" t="str">
        <f>IFERROR(VLOOKUP($C44,'_METADATA_TEMPLATE'!$B$2:$H$826,7,FALSE),"")</f>
        <v>Text Input</v>
      </c>
      <c r="I44" s="2" t="str">
        <f>IFERROR(VLOOKUP(C44,'_METADATA_DEFAULT'!$A:$B,2,FALSE),"")</f>
        <v/>
      </c>
    </row>
    <row r="45" ht="15.75" customHeight="1">
      <c r="A45" s="3" t="s">
        <v>373</v>
      </c>
      <c r="B45" s="3" t="s">
        <v>508</v>
      </c>
      <c r="C45" s="3" t="s">
        <v>509</v>
      </c>
      <c r="D45" s="3">
        <f>IFERROR(VLOOKUP($C45,'_METADATA_TEMPLATE'!$B$2:$H$826,2,FALSE),"")</f>
        <v>146</v>
      </c>
      <c r="E45" s="3" t="str">
        <f>IFERROR(VLOOKUP($C45,'_METADATA_TEMPLATE'!$B$2:$H$826,4,FALSE),"")</f>
        <v>SE2026 - L BLOK II</v>
      </c>
      <c r="F45" s="3" t="str">
        <f>IFERROR(VLOOKUP($C45,'_METADATA_TEMPLATE'!$B$2:$H$826,5,FALSE),"")</f>
        <v>11</v>
      </c>
      <c r="G45" s="3" t="str">
        <f>IFERROR(VLOOKUP($C45,'_METADATA_TEMPLATE'!$B$2:$H$826,6,FALSE),"")</f>
        <v>a. Apa status badan usaha dari usaha/perusahaan ini?</v>
      </c>
      <c r="H45" s="3" t="str">
        <f>IFERROR(VLOOKUP($C45,'_METADATA_TEMPLATE'!$B$2:$H$826,7,FALSE),"")</f>
        <v>Radio Group</v>
      </c>
      <c r="I45" s="3" t="str">
        <f>IFERROR(VLOOKUP(C45,'_METADATA_DEFAULT'!$A:$B,2,FALSE),"")</f>
        <v/>
      </c>
    </row>
    <row r="46" ht="15.75" customHeight="1">
      <c r="A46" s="2" t="s">
        <v>373</v>
      </c>
      <c r="B46" s="2" t="s">
        <v>511</v>
      </c>
      <c r="C46" s="2" t="s">
        <v>509</v>
      </c>
      <c r="D46" s="2">
        <f>IFERROR(VLOOKUP($C46,'_METADATA_TEMPLATE'!$B$2:$H$826,2,FALSE),"")</f>
        <v>146</v>
      </c>
      <c r="E46" s="2" t="str">
        <f>IFERROR(VLOOKUP($C46,'_METADATA_TEMPLATE'!$B$2:$H$826,4,FALSE),"")</f>
        <v>SE2026 - L BLOK II</v>
      </c>
      <c r="F46" s="2" t="str">
        <f>IFERROR(VLOOKUP($C46,'_METADATA_TEMPLATE'!$B$2:$H$826,5,FALSE),"")</f>
        <v>11</v>
      </c>
      <c r="G46" s="2" t="str">
        <f>IFERROR(VLOOKUP($C46,'_METADATA_TEMPLATE'!$B$2:$H$826,6,FALSE),"")</f>
        <v>a. Apa status badan usaha dari usaha/perusahaan ini?</v>
      </c>
      <c r="H46" s="2" t="str">
        <f>IFERROR(VLOOKUP($C46,'_METADATA_TEMPLATE'!$B$2:$H$826,7,FALSE),"")</f>
        <v>Radio Group</v>
      </c>
      <c r="I46" s="2" t="str">
        <f>IFERROR(VLOOKUP(C46,'_METADATA_DEFAULT'!$A:$B,2,FALSE),"")</f>
        <v/>
      </c>
    </row>
    <row r="47" ht="15.75" customHeight="1">
      <c r="A47" s="3" t="s">
        <v>373</v>
      </c>
      <c r="B47" s="3" t="s">
        <v>514</v>
      </c>
      <c r="C47" s="3" t="s">
        <v>515</v>
      </c>
      <c r="D47" s="3">
        <f>IFERROR(VLOOKUP($C47,'_METADATA_TEMPLATE'!$B$2:$H$826,2,FALSE),"")</f>
        <v>147</v>
      </c>
      <c r="E47" s="3" t="str">
        <f>IFERROR(VLOOKUP($C47,'_METADATA_TEMPLATE'!$B$2:$H$826,4,FALSE),"")</f>
        <v>SE2026 - L BLOK II</v>
      </c>
      <c r="F47" s="3" t="str">
        <f>IFERROR(VLOOKUP($C47,'_METADATA_TEMPLATE'!$B$2:$H$826,5,FALSE),"")</f>
        <v>11</v>
      </c>
      <c r="G47" s="3" t="str">
        <f>IFERROR(VLOOKUP($C47,'_METADATA_TEMPLATE'!$B$2:$H$826,6,FALSE),"")</f>
        <v>b. Apakah koperasi ini merupakan Koperasi Desa/Kelurahan Merah Putih (KDKMP)?</v>
      </c>
      <c r="H47" s="3" t="str">
        <f>IFERROR(VLOOKUP($C47,'_METADATA_TEMPLATE'!$B$2:$H$826,7,FALSE),"")</f>
        <v>Radio Group</v>
      </c>
      <c r="I47" s="3" t="str">
        <f>IFERROR(VLOOKUP(C47,'_METADATA_DEFAULT'!$A:$B,2,FALSE),"")</f>
        <v/>
      </c>
    </row>
    <row r="48" ht="15.75" customHeight="1">
      <c r="A48" s="2" t="s">
        <v>373</v>
      </c>
      <c r="B48" s="2" t="s">
        <v>517</v>
      </c>
      <c r="C48" s="2" t="s">
        <v>515</v>
      </c>
      <c r="D48" s="2">
        <f>IFERROR(VLOOKUP($C48,'_METADATA_TEMPLATE'!$B$2:$H$826,2,FALSE),"")</f>
        <v>147</v>
      </c>
      <c r="E48" s="2" t="str">
        <f>IFERROR(VLOOKUP($C48,'_METADATA_TEMPLATE'!$B$2:$H$826,4,FALSE),"")</f>
        <v>SE2026 - L BLOK II</v>
      </c>
      <c r="F48" s="2" t="str">
        <f>IFERROR(VLOOKUP($C48,'_METADATA_TEMPLATE'!$B$2:$H$826,5,FALSE),"")</f>
        <v>11</v>
      </c>
      <c r="G48" s="2" t="str">
        <f>IFERROR(VLOOKUP($C48,'_METADATA_TEMPLATE'!$B$2:$H$826,6,FALSE),"")</f>
        <v>b. Apakah koperasi ini merupakan Koperasi Desa/Kelurahan Merah Putih (KDKMP)?</v>
      </c>
      <c r="H48" s="2" t="str">
        <f>IFERROR(VLOOKUP($C48,'_METADATA_TEMPLATE'!$B$2:$H$826,7,FALSE),"")</f>
        <v>Radio Group</v>
      </c>
      <c r="I48" s="2" t="str">
        <f>IFERROR(VLOOKUP(C48,'_METADATA_DEFAULT'!$A:$B,2,FALSE),"")</f>
        <v/>
      </c>
    </row>
    <row r="49" ht="15.75" customHeight="1">
      <c r="A49" s="3" t="s">
        <v>373</v>
      </c>
      <c r="B49" s="3" t="s">
        <v>520</v>
      </c>
      <c r="C49" s="3" t="s">
        <v>521</v>
      </c>
      <c r="D49" s="3">
        <f>IFERROR(VLOOKUP($C49,'_METADATA_TEMPLATE'!$B$2:$H$826,2,FALSE),"")</f>
        <v>148</v>
      </c>
      <c r="E49" s="3" t="str">
        <f>IFERROR(VLOOKUP($C49,'_METADATA_TEMPLATE'!$B$2:$H$826,4,FALSE),"")</f>
        <v>SE2026 - L BLOK II</v>
      </c>
      <c r="F49" s="3" t="str">
        <f>IFERROR(VLOOKUP($C49,'_METADATA_TEMPLATE'!$B$2:$H$826,5,FALSE),"")</f>
        <v>11</v>
      </c>
      <c r="G49" s="3" t="str">
        <f>IFERROR(VLOOKUP($C49,'_METADATA_TEMPLATE'!$B$2:$H$826,6,FALSE),"")</f>
        <v>c. Apa jenis koperasi ini berdasarkan layanannya?</v>
      </c>
      <c r="H49" s="3" t="str">
        <f>IFERROR(VLOOKUP($C49,'_METADATA_TEMPLATE'!$B$2:$H$826,7,FALSE),"")</f>
        <v>Radio Group</v>
      </c>
      <c r="I49" s="3" t="str">
        <f>IFERROR(VLOOKUP(C49,'_METADATA_DEFAULT'!$A:$B,2,FALSE),"")</f>
        <v/>
      </c>
    </row>
    <row r="50" ht="15.75" customHeight="1">
      <c r="A50" s="2" t="s">
        <v>373</v>
      </c>
      <c r="B50" s="2" t="s">
        <v>523</v>
      </c>
      <c r="C50" s="2" t="s">
        <v>521</v>
      </c>
      <c r="D50" s="2">
        <f>IFERROR(VLOOKUP($C50,'_METADATA_TEMPLATE'!$B$2:$H$826,2,FALSE),"")</f>
        <v>148</v>
      </c>
      <c r="E50" s="2" t="str">
        <f>IFERROR(VLOOKUP($C50,'_METADATA_TEMPLATE'!$B$2:$H$826,4,FALSE),"")</f>
        <v>SE2026 - L BLOK II</v>
      </c>
      <c r="F50" s="2" t="str">
        <f>IFERROR(VLOOKUP($C50,'_METADATA_TEMPLATE'!$B$2:$H$826,5,FALSE),"")</f>
        <v>11</v>
      </c>
      <c r="G50" s="2" t="str">
        <f>IFERROR(VLOOKUP($C50,'_METADATA_TEMPLATE'!$B$2:$H$826,6,FALSE),"")</f>
        <v>c. Apa jenis koperasi ini berdasarkan layanannya?</v>
      </c>
      <c r="H50" s="2" t="str">
        <f>IFERROR(VLOOKUP($C50,'_METADATA_TEMPLATE'!$B$2:$H$826,7,FALSE),"")</f>
        <v>Radio Group</v>
      </c>
      <c r="I50" s="2" t="str">
        <f>IFERROR(VLOOKUP(C50,'_METADATA_DEFAULT'!$A:$B,2,FALSE),"")</f>
        <v/>
      </c>
    </row>
    <row r="51" ht="15.75" customHeight="1">
      <c r="A51" s="3" t="s">
        <v>373</v>
      </c>
      <c r="B51" s="3" t="s">
        <v>526</v>
      </c>
      <c r="C51" s="3" t="s">
        <v>527</v>
      </c>
      <c r="D51" s="3">
        <f>IFERROR(VLOOKUP($C51,'_METADATA_TEMPLATE'!$B$2:$H$826,2,FALSE),"")</f>
        <v>149</v>
      </c>
      <c r="E51" s="3" t="str">
        <f>IFERROR(VLOOKUP($C51,'_METADATA_TEMPLATE'!$B$2:$H$826,4,FALSE),"")</f>
        <v>SE2026 - L BLOK II</v>
      </c>
      <c r="F51" s="3" t="str">
        <f>IFERROR(VLOOKUP($C51,'_METADATA_TEMPLATE'!$B$2:$H$826,5,FALSE),"")</f>
        <v>11</v>
      </c>
      <c r="G51" s="3" t="str">
        <f>IFERROR(VLOOKUP($C51,'_METADATA_TEMPLATE'!$B$2:$H$826,6,FALSE),"")</f>
        <v>d. Apakah mempunyai laporan/catatan keuangan?</v>
      </c>
      <c r="H51" s="3" t="str">
        <f>IFERROR(VLOOKUP($C51,'_METADATA_TEMPLATE'!$B$2:$H$826,7,FALSE),"")</f>
        <v>Radio Group</v>
      </c>
      <c r="I51" s="3" t="str">
        <f>IFERROR(VLOOKUP(C51,'_METADATA_DEFAULT'!$A:$B,2,FALSE),"")</f>
        <v/>
      </c>
    </row>
    <row r="52" ht="15.75" customHeight="1">
      <c r="A52" s="2" t="s">
        <v>373</v>
      </c>
      <c r="B52" s="2" t="s">
        <v>530</v>
      </c>
      <c r="C52" s="2" t="s">
        <v>527</v>
      </c>
      <c r="D52" s="2">
        <f>IFERROR(VLOOKUP($C52,'_METADATA_TEMPLATE'!$B$2:$H$826,2,FALSE),"")</f>
        <v>149</v>
      </c>
      <c r="E52" s="2" t="str">
        <f>IFERROR(VLOOKUP($C52,'_METADATA_TEMPLATE'!$B$2:$H$826,4,FALSE),"")</f>
        <v>SE2026 - L BLOK II</v>
      </c>
      <c r="F52" s="2" t="str">
        <f>IFERROR(VLOOKUP($C52,'_METADATA_TEMPLATE'!$B$2:$H$826,5,FALSE),"")</f>
        <v>11</v>
      </c>
      <c r="G52" s="2" t="str">
        <f>IFERROR(VLOOKUP($C52,'_METADATA_TEMPLATE'!$B$2:$H$826,6,FALSE),"")</f>
        <v>d. Apakah mempunyai laporan/catatan keuangan?</v>
      </c>
      <c r="H52" s="2" t="str">
        <f>IFERROR(VLOOKUP($C52,'_METADATA_TEMPLATE'!$B$2:$H$826,7,FALSE),"")</f>
        <v>Radio Group</v>
      </c>
      <c r="I52" s="2" t="str">
        <f>IFERROR(VLOOKUP(C52,'_METADATA_DEFAULT'!$A:$B,2,FALSE),"")</f>
        <v/>
      </c>
    </row>
    <row r="53" ht="15.75" customHeight="1">
      <c r="A53" s="3" t="s">
        <v>373</v>
      </c>
      <c r="B53" s="3" t="s">
        <v>532</v>
      </c>
      <c r="C53" s="3" t="s">
        <v>533</v>
      </c>
      <c r="D53" s="3">
        <f>IFERROR(VLOOKUP($C53,'_METADATA_TEMPLATE'!$B$2:$H$826,2,FALSE),"")</f>
        <v>150</v>
      </c>
      <c r="E53" s="3" t="str">
        <f>IFERROR(VLOOKUP($C53,'_METADATA_TEMPLATE'!$B$2:$H$826,4,FALSE),"")</f>
        <v>SE2026 - L BLOK II</v>
      </c>
      <c r="F53" s="3" t="str">
        <f>IFERROR(VLOOKUP($C53,'_METADATA_TEMPLATE'!$B$2:$H$826,5,FALSE),"")</f>
        <v>12</v>
      </c>
      <c r="G53" s="3" t="str">
        <f>IFERROR(VLOOKUP($C53,'_METADATA_TEMPLATE'!$B$2:$H$826,6,FALSE),"")</f>
        <v>a. Nama Pengusaha / Penanggung Jawab</v>
      </c>
      <c r="H53" s="3" t="str">
        <f>IFERROR(VLOOKUP($C53,'_METADATA_TEMPLATE'!$B$2:$H$826,7,FALSE),"")</f>
        <v>Select</v>
      </c>
      <c r="I53" s="3" t="str">
        <f>IFERROR(VLOOKUP(C53,'_METADATA_DEFAULT'!$A:$B,2,FALSE),"")</f>
        <v/>
      </c>
    </row>
    <row r="54" ht="15.75" customHeight="1">
      <c r="A54" s="2" t="s">
        <v>373</v>
      </c>
      <c r="B54" s="2" t="s">
        <v>535</v>
      </c>
      <c r="C54" s="2" t="s">
        <v>533</v>
      </c>
      <c r="D54" s="2">
        <f>IFERROR(VLOOKUP($C54,'_METADATA_TEMPLATE'!$B$2:$H$826,2,FALSE),"")</f>
        <v>150</v>
      </c>
      <c r="E54" s="2" t="str">
        <f>IFERROR(VLOOKUP($C54,'_METADATA_TEMPLATE'!$B$2:$H$826,4,FALSE),"")</f>
        <v>SE2026 - L BLOK II</v>
      </c>
      <c r="F54" s="2" t="str">
        <f>IFERROR(VLOOKUP($C54,'_METADATA_TEMPLATE'!$B$2:$H$826,5,FALSE),"")</f>
        <v>12</v>
      </c>
      <c r="G54" s="2" t="str">
        <f>IFERROR(VLOOKUP($C54,'_METADATA_TEMPLATE'!$B$2:$H$826,6,FALSE),"")</f>
        <v>a. Nama Pengusaha / Penanggung Jawab</v>
      </c>
      <c r="H54" s="2" t="str">
        <f>IFERROR(VLOOKUP($C54,'_METADATA_TEMPLATE'!$B$2:$H$826,7,FALSE),"")</f>
        <v>Select</v>
      </c>
      <c r="I54" s="2" t="str">
        <f>IFERROR(VLOOKUP(C54,'_METADATA_DEFAULT'!$A:$B,2,FALSE),"")</f>
        <v/>
      </c>
    </row>
    <row r="55" ht="15.75" customHeight="1">
      <c r="A55" s="3" t="s">
        <v>373</v>
      </c>
      <c r="B55" s="3" t="s">
        <v>537</v>
      </c>
      <c r="C55" s="3" t="s">
        <v>537</v>
      </c>
      <c r="D55" s="3">
        <f>IFERROR(VLOOKUP($C55,'_METADATA_TEMPLATE'!$B$2:$H$826,2,FALSE),"")</f>
        <v>151</v>
      </c>
      <c r="E55" s="3" t="str">
        <f>IFERROR(VLOOKUP($C55,'_METADATA_TEMPLATE'!$B$2:$H$826,4,FALSE),"")</f>
        <v>SE2026 - L BLOK II</v>
      </c>
      <c r="F55" s="3" t="str">
        <f>IFERROR(VLOOKUP($C55,'_METADATA_TEMPLATE'!$B$2:$H$826,5,FALSE),"")</f>
        <v>12</v>
      </c>
      <c r="G55" s="3" t="str">
        <f>IFERROR(VLOOKUP($C55,'_METADATA_TEMPLATE'!$B$2:$H$826,6,FALSE),"")</f>
        <v>a. Nama Pengusaha / Penanggung Jawab</v>
      </c>
      <c r="H55" s="3" t="str">
        <f>IFERROR(VLOOKUP($C55,'_METADATA_TEMPLATE'!$B$2:$H$826,7,FALSE),"")</f>
        <v>Text Input</v>
      </c>
      <c r="I55" s="3" t="str">
        <f>IFERROR(VLOOKUP(C55,'_METADATA_DEFAULT'!$A:$B,2,FALSE),"")</f>
        <v/>
      </c>
    </row>
    <row r="56" ht="15.75" customHeight="1">
      <c r="A56" s="2" t="s">
        <v>373</v>
      </c>
      <c r="B56" s="2" t="s">
        <v>539</v>
      </c>
      <c r="C56" s="2" t="s">
        <v>539</v>
      </c>
      <c r="D56" s="2">
        <f>IFERROR(VLOOKUP($C56,'_METADATA_TEMPLATE'!$B$2:$H$826,2,FALSE),"")</f>
        <v>152</v>
      </c>
      <c r="E56" s="2" t="str">
        <f>IFERROR(VLOOKUP($C56,'_METADATA_TEMPLATE'!$B$2:$H$826,4,FALSE),"")</f>
        <v>SE2026 - L BLOK II</v>
      </c>
      <c r="F56" s="2" t="str">
        <f>IFERROR(VLOOKUP($C56,'_METADATA_TEMPLATE'!$B$2:$H$826,5,FALSE),"")</f>
        <v>12</v>
      </c>
      <c r="G56" s="2" t="str">
        <f>IFERROR(VLOOKUP($C56,'_METADATA_TEMPLATE'!$B$2:$H$826,6,FALSE),"")</f>
        <v>b. Jenis Kelamin</v>
      </c>
      <c r="H56" s="2" t="str">
        <f>IFERROR(VLOOKUP($C56,'_METADATA_TEMPLATE'!$B$2:$H$826,7,FALSE),"")</f>
        <v>Variable</v>
      </c>
      <c r="I56" s="2" t="str">
        <f>IFERROR(VLOOKUP(C56,'_METADATA_DEFAULT'!$A:$B,2,FALSE),"")</f>
        <v/>
      </c>
    </row>
    <row r="57" ht="15.75" customHeight="1">
      <c r="A57" s="3" t="s">
        <v>373</v>
      </c>
      <c r="B57" s="3" t="s">
        <v>541</v>
      </c>
      <c r="C57" s="3" t="s">
        <v>542</v>
      </c>
      <c r="D57" s="3">
        <f>IFERROR(VLOOKUP($C57,'_METADATA_TEMPLATE'!$B$2:$H$826,2,FALSE),"")</f>
        <v>153</v>
      </c>
      <c r="E57" s="3" t="str">
        <f>IFERROR(VLOOKUP($C57,'_METADATA_TEMPLATE'!$B$2:$H$826,4,FALSE),"")</f>
        <v>SE2026 - L BLOK II</v>
      </c>
      <c r="F57" s="3" t="str">
        <f>IFERROR(VLOOKUP($C57,'_METADATA_TEMPLATE'!$B$2:$H$826,5,FALSE),"")</f>
        <v>12</v>
      </c>
      <c r="G57" s="3" t="str">
        <f>IFERROR(VLOOKUP($C57,'_METADATA_TEMPLATE'!$B$2:$H$826,6,FALSE),"")</f>
        <v>b. Jenis Kelamin</v>
      </c>
      <c r="H57" s="3" t="str">
        <f>IFERROR(VLOOKUP($C57,'_METADATA_TEMPLATE'!$B$2:$H$826,7,FALSE),"")</f>
        <v>Radio Group</v>
      </c>
      <c r="I57" s="3" t="str">
        <f>IFERROR(VLOOKUP(C57,'_METADATA_DEFAULT'!$A:$B,2,FALSE),"")</f>
        <v/>
      </c>
    </row>
    <row r="58" ht="15.75" customHeight="1">
      <c r="A58" s="2" t="s">
        <v>373</v>
      </c>
      <c r="B58" s="2" t="s">
        <v>545</v>
      </c>
      <c r="C58" s="2" t="s">
        <v>542</v>
      </c>
      <c r="D58" s="2">
        <f>IFERROR(VLOOKUP($C58,'_METADATA_TEMPLATE'!$B$2:$H$826,2,FALSE),"")</f>
        <v>153</v>
      </c>
      <c r="E58" s="2" t="str">
        <f>IFERROR(VLOOKUP($C58,'_METADATA_TEMPLATE'!$B$2:$H$826,4,FALSE),"")</f>
        <v>SE2026 - L BLOK II</v>
      </c>
      <c r="F58" s="2" t="str">
        <f>IFERROR(VLOOKUP($C58,'_METADATA_TEMPLATE'!$B$2:$H$826,5,FALSE),"")</f>
        <v>12</v>
      </c>
      <c r="G58" s="2" t="str">
        <f>IFERROR(VLOOKUP($C58,'_METADATA_TEMPLATE'!$B$2:$H$826,6,FALSE),"")</f>
        <v>b. Jenis Kelamin</v>
      </c>
      <c r="H58" s="2" t="str">
        <f>IFERROR(VLOOKUP($C58,'_METADATA_TEMPLATE'!$B$2:$H$826,7,FALSE),"")</f>
        <v>Radio Group</v>
      </c>
      <c r="I58" s="2" t="str">
        <f>IFERROR(VLOOKUP(C58,'_METADATA_DEFAULT'!$A:$B,2,FALSE),"")</f>
        <v/>
      </c>
    </row>
    <row r="59" ht="15.75" customHeight="1">
      <c r="A59" s="3" t="s">
        <v>373</v>
      </c>
      <c r="B59" s="3" t="s">
        <v>547</v>
      </c>
      <c r="C59" s="3" t="s">
        <v>547</v>
      </c>
      <c r="D59" s="3">
        <f>IFERROR(VLOOKUP($C59,'_METADATA_TEMPLATE'!$B$2:$H$826,2,FALSE),"")</f>
        <v>154</v>
      </c>
      <c r="E59" s="3" t="str">
        <f>IFERROR(VLOOKUP($C59,'_METADATA_TEMPLATE'!$B$2:$H$826,4,FALSE),"")</f>
        <v>SE2026 - L BLOK II</v>
      </c>
      <c r="F59" s="3" t="str">
        <f>IFERROR(VLOOKUP($C59,'_METADATA_TEMPLATE'!$B$2:$H$826,5,FALSE),"")</f>
        <v>12</v>
      </c>
      <c r="G59" s="3" t="str">
        <f>IFERROR(VLOOKUP($C59,'_METADATA_TEMPLATE'!$B$2:$H$826,6,FALSE),"")</f>
        <v>c. Umur</v>
      </c>
      <c r="H59" s="3" t="str">
        <f>IFERROR(VLOOKUP($C59,'_METADATA_TEMPLATE'!$B$2:$H$826,7,FALSE),"")</f>
        <v>Variable</v>
      </c>
      <c r="I59" s="3" t="str">
        <f>IFERROR(VLOOKUP(C59,'_METADATA_DEFAULT'!$A:$B,2,FALSE),"")</f>
        <v/>
      </c>
    </row>
    <row r="60" ht="15.75" customHeight="1">
      <c r="A60" s="2" t="s">
        <v>373</v>
      </c>
      <c r="B60" s="2" t="s">
        <v>549</v>
      </c>
      <c r="C60" s="2" t="s">
        <v>549</v>
      </c>
      <c r="D60" s="2">
        <f>IFERROR(VLOOKUP($C60,'_METADATA_TEMPLATE'!$B$2:$H$826,2,FALSE),"")</f>
        <v>155</v>
      </c>
      <c r="E60" s="2" t="str">
        <f>IFERROR(VLOOKUP($C60,'_METADATA_TEMPLATE'!$B$2:$H$826,4,FALSE),"")</f>
        <v>SE2026 - L BLOK II</v>
      </c>
      <c r="F60" s="2" t="str">
        <f>IFERROR(VLOOKUP($C60,'_METADATA_TEMPLATE'!$B$2:$H$826,5,FALSE),"")</f>
        <v>12</v>
      </c>
      <c r="G60" s="2" t="str">
        <f>IFERROR(VLOOKUP($C60,'_METADATA_TEMPLATE'!$B$2:$H$826,6,FALSE),"")</f>
        <v>c. Umur</v>
      </c>
      <c r="H60" s="2" t="str">
        <f>IFERROR(VLOOKUP($C60,'_METADATA_TEMPLATE'!$B$2:$H$826,7,FALSE),"")</f>
        <v>Number</v>
      </c>
      <c r="I60" s="2" t="str">
        <f>IFERROR(VLOOKUP(C60,'_METADATA_DEFAULT'!$A:$B,2,FALSE),"")</f>
        <v/>
      </c>
    </row>
    <row r="61" ht="15.75" customHeight="1">
      <c r="A61" s="3" t="s">
        <v>373</v>
      </c>
      <c r="B61" s="3" t="s">
        <v>551</v>
      </c>
      <c r="C61" s="3" t="s">
        <v>551</v>
      </c>
      <c r="D61" s="3">
        <f>IFERROR(VLOOKUP($C61,'_METADATA_TEMPLATE'!$B$2:$H$826,2,FALSE),"")</f>
        <v>156</v>
      </c>
      <c r="E61" s="3" t="str">
        <f>IFERROR(VLOOKUP($C61,'_METADATA_TEMPLATE'!$B$2:$H$826,4,FALSE),"")</f>
        <v>SE2026 - L BLOK II</v>
      </c>
      <c r="F61" s="3" t="str">
        <f>IFERROR(VLOOKUP($C61,'_METADATA_TEMPLATE'!$B$2:$H$826,5,FALSE),"")</f>
        <v>12</v>
      </c>
      <c r="G61" s="3" t="str">
        <f>IFERROR(VLOOKUP($C61,'_METADATA_TEMPLATE'!$B$2:$H$826,6,FALSE),"")</f>
        <v>d. Nomor Induk Kependudukan (NIK )</v>
      </c>
      <c r="H61" s="3" t="str">
        <f>IFERROR(VLOOKUP($C61,'_METADATA_TEMPLATE'!$B$2:$H$826,7,FALSE),"")</f>
        <v>Variable</v>
      </c>
      <c r="I61" s="3" t="str">
        <f>IFERROR(VLOOKUP(C61,'_METADATA_DEFAULT'!$A:$B,2,FALSE),"")</f>
        <v/>
      </c>
    </row>
    <row r="62" ht="15.75" customHeight="1">
      <c r="A62" s="2" t="s">
        <v>373</v>
      </c>
      <c r="B62" s="2" t="s">
        <v>553</v>
      </c>
      <c r="C62" s="2" t="s">
        <v>553</v>
      </c>
      <c r="D62" s="2">
        <f>IFERROR(VLOOKUP($C62,'_METADATA_TEMPLATE'!$B$2:$H$826,2,FALSE),"")</f>
        <v>157</v>
      </c>
      <c r="E62" s="2" t="str">
        <f>IFERROR(VLOOKUP($C62,'_METADATA_TEMPLATE'!$B$2:$H$826,4,FALSE),"")</f>
        <v>SE2026 - L BLOK II</v>
      </c>
      <c r="F62" s="2" t="str">
        <f>IFERROR(VLOOKUP($C62,'_METADATA_TEMPLATE'!$B$2:$H$826,5,FALSE),"")</f>
        <v>12</v>
      </c>
      <c r="G62" s="2" t="str">
        <f>IFERROR(VLOOKUP($C62,'_METADATA_TEMPLATE'!$B$2:$H$826,6,FALSE),"")</f>
        <v>d. Nomor Induk Kependudukan (NIK)</v>
      </c>
      <c r="H62" s="2" t="str">
        <f>IFERROR(VLOOKUP($C62,'_METADATA_TEMPLATE'!$B$2:$H$826,7,FALSE),"")</f>
        <v>Text Input</v>
      </c>
      <c r="I62" s="2" t="str">
        <f>IFERROR(VLOOKUP(C62,'_METADATA_DEFAULT'!$A:$B,2,FALSE),"")</f>
        <v/>
      </c>
    </row>
    <row r="63" ht="15.75" customHeight="1">
      <c r="A63" s="3" t="s">
        <v>373</v>
      </c>
      <c r="B63" s="3" t="s">
        <v>556</v>
      </c>
      <c r="C63" s="3" t="s">
        <v>556</v>
      </c>
      <c r="D63" s="3">
        <f>IFERROR(VLOOKUP($C63,'_METADATA_TEMPLATE'!$B$2:$H$826,2,FALSE),"")</f>
        <v>159</v>
      </c>
      <c r="E63" s="3" t="str">
        <f>IFERROR(VLOOKUP($C63,'_METADATA_TEMPLATE'!$B$2:$H$826,4,FALSE),"")</f>
        <v>SE2026 - L BLOK II</v>
      </c>
      <c r="F63" s="3" t="str">
        <f>IFERROR(VLOOKUP($C63,'_METADATA_TEMPLATE'!$B$2:$H$826,5,FALSE),"")</f>
        <v>13</v>
      </c>
      <c r="G63" s="3" t="str">
        <f>IFERROR(VLOOKUP($C63,'_METADATA_TEMPLATE'!$B$2:$H$826,6,FALSE),"")</f>
        <v>a. Apa kegiatan utama usaha/perusahaan ini? Tuliskan selengkapnya</v>
      </c>
      <c r="H63" s="3" t="str">
        <f>IFERROR(VLOOKUP($C63,'_METADATA_TEMPLATE'!$B$2:$H$826,7,FALSE),"")</f>
        <v>Text Input</v>
      </c>
      <c r="I63" s="3" t="str">
        <f>IFERROR(VLOOKUP(C63,'_METADATA_DEFAULT'!$A:$B,2,FALSE),"")</f>
        <v/>
      </c>
    </row>
    <row r="64" ht="15.75" customHeight="1">
      <c r="A64" s="2" t="s">
        <v>373</v>
      </c>
      <c r="B64" s="2" t="s">
        <v>558</v>
      </c>
      <c r="C64" s="2" t="s">
        <v>559</v>
      </c>
      <c r="D64" s="2">
        <f>IFERROR(VLOOKUP($C64,'_METADATA_TEMPLATE'!$B$2:$H$826,2,FALSE),"")</f>
        <v>160</v>
      </c>
      <c r="E64" s="2" t="str">
        <f>IFERROR(VLOOKUP($C64,'_METADATA_TEMPLATE'!$B$2:$H$826,4,FALSE),"")</f>
        <v>SE2026 - L BLOK II</v>
      </c>
      <c r="F64" s="2" t="str">
        <f>IFERROR(VLOOKUP($C64,'_METADATA_TEMPLATE'!$B$2:$H$826,5,FALSE),"")</f>
        <v>13</v>
      </c>
      <c r="G64" s="2" t="str">
        <f>IFERROR(VLOOKUP($C64,'_METADATA_TEMPLATE'!$B$2:$H$826,6,FALSE),"")</f>
        <v>b1. Apakah memproduksi barang di lokasi ini?</v>
      </c>
      <c r="H64" s="2" t="str">
        <f>IFERROR(VLOOKUP($C64,'_METADATA_TEMPLATE'!$B$2:$H$826,7,FALSE),"")</f>
        <v>Radio Group</v>
      </c>
      <c r="I64" s="2" t="str">
        <f>IFERROR(VLOOKUP(C64,'_METADATA_DEFAULT'!$A:$B,2,FALSE),"")</f>
        <v/>
      </c>
    </row>
    <row r="65" ht="15.75" customHeight="1">
      <c r="A65" s="3" t="s">
        <v>373</v>
      </c>
      <c r="B65" s="3" t="s">
        <v>561</v>
      </c>
      <c r="C65" s="3" t="s">
        <v>559</v>
      </c>
      <c r="D65" s="3">
        <f>IFERROR(VLOOKUP($C65,'_METADATA_TEMPLATE'!$B$2:$H$826,2,FALSE),"")</f>
        <v>160</v>
      </c>
      <c r="E65" s="3" t="str">
        <f>IFERROR(VLOOKUP($C65,'_METADATA_TEMPLATE'!$B$2:$H$826,4,FALSE),"")</f>
        <v>SE2026 - L BLOK II</v>
      </c>
      <c r="F65" s="3" t="str">
        <f>IFERROR(VLOOKUP($C65,'_METADATA_TEMPLATE'!$B$2:$H$826,5,FALSE),"")</f>
        <v>13</v>
      </c>
      <c r="G65" s="3" t="str">
        <f>IFERROR(VLOOKUP($C65,'_METADATA_TEMPLATE'!$B$2:$H$826,6,FALSE),"")</f>
        <v>b1. Apakah memproduksi barang di lokasi ini?</v>
      </c>
      <c r="H65" s="3" t="str">
        <f>IFERROR(VLOOKUP($C65,'_METADATA_TEMPLATE'!$B$2:$H$826,7,FALSE),"")</f>
        <v>Radio Group</v>
      </c>
      <c r="I65" s="3" t="str">
        <f>IFERROR(VLOOKUP(C65,'_METADATA_DEFAULT'!$A:$B,2,FALSE),"")</f>
        <v/>
      </c>
    </row>
    <row r="66" ht="15.75" customHeight="1">
      <c r="A66" s="2" t="s">
        <v>373</v>
      </c>
      <c r="B66" s="2" t="s">
        <v>564</v>
      </c>
      <c r="C66" s="2" t="s">
        <v>565</v>
      </c>
      <c r="D66" s="2">
        <f>IFERROR(VLOOKUP($C66,'_METADATA_TEMPLATE'!$B$2:$H$826,2,FALSE),"")</f>
        <v>161</v>
      </c>
      <c r="E66" s="2" t="str">
        <f>IFERROR(VLOOKUP($C66,'_METADATA_TEMPLATE'!$B$2:$H$826,4,FALSE),"")</f>
        <v>SE2026 - L BLOK II</v>
      </c>
      <c r="F66" s="2" t="str">
        <f>IFERROR(VLOOKUP($C66,'_METADATA_TEMPLATE'!$B$2:$H$826,5,FALSE),"")</f>
        <v>13</v>
      </c>
      <c r="G66" s="2" t="str">
        <f>IFERROR(VLOOKUP($C66,'_METADATA_TEMPLATE'!$B$2:$H$826,6,FALSE),"")</f>
        <v>b2. Apakah menyediakan layanan makan minum? Ciri: terdapat kegiatan peracikkan, pemanasan ulang, atau pembuatan produk berdasarkan pesanan/permintaan pelanggan</v>
      </c>
      <c r="H66" s="2" t="str">
        <f>IFERROR(VLOOKUP($C66,'_METADATA_TEMPLATE'!$B$2:$H$826,7,FALSE),"")</f>
        <v>Radio Group</v>
      </c>
      <c r="I66" s="2" t="str">
        <f>IFERROR(VLOOKUP(C66,'_METADATA_DEFAULT'!$A:$B,2,FALSE),"")</f>
        <v/>
      </c>
    </row>
    <row r="67" ht="15.75" customHeight="1">
      <c r="A67" s="3" t="s">
        <v>373</v>
      </c>
      <c r="B67" s="3" t="s">
        <v>567</v>
      </c>
      <c r="C67" s="3" t="s">
        <v>565</v>
      </c>
      <c r="D67" s="3">
        <f>IFERROR(VLOOKUP($C67,'_METADATA_TEMPLATE'!$B$2:$H$826,2,FALSE),"")</f>
        <v>161</v>
      </c>
      <c r="E67" s="3" t="str">
        <f>IFERROR(VLOOKUP($C67,'_METADATA_TEMPLATE'!$B$2:$H$826,4,FALSE),"")</f>
        <v>SE2026 - L BLOK II</v>
      </c>
      <c r="F67" s="3" t="str">
        <f>IFERROR(VLOOKUP($C67,'_METADATA_TEMPLATE'!$B$2:$H$826,5,FALSE),"")</f>
        <v>13</v>
      </c>
      <c r="G67" s="3" t="str">
        <f>IFERROR(VLOOKUP($C67,'_METADATA_TEMPLATE'!$B$2:$H$826,6,FALSE),"")</f>
        <v>b2. Apakah menyediakan layanan makan minum? Ciri: terdapat kegiatan peracikkan, pemanasan ulang, atau pembuatan produk berdasarkan pesanan/permintaan pelanggan</v>
      </c>
      <c r="H67" s="3" t="str">
        <f>IFERROR(VLOOKUP($C67,'_METADATA_TEMPLATE'!$B$2:$H$826,7,FALSE),"")</f>
        <v>Radio Group</v>
      </c>
      <c r="I67" s="3" t="str">
        <f>IFERROR(VLOOKUP(C67,'_METADATA_DEFAULT'!$A:$B,2,FALSE),"")</f>
        <v/>
      </c>
    </row>
    <row r="68" ht="15.75" customHeight="1">
      <c r="A68" s="2" t="s">
        <v>373</v>
      </c>
      <c r="B68" s="2" t="s">
        <v>569</v>
      </c>
      <c r="C68" s="2" t="s">
        <v>570</v>
      </c>
      <c r="D68" s="2">
        <f>IFERROR(VLOOKUP($C68,'_METADATA_TEMPLATE'!$B$2:$H$826,2,FALSE),"")</f>
        <v>162</v>
      </c>
      <c r="E68" s="2" t="str">
        <f>IFERROR(VLOOKUP($C68,'_METADATA_TEMPLATE'!$B$2:$H$826,4,FALSE),"")</f>
        <v>SE2026 - L BLOK II</v>
      </c>
      <c r="F68" s="2" t="str">
        <f>IFERROR(VLOOKUP($C68,'_METADATA_TEMPLATE'!$B$2:$H$826,5,FALSE),"")</f>
        <v>13</v>
      </c>
      <c r="G68" s="2" t="str">
        <f>IFERROR(VLOOKUP($C68,'_METADATA_TEMPLATE'!$B$2:$H$826,6,FALSE),"")</f>
        <v>b3. Apakah melakukan penjualan barang?</v>
      </c>
      <c r="H68" s="2" t="str">
        <f>IFERROR(VLOOKUP($C68,'_METADATA_TEMPLATE'!$B$2:$H$826,7,FALSE),"")</f>
        <v>Radio Group</v>
      </c>
      <c r="I68" s="2" t="str">
        <f>IFERROR(VLOOKUP(C68,'_METADATA_DEFAULT'!$A:$B,2,FALSE),"")</f>
        <v/>
      </c>
    </row>
    <row r="69" ht="15.75" customHeight="1">
      <c r="A69" s="3" t="s">
        <v>373</v>
      </c>
      <c r="B69" s="3" t="s">
        <v>572</v>
      </c>
      <c r="C69" s="3" t="s">
        <v>570</v>
      </c>
      <c r="D69" s="3">
        <f>IFERROR(VLOOKUP($C69,'_METADATA_TEMPLATE'!$B$2:$H$826,2,FALSE),"")</f>
        <v>162</v>
      </c>
      <c r="E69" s="3" t="str">
        <f>IFERROR(VLOOKUP($C69,'_METADATA_TEMPLATE'!$B$2:$H$826,4,FALSE),"")</f>
        <v>SE2026 - L BLOK II</v>
      </c>
      <c r="F69" s="3" t="str">
        <f>IFERROR(VLOOKUP($C69,'_METADATA_TEMPLATE'!$B$2:$H$826,5,FALSE),"")</f>
        <v>13</v>
      </c>
      <c r="G69" s="3" t="str">
        <f>IFERROR(VLOOKUP($C69,'_METADATA_TEMPLATE'!$B$2:$H$826,6,FALSE),"")</f>
        <v>b3. Apakah melakukan penjualan barang?</v>
      </c>
      <c r="H69" s="3" t="str">
        <f>IFERROR(VLOOKUP($C69,'_METADATA_TEMPLATE'!$B$2:$H$826,7,FALSE),"")</f>
        <v>Radio Group</v>
      </c>
      <c r="I69" s="3" t="str">
        <f>IFERROR(VLOOKUP(C69,'_METADATA_DEFAULT'!$A:$B,2,FALSE),"")</f>
        <v/>
      </c>
    </row>
    <row r="70" ht="15.75" customHeight="1">
      <c r="A70" s="2" t="s">
        <v>373</v>
      </c>
      <c r="B70" s="2" t="s">
        <v>574</v>
      </c>
      <c r="C70" s="2" t="s">
        <v>575</v>
      </c>
      <c r="D70" s="2">
        <f>IFERROR(VLOOKUP($C70,'_METADATA_TEMPLATE'!$B$2:$H$826,2,FALSE),"")</f>
        <v>163</v>
      </c>
      <c r="E70" s="2" t="str">
        <f>IFERROR(VLOOKUP($C70,'_METADATA_TEMPLATE'!$B$2:$H$826,4,FALSE),"")</f>
        <v>SE2026 - L BLOK II</v>
      </c>
      <c r="F70" s="2" t="str">
        <f>IFERROR(VLOOKUP($C70,'_METADATA_TEMPLATE'!$B$2:$H$826,5,FALSE),"")</f>
        <v>13</v>
      </c>
      <c r="G70" s="2" t="str">
        <f>IFERROR(VLOOKUP($C70,'_METADATA_TEMPLATE'!$B$2:$H$826,6,FALSE),"")</f>
        <v>b4. Pilih salah satu aktivitas yang dilakukan:</v>
      </c>
      <c r="H70" s="2" t="str">
        <f>IFERROR(VLOOKUP($C70,'_METADATA_TEMPLATE'!$B$2:$H$826,7,FALSE),"")</f>
        <v>Radio Group</v>
      </c>
      <c r="I70" s="2" t="str">
        <f>IFERROR(VLOOKUP(C70,'_METADATA_DEFAULT'!$A:$B,2,FALSE),"")</f>
        <v/>
      </c>
    </row>
    <row r="71" ht="15.75" customHeight="1">
      <c r="A71" s="3" t="s">
        <v>373</v>
      </c>
      <c r="B71" s="3" t="s">
        <v>577</v>
      </c>
      <c r="C71" s="3" t="s">
        <v>575</v>
      </c>
      <c r="D71" s="3">
        <f>IFERROR(VLOOKUP($C71,'_METADATA_TEMPLATE'!$B$2:$H$826,2,FALSE),"")</f>
        <v>163</v>
      </c>
      <c r="E71" s="3" t="str">
        <f>IFERROR(VLOOKUP($C71,'_METADATA_TEMPLATE'!$B$2:$H$826,4,FALSE),"")</f>
        <v>SE2026 - L BLOK II</v>
      </c>
      <c r="F71" s="3" t="str">
        <f>IFERROR(VLOOKUP($C71,'_METADATA_TEMPLATE'!$B$2:$H$826,5,FALSE),"")</f>
        <v>13</v>
      </c>
      <c r="G71" s="3" t="str">
        <f>IFERROR(VLOOKUP($C71,'_METADATA_TEMPLATE'!$B$2:$H$826,6,FALSE),"")</f>
        <v>b4. Pilih salah satu aktivitas yang dilakukan:</v>
      </c>
      <c r="H71" s="3" t="str">
        <f>IFERROR(VLOOKUP($C71,'_METADATA_TEMPLATE'!$B$2:$H$826,7,FALSE),"")</f>
        <v>Radio Group</v>
      </c>
      <c r="I71" s="3" t="str">
        <f>IFERROR(VLOOKUP(C71,'_METADATA_DEFAULT'!$A:$B,2,FALSE),"")</f>
        <v/>
      </c>
    </row>
    <row r="72" ht="15.75" customHeight="1">
      <c r="A72" s="2" t="s">
        <v>373</v>
      </c>
      <c r="B72" s="2" t="s">
        <v>579</v>
      </c>
      <c r="C72" s="2" t="s">
        <v>581</v>
      </c>
      <c r="D72" s="2">
        <f>IFERROR(VLOOKUP($C72,'_METADATA_TEMPLATE'!$B$2:$H$826,2,FALSE),"")</f>
        <v>164</v>
      </c>
      <c r="E72" s="2" t="str">
        <f>IFERROR(VLOOKUP($C72,'_METADATA_TEMPLATE'!$B$2:$H$826,4,FALSE),"")</f>
        <v>SE2026 - L BLOK II</v>
      </c>
      <c r="F72" s="2" t="str">
        <f>IFERROR(VLOOKUP($C72,'_METADATA_TEMPLATE'!$B$2:$H$826,5,FALSE),"")</f>
        <v>13</v>
      </c>
      <c r="G72" s="2" t="str">
        <f>IFERROR(VLOOKUP($C72,'_METADATA_TEMPLATE'!$B$2:$H$826,6,FALSE),"")</f>
        <v>c. Di mana usaha tersebut biasa dilakukan?</v>
      </c>
      <c r="H72" s="2" t="str">
        <f>IFERROR(VLOOKUP($C72,'_METADATA_TEMPLATE'!$B$2:$H$826,7,FALSE),"")</f>
        <v>Radio Group</v>
      </c>
      <c r="I72" s="2" t="str">
        <f>IFERROR(VLOOKUP(C72,'_METADATA_DEFAULT'!$A:$B,2,FALSE),"")</f>
        <v/>
      </c>
    </row>
    <row r="73" ht="15.75" customHeight="1">
      <c r="A73" s="3" t="s">
        <v>373</v>
      </c>
      <c r="B73" s="3" t="s">
        <v>583</v>
      </c>
      <c r="C73" s="3" t="s">
        <v>581</v>
      </c>
      <c r="D73" s="3">
        <f>IFERROR(VLOOKUP($C73,'_METADATA_TEMPLATE'!$B$2:$H$826,2,FALSE),"")</f>
        <v>164</v>
      </c>
      <c r="E73" s="3" t="str">
        <f>IFERROR(VLOOKUP($C73,'_METADATA_TEMPLATE'!$B$2:$H$826,4,FALSE),"")</f>
        <v>SE2026 - L BLOK II</v>
      </c>
      <c r="F73" s="3" t="str">
        <f>IFERROR(VLOOKUP($C73,'_METADATA_TEMPLATE'!$B$2:$H$826,5,FALSE),"")</f>
        <v>13</v>
      </c>
      <c r="G73" s="3" t="str">
        <f>IFERROR(VLOOKUP($C73,'_METADATA_TEMPLATE'!$B$2:$H$826,6,FALSE),"")</f>
        <v>c. Di mana usaha tersebut biasa dilakukan?</v>
      </c>
      <c r="H73" s="3" t="str">
        <f>IFERROR(VLOOKUP($C73,'_METADATA_TEMPLATE'!$B$2:$H$826,7,FALSE),"")</f>
        <v>Radio Group</v>
      </c>
      <c r="I73" s="3" t="str">
        <f>IFERROR(VLOOKUP(C73,'_METADATA_DEFAULT'!$A:$B,2,FALSE),"")</f>
        <v/>
      </c>
    </row>
    <row r="74" ht="15.75" customHeight="1">
      <c r="A74" s="2" t="s">
        <v>373</v>
      </c>
      <c r="B74" s="2" t="s">
        <v>587</v>
      </c>
      <c r="C74" s="2" t="s">
        <v>587</v>
      </c>
      <c r="D74" s="2">
        <f>IFERROR(VLOOKUP($C74,'_METADATA_TEMPLATE'!$B$2:$H$826,2,FALSE),"")</f>
        <v>165</v>
      </c>
      <c r="E74" s="2" t="str">
        <f>IFERROR(VLOOKUP($C74,'_METADATA_TEMPLATE'!$B$2:$H$826,4,FALSE),"")</f>
        <v>SE2026 - L BLOK II</v>
      </c>
      <c r="F74" s="2" t="str">
        <f>IFERROR(VLOOKUP($C74,'_METADATA_TEMPLATE'!$B$2:$H$826,5,FALSE),"")</f>
        <v>13</v>
      </c>
      <c r="G74" s="2" t="str">
        <f>IFERROR(VLOOKUP($C74,'_METADATA_TEMPLATE'!$B$2:$H$826,6,FALSE),"")</f>
        <v>d. Apa input yang digunakan? Contoh: daging ikan, tepung; daging kebab, kulit kebab, sayuran; bambu; jagung pipil; kaca; kain; kulit sapi; kayu bulat; rotan; kunci polos</v>
      </c>
      <c r="H74" s="2" t="str">
        <f>IFERROR(VLOOKUP($C74,'_METADATA_TEMPLATE'!$B$2:$H$826,7,FALSE),"")</f>
        <v>Text Area</v>
      </c>
      <c r="I74" s="2" t="str">
        <f>IFERROR(VLOOKUP(C74,'_METADATA_DEFAULT'!$A:$B,2,FALSE),"")</f>
        <v/>
      </c>
    </row>
    <row r="75" ht="15.75" customHeight="1">
      <c r="A75" s="3" t="s">
        <v>373</v>
      </c>
      <c r="B75" s="3" t="s">
        <v>589</v>
      </c>
      <c r="C75" s="3" t="s">
        <v>589</v>
      </c>
      <c r="D75" s="3">
        <f>IFERROR(VLOOKUP($C75,'_METADATA_TEMPLATE'!$B$2:$H$826,2,FALSE),"")</f>
        <v>166</v>
      </c>
      <c r="E75" s="3" t="str">
        <f>IFERROR(VLOOKUP($C75,'_METADATA_TEMPLATE'!$B$2:$H$826,4,FALSE),"")</f>
        <v>SE2026 - L BLOK II</v>
      </c>
      <c r="F75" s="3" t="str">
        <f>IFERROR(VLOOKUP($C75,'_METADATA_TEMPLATE'!$B$2:$H$826,5,FALSE),"")</f>
        <v>13</v>
      </c>
      <c r="G75" s="3" t="str">
        <f>IFERROR(VLOOKUP($C75,'_METADATA_TEMPLATE'!$B$2:$H$826,6,FALSE),"")</f>
        <v>e. Bagaimana proses mengubah input tersebut menjadi produk output (beserta alatnya)? Contoh: menggiling daging ikan menjadi sosis; membuat kebab di rumah dan sudah dikemasi kemudian dititipkan di warung; penggaraman; pengasapan; pemindangan; pembekuan.</v>
      </c>
      <c r="H75" s="3" t="str">
        <f>IFERROR(VLOOKUP($C75,'_METADATA_TEMPLATE'!$B$2:$H$826,7,FALSE),"")</f>
        <v>Text Area</v>
      </c>
      <c r="I75" s="3" t="str">
        <f>IFERROR(VLOOKUP(C75,'_METADATA_DEFAULT'!$A:$B,2,FALSE),"")</f>
        <v/>
      </c>
    </row>
    <row r="76" ht="15.75" customHeight="1">
      <c r="A76" s="2" t="s">
        <v>373</v>
      </c>
      <c r="B76" s="2" t="s">
        <v>592</v>
      </c>
      <c r="C76" s="2" t="s">
        <v>592</v>
      </c>
      <c r="D76" s="2">
        <f>IFERROR(VLOOKUP($C76,'_METADATA_TEMPLATE'!$B$2:$H$826,2,FALSE),"")</f>
        <v>167</v>
      </c>
      <c r="E76" s="2" t="str">
        <f>IFERROR(VLOOKUP($C76,'_METADATA_TEMPLATE'!$B$2:$H$826,4,FALSE),"")</f>
        <v>SE2026 - L BLOK II</v>
      </c>
      <c r="F76" s="2" t="str">
        <f>IFERROR(VLOOKUP($C76,'_METADATA_TEMPLATE'!$B$2:$H$826,5,FALSE),"")</f>
        <v>13</v>
      </c>
      <c r="G76" s="2" t="str">
        <f>IFERROR(VLOOKUP($C76,'_METADATA_TEMPLATE'!$B$2:$H$826,6,FALSE),"")</f>
        <v>f. Apa produk utama yang dihasilkan?</v>
      </c>
      <c r="H76" s="2" t="str">
        <f>IFERROR(VLOOKUP($C76,'_METADATA_TEMPLATE'!$B$2:$H$826,7,FALSE),"")</f>
        <v>Text Input</v>
      </c>
      <c r="I76" s="2" t="str">
        <f>IFERROR(VLOOKUP(C76,'_METADATA_DEFAULT'!$A:$B,2,FALSE),"")</f>
        <v/>
      </c>
    </row>
    <row r="77" ht="15.75" customHeight="1">
      <c r="A77" s="3" t="s">
        <v>373</v>
      </c>
      <c r="B77" s="3" t="s">
        <v>594</v>
      </c>
      <c r="C77" s="3" t="s">
        <v>595</v>
      </c>
      <c r="D77" s="3">
        <f>IFERROR(VLOOKUP($C77,'_METADATA_TEMPLATE'!$B$2:$H$826,2,FALSE),"")</f>
        <v>168</v>
      </c>
      <c r="E77" s="3" t="str">
        <f>IFERROR(VLOOKUP($C77,'_METADATA_TEMPLATE'!$B$2:$H$826,4,FALSE),"")</f>
        <v>SE2026 - L BLOK II</v>
      </c>
      <c r="F77" s="3" t="str">
        <f>IFERROR(VLOOKUP($C77,'_METADATA_TEMPLATE'!$B$2:$H$826,5,FALSE),"")</f>
        <v>13</v>
      </c>
      <c r="G77" s="3" t="str">
        <f>IFERROR(VLOOKUP($C77,'_METADATA_TEMPLATE'!$B$2:$H$826,6,FALSE),"")</f>
        <v>g. Kode KBLI</v>
      </c>
      <c r="H77" s="3" t="str">
        <f>IFERROR(VLOOKUP($C77,'_METADATA_TEMPLATE'!$B$2:$H$826,7,FALSE),"")</f>
        <v>Radio Group</v>
      </c>
      <c r="I77" s="3" t="str">
        <f>IFERROR(VLOOKUP(C77,'_METADATA_DEFAULT'!$A:$B,2,FALSE),"")</f>
        <v/>
      </c>
    </row>
    <row r="78" ht="15.75" customHeight="1">
      <c r="A78" s="2" t="s">
        <v>373</v>
      </c>
      <c r="B78" s="2" t="s">
        <v>598</v>
      </c>
      <c r="C78" s="2" t="s">
        <v>595</v>
      </c>
      <c r="D78" s="2">
        <f>IFERROR(VLOOKUP($C78,'_METADATA_TEMPLATE'!$B$2:$H$826,2,FALSE),"")</f>
        <v>168</v>
      </c>
      <c r="E78" s="2" t="str">
        <f>IFERROR(VLOOKUP($C78,'_METADATA_TEMPLATE'!$B$2:$H$826,4,FALSE),"")</f>
        <v>SE2026 - L BLOK II</v>
      </c>
      <c r="F78" s="2" t="str">
        <f>IFERROR(VLOOKUP($C78,'_METADATA_TEMPLATE'!$B$2:$H$826,5,FALSE),"")</f>
        <v>13</v>
      </c>
      <c r="G78" s="2" t="str">
        <f>IFERROR(VLOOKUP($C78,'_METADATA_TEMPLATE'!$B$2:$H$826,6,FALSE),"")</f>
        <v>g. Kode KBLI</v>
      </c>
      <c r="H78" s="2" t="str">
        <f>IFERROR(VLOOKUP($C78,'_METADATA_TEMPLATE'!$B$2:$H$826,7,FALSE),"")</f>
        <v>Radio Group</v>
      </c>
      <c r="I78" s="2" t="str">
        <f>IFERROR(VLOOKUP(C78,'_METADATA_DEFAULT'!$A:$B,2,FALSE),"")</f>
        <v/>
      </c>
    </row>
    <row r="79" ht="15.75" customHeight="1">
      <c r="A79" s="3" t="s">
        <v>373</v>
      </c>
      <c r="B79" s="3" t="s">
        <v>600</v>
      </c>
      <c r="C79" s="3" t="s">
        <v>602</v>
      </c>
      <c r="D79" s="3">
        <f>IFERROR(VLOOKUP($C79,'_METADATA_TEMPLATE'!$B$2:$H$826,2,FALSE),"")</f>
        <v>169</v>
      </c>
      <c r="E79" s="3" t="str">
        <f>IFERROR(VLOOKUP($C79,'_METADATA_TEMPLATE'!$B$2:$H$826,4,FALSE),"")</f>
        <v>SE2026 - L BLOK II</v>
      </c>
      <c r="F79" s="3" t="str">
        <f>IFERROR(VLOOKUP($C79,'_METADATA_TEMPLATE'!$B$2:$H$826,5,FALSE),"")</f>
        <v/>
      </c>
      <c r="G79" s="3" t="str">
        <f>IFERROR(VLOOKUP($C79,'_METADATA_TEMPLATE'!$B$2:$H$826,6,FALSE),"")</f>
        <v>Pilih dari Master KBLI</v>
      </c>
      <c r="H79" s="3" t="str">
        <f>IFERROR(VLOOKUP($C79,'_METADATA_TEMPLATE'!$B$2:$H$826,7,FALSE),"")</f>
        <v>Select</v>
      </c>
      <c r="I79" s="3" t="str">
        <f>IFERROR(VLOOKUP(C79,'_METADATA_DEFAULT'!$A:$B,2,FALSE),"")</f>
        <v/>
      </c>
    </row>
    <row r="80" ht="15.75" customHeight="1">
      <c r="A80" s="2" t="s">
        <v>373</v>
      </c>
      <c r="B80" s="2" t="s">
        <v>605</v>
      </c>
      <c r="C80" s="2" t="s">
        <v>602</v>
      </c>
      <c r="D80" s="2">
        <f>IFERROR(VLOOKUP($C80,'_METADATA_TEMPLATE'!$B$2:$H$826,2,FALSE),"")</f>
        <v>169</v>
      </c>
      <c r="E80" s="2" t="str">
        <f>IFERROR(VLOOKUP($C80,'_METADATA_TEMPLATE'!$B$2:$H$826,4,FALSE),"")</f>
        <v>SE2026 - L BLOK II</v>
      </c>
      <c r="F80" s="2" t="str">
        <f>IFERROR(VLOOKUP($C80,'_METADATA_TEMPLATE'!$B$2:$H$826,5,FALSE),"")</f>
        <v/>
      </c>
      <c r="G80" s="2" t="str">
        <f>IFERROR(VLOOKUP($C80,'_METADATA_TEMPLATE'!$B$2:$H$826,6,FALSE),"")</f>
        <v>Pilih dari Master KBLI</v>
      </c>
      <c r="H80" s="2" t="str">
        <f>IFERROR(VLOOKUP($C80,'_METADATA_TEMPLATE'!$B$2:$H$826,7,FALSE),"")</f>
        <v>Select</v>
      </c>
      <c r="I80" s="2" t="str">
        <f>IFERROR(VLOOKUP(C80,'_METADATA_DEFAULT'!$A:$B,2,FALSE),"")</f>
        <v/>
      </c>
    </row>
    <row r="81" ht="15.75" customHeight="1">
      <c r="A81" s="3" t="s">
        <v>373</v>
      </c>
      <c r="B81" s="3" t="s">
        <v>606</v>
      </c>
      <c r="C81" s="3" t="s">
        <v>606</v>
      </c>
      <c r="D81" s="3">
        <f>IFERROR(VLOOKUP($C81,'_METADATA_TEMPLATE'!$B$2:$H$826,2,FALSE),"")</f>
        <v>170</v>
      </c>
      <c r="E81" s="3" t="str">
        <f>IFERROR(VLOOKUP($C81,'_METADATA_TEMPLATE'!$B$2:$H$826,4,FALSE),"")</f>
        <v>SE2026 - L BLOK II</v>
      </c>
      <c r="F81" s="3" t="str">
        <f>IFERROR(VLOOKUP($C81,'_METADATA_TEMPLATE'!$B$2:$H$826,5,FALSE),"")</f>
        <v>13</v>
      </c>
      <c r="G81" s="3" t="str">
        <f>IFERROR(VLOOKUP($C81,'_METADATA_TEMPLATE'!$B$2:$H$826,6,FALSE),"")</f>
        <v>h. Kategori Lapangan Usaha:</v>
      </c>
      <c r="H81" s="3" t="str">
        <f>IFERROR(VLOOKUP($C81,'_METADATA_TEMPLATE'!$B$2:$H$826,7,FALSE),"")</f>
        <v>Variable</v>
      </c>
      <c r="I81" s="3" t="str">
        <f>IFERROR(VLOOKUP(C81,'_METADATA_DEFAULT'!$A:$B,2,FALSE),"")</f>
        <v/>
      </c>
    </row>
    <row r="82" ht="15.75" customHeight="1">
      <c r="A82" s="2" t="s">
        <v>373</v>
      </c>
      <c r="B82" s="2" t="s">
        <v>610</v>
      </c>
      <c r="C82" s="2" t="s">
        <v>611</v>
      </c>
      <c r="D82" s="2">
        <f>IFERROR(VLOOKUP($C82,'_METADATA_TEMPLATE'!$B$2:$H$826,2,FALSE),"")</f>
        <v>171</v>
      </c>
      <c r="E82" s="2" t="str">
        <f>IFERROR(VLOOKUP($C82,'_METADATA_TEMPLATE'!$B$2:$H$826,4,FALSE),"")</f>
        <v>SE2026 - L BLOK II</v>
      </c>
      <c r="F82" s="2" t="str">
        <f>IFERROR(VLOOKUP($C82,'_METADATA_TEMPLATE'!$B$2:$H$826,5,FALSE),"")</f>
        <v/>
      </c>
      <c r="G82" s="2" t="str">
        <f>IFERROR(VLOOKUP($C82,'_METADATA_TEMPLATE'!$B$2:$H$826,6,FALSE),"")</f>
        <v>Cek Kategori &amp; KBLI (Diisi oleh PML)</v>
      </c>
      <c r="H82" s="2" t="str">
        <f>IFERROR(VLOOKUP($C82,'_METADATA_TEMPLATE'!$B$2:$H$826,7,FALSE),"")</f>
        <v>Radio Group</v>
      </c>
      <c r="I82" s="2" t="str">
        <f>IFERROR(VLOOKUP(C82,'_METADATA_DEFAULT'!$A:$B,2,FALSE),"")</f>
        <v/>
      </c>
    </row>
    <row r="83" ht="15.75" customHeight="1">
      <c r="A83" s="3" t="s">
        <v>373</v>
      </c>
      <c r="B83" s="3" t="s">
        <v>614</v>
      </c>
      <c r="C83" s="3" t="s">
        <v>611</v>
      </c>
      <c r="D83" s="3">
        <f>IFERROR(VLOOKUP($C83,'_METADATA_TEMPLATE'!$B$2:$H$826,2,FALSE),"")</f>
        <v>171</v>
      </c>
      <c r="E83" s="3" t="str">
        <f>IFERROR(VLOOKUP($C83,'_METADATA_TEMPLATE'!$B$2:$H$826,4,FALSE),"")</f>
        <v>SE2026 - L BLOK II</v>
      </c>
      <c r="F83" s="3" t="str">
        <f>IFERROR(VLOOKUP($C83,'_METADATA_TEMPLATE'!$B$2:$H$826,5,FALSE),"")</f>
        <v/>
      </c>
      <c r="G83" s="3" t="str">
        <f>IFERROR(VLOOKUP($C83,'_METADATA_TEMPLATE'!$B$2:$H$826,6,FALSE),"")</f>
        <v>Cek Kategori &amp; KBLI (Diisi oleh PML)</v>
      </c>
      <c r="H83" s="3" t="str">
        <f>IFERROR(VLOOKUP($C83,'_METADATA_TEMPLATE'!$B$2:$H$826,7,FALSE),"")</f>
        <v>Radio Group</v>
      </c>
      <c r="I83" s="3" t="str">
        <f>IFERROR(VLOOKUP(C83,'_METADATA_DEFAULT'!$A:$B,2,FALSE),"")</f>
        <v/>
      </c>
    </row>
    <row r="84" ht="15.75" customHeight="1">
      <c r="A84" s="2" t="s">
        <v>373</v>
      </c>
      <c r="B84" s="2" t="s">
        <v>616</v>
      </c>
      <c r="C84" s="2" t="s">
        <v>617</v>
      </c>
      <c r="D84" s="2">
        <f>IFERROR(VLOOKUP($C84,'_METADATA_TEMPLATE'!$B$2:$H$826,2,FALSE),"")</f>
        <v>172</v>
      </c>
      <c r="E84" s="2" t="str">
        <f>IFERROR(VLOOKUP($C84,'_METADATA_TEMPLATE'!$B$2:$H$826,4,FALSE),"")</f>
        <v>SE2026 - L BLOK II</v>
      </c>
      <c r="F84" s="2" t="str">
        <f>IFERROR(VLOOKUP($C84,'_METADATA_TEMPLATE'!$B$2:$H$826,5,FALSE),"")</f>
        <v>13</v>
      </c>
      <c r="G84" s="2" t="str">
        <f>IFERROR(VLOOKUP($C84,'_METADATA_TEMPLATE'!$B$2:$H$826,6,FALSE),"")</f>
        <v>i. Jika usaha/perusahaan merupakan akomodasi jangka pendek, apa klasifikasi usaha/perusahaan ini?</v>
      </c>
      <c r="H84" s="2" t="str">
        <f>IFERROR(VLOOKUP($C84,'_METADATA_TEMPLATE'!$B$2:$H$826,7,FALSE),"")</f>
        <v>Radio Group</v>
      </c>
      <c r="I84" s="2" t="str">
        <f>IFERROR(VLOOKUP(C84,'_METADATA_DEFAULT'!$A:$B,2,FALSE),"")</f>
        <v/>
      </c>
    </row>
    <row r="85" ht="15.75" customHeight="1">
      <c r="A85" s="3" t="s">
        <v>373</v>
      </c>
      <c r="B85" s="3" t="s">
        <v>620</v>
      </c>
      <c r="C85" s="3" t="s">
        <v>617</v>
      </c>
      <c r="D85" s="3">
        <f>IFERROR(VLOOKUP($C85,'_METADATA_TEMPLATE'!$B$2:$H$826,2,FALSE),"")</f>
        <v>172</v>
      </c>
      <c r="E85" s="3" t="str">
        <f>IFERROR(VLOOKUP($C85,'_METADATA_TEMPLATE'!$B$2:$H$826,4,FALSE),"")</f>
        <v>SE2026 - L BLOK II</v>
      </c>
      <c r="F85" s="3" t="str">
        <f>IFERROR(VLOOKUP($C85,'_METADATA_TEMPLATE'!$B$2:$H$826,5,FALSE),"")</f>
        <v>13</v>
      </c>
      <c r="G85" s="3" t="str">
        <f>IFERROR(VLOOKUP($C85,'_METADATA_TEMPLATE'!$B$2:$H$826,6,FALSE),"")</f>
        <v>i. Jika usaha/perusahaan merupakan akomodasi jangka pendek, apa klasifikasi usaha/perusahaan ini?</v>
      </c>
      <c r="H85" s="3" t="str">
        <f>IFERROR(VLOOKUP($C85,'_METADATA_TEMPLATE'!$B$2:$H$826,7,FALSE),"")</f>
        <v>Radio Group</v>
      </c>
      <c r="I85" s="3" t="str">
        <f>IFERROR(VLOOKUP(C85,'_METADATA_DEFAULT'!$A:$B,2,FALSE),"")</f>
        <v/>
      </c>
    </row>
    <row r="86" ht="15.75" customHeight="1">
      <c r="A86" s="2" t="s">
        <v>373</v>
      </c>
      <c r="B86" s="2" t="s">
        <v>622</v>
      </c>
      <c r="C86" s="2" t="s">
        <v>623</v>
      </c>
      <c r="D86" s="2">
        <f>IFERROR(VLOOKUP($C86,'_METADATA_TEMPLATE'!$B$2:$H$826,2,FALSE),"")</f>
        <v>173</v>
      </c>
      <c r="E86" s="2" t="str">
        <f>IFERROR(VLOOKUP($C86,'_METADATA_TEMPLATE'!$B$2:$H$826,4,FALSE),"")</f>
        <v>SE2026 - L BLOK II</v>
      </c>
      <c r="F86" s="2" t="str">
        <f>IFERROR(VLOOKUP($C86,'_METADATA_TEMPLATE'!$B$2:$H$826,5,FALSE),"")</f>
        <v>14</v>
      </c>
      <c r="G86" s="2" t="str">
        <f>IFERROR(VLOOKUP($C86,'_METADATA_TEMPLATE'!$B$2:$H$826,6,FALSE),"")</f>
        <v>a. Apa jaringan usaha dari usaha/perusahaan ini?</v>
      </c>
      <c r="H86" s="2" t="str">
        <f>IFERROR(VLOOKUP($C86,'_METADATA_TEMPLATE'!$B$2:$H$826,7,FALSE),"")</f>
        <v>Radio Group</v>
      </c>
      <c r="I86" s="2" t="str">
        <f>IFERROR(VLOOKUP(C86,'_METADATA_DEFAULT'!$A:$B,2,FALSE),"")</f>
        <v/>
      </c>
    </row>
    <row r="87" ht="15.75" customHeight="1">
      <c r="A87" s="3" t="s">
        <v>373</v>
      </c>
      <c r="B87" s="3" t="s">
        <v>626</v>
      </c>
      <c r="C87" s="3" t="s">
        <v>623</v>
      </c>
      <c r="D87" s="3">
        <f>IFERROR(VLOOKUP($C87,'_METADATA_TEMPLATE'!$B$2:$H$826,2,FALSE),"")</f>
        <v>173</v>
      </c>
      <c r="E87" s="3" t="str">
        <f>IFERROR(VLOOKUP($C87,'_METADATA_TEMPLATE'!$B$2:$H$826,4,FALSE),"")</f>
        <v>SE2026 - L BLOK II</v>
      </c>
      <c r="F87" s="3" t="str">
        <f>IFERROR(VLOOKUP($C87,'_METADATA_TEMPLATE'!$B$2:$H$826,5,FALSE),"")</f>
        <v>14</v>
      </c>
      <c r="G87" s="3" t="str">
        <f>IFERROR(VLOOKUP($C87,'_METADATA_TEMPLATE'!$B$2:$H$826,6,FALSE),"")</f>
        <v>a. Apa jaringan usaha dari usaha/perusahaan ini?</v>
      </c>
      <c r="H87" s="3" t="str">
        <f>IFERROR(VLOOKUP($C87,'_METADATA_TEMPLATE'!$B$2:$H$826,7,FALSE),"")</f>
        <v>Radio Group</v>
      </c>
      <c r="I87" s="3" t="str">
        <f>IFERROR(VLOOKUP(C87,'_METADATA_DEFAULT'!$A:$B,2,FALSE),"")</f>
        <v/>
      </c>
    </row>
    <row r="88" ht="15.75" customHeight="1">
      <c r="A88" s="2" t="s">
        <v>373</v>
      </c>
      <c r="B88" s="2" t="s">
        <v>628</v>
      </c>
      <c r="C88" s="2" t="s">
        <v>628</v>
      </c>
      <c r="D88" s="2">
        <f>IFERROR(VLOOKUP($C88,'_METADATA_TEMPLATE'!$B$2:$H$826,2,FALSE),"")</f>
        <v>174</v>
      </c>
      <c r="E88" s="2" t="str">
        <f>IFERROR(VLOOKUP($C88,'_METADATA_TEMPLATE'!$B$2:$H$826,4,FALSE),"")</f>
        <v>SE2026 - L BLOK II</v>
      </c>
      <c r="F88" s="2" t="str">
        <f>IFERROR(VLOOKUP($C88,'_METADATA_TEMPLATE'!$B$2:$H$826,5,FALSE),"")</f>
        <v>14</v>
      </c>
      <c r="G88" s="2" t="str">
        <f>IFERROR(VLOOKUP($C88,'_METADATA_TEMPLATE'!$B$2:$H$826,6,FALSE),"")</f>
        <v>b. Berapa jumlah seluruh kantor cabang dan unit usaha yang berada di bawah kantor pusat?</v>
      </c>
      <c r="H88" s="2" t="str">
        <f>IFERROR(VLOOKUP($C88,'_METADATA_TEMPLATE'!$B$2:$H$826,7,FALSE),"")</f>
        <v>Number</v>
      </c>
      <c r="I88" s="2" t="str">
        <f>IFERROR(VLOOKUP(C88,'_METADATA_DEFAULT'!$A:$B,2,FALSE),"")</f>
        <v/>
      </c>
    </row>
    <row r="89" ht="15.75" customHeight="1">
      <c r="A89" s="3" t="s">
        <v>373</v>
      </c>
      <c r="B89" s="3" t="s">
        <v>632</v>
      </c>
      <c r="C89" s="3" t="s">
        <v>632</v>
      </c>
      <c r="D89" s="3">
        <f>IFERROR(VLOOKUP($C89,'_METADATA_TEMPLATE'!$B$2:$H$826,2,FALSE),"")</f>
        <v>175</v>
      </c>
      <c r="E89" s="3" t="str">
        <f>IFERROR(VLOOKUP($C89,'_METADATA_TEMPLATE'!$B$2:$H$826,4,FALSE),"")</f>
        <v>SE2026 - L BLOK II</v>
      </c>
      <c r="F89" s="3" t="str">
        <f>IFERROR(VLOOKUP($C89,'_METADATA_TEMPLATE'!$B$2:$H$826,5,FALSE),"")</f>
        <v>15</v>
      </c>
      <c r="G89" s="3" t="str">
        <f>IFERROR(VLOOKUP($C89,'_METADATA_TEMPLATE'!$B$2:$H$826,6,FALSE),"")</f>
        <v>a. Nama Kantor Pusat</v>
      </c>
      <c r="H89" s="3" t="str">
        <f>IFERROR(VLOOKUP($C89,'_METADATA_TEMPLATE'!$B$2:$H$826,7,FALSE),"")</f>
        <v>Text Input</v>
      </c>
      <c r="I89" s="3" t="str">
        <f>IFERROR(VLOOKUP(C89,'_METADATA_DEFAULT'!$A:$B,2,FALSE),"")</f>
        <v/>
      </c>
    </row>
    <row r="90" ht="15.75" customHeight="1">
      <c r="A90" s="2" t="s">
        <v>373</v>
      </c>
      <c r="B90" s="2" t="s">
        <v>634</v>
      </c>
      <c r="C90" s="2" t="s">
        <v>634</v>
      </c>
      <c r="D90" s="2">
        <f>IFERROR(VLOOKUP($C90,'_METADATA_TEMPLATE'!$B$2:$H$826,2,FALSE),"")</f>
        <v>176</v>
      </c>
      <c r="E90" s="2" t="str">
        <f>IFERROR(VLOOKUP($C90,'_METADATA_TEMPLATE'!$B$2:$H$826,4,FALSE),"")</f>
        <v>SE2026 - L BLOK II</v>
      </c>
      <c r="F90" s="2" t="str">
        <f>IFERROR(VLOOKUP($C90,'_METADATA_TEMPLATE'!$B$2:$H$826,5,FALSE),"")</f>
        <v>15</v>
      </c>
      <c r="G90" s="2" t="str">
        <f>IFERROR(VLOOKUP($C90,'_METADATA_TEMPLATE'!$B$2:$H$826,6,FALSE),"")</f>
        <v>b. Alamat Kantor Pusat</v>
      </c>
      <c r="H90" s="2" t="str">
        <f>IFERROR(VLOOKUP($C90,'_METADATA_TEMPLATE'!$B$2:$H$826,7,FALSE),"")</f>
        <v>Text Area</v>
      </c>
      <c r="I90" s="2" t="str">
        <f>IFERROR(VLOOKUP(C90,'_METADATA_DEFAULT'!$A:$B,2,FALSE),"")</f>
        <v/>
      </c>
    </row>
    <row r="91" ht="15.75" customHeight="1">
      <c r="A91" s="3" t="s">
        <v>373</v>
      </c>
      <c r="B91" s="3" t="s">
        <v>637</v>
      </c>
      <c r="C91" s="3" t="s">
        <v>637</v>
      </c>
      <c r="D91" s="3">
        <f>IFERROR(VLOOKUP($C91,'_METADATA_TEMPLATE'!$B$2:$H$826,2,FALSE),"")</f>
        <v>177</v>
      </c>
      <c r="E91" s="3" t="str">
        <f>IFERROR(VLOOKUP($C91,'_METADATA_TEMPLATE'!$B$2:$H$826,4,FALSE),"")</f>
        <v>SE2026 - L BLOK II</v>
      </c>
      <c r="F91" s="3" t="str">
        <f>IFERROR(VLOOKUP($C91,'_METADATA_TEMPLATE'!$B$2:$H$826,5,FALSE),"")</f>
        <v>15</v>
      </c>
      <c r="G91" s="3" t="str">
        <f>IFERROR(VLOOKUP($C91,'_METADATA_TEMPLATE'!$B$2:$H$826,6,FALSE),"")</f>
        <v>c. Email</v>
      </c>
      <c r="H91" s="3" t="str">
        <f>IFERROR(VLOOKUP($C91,'_METADATA_TEMPLATE'!$B$2:$H$826,7,FALSE),"")</f>
        <v>Text Input</v>
      </c>
      <c r="I91" s="3" t="str">
        <f>IFERROR(VLOOKUP(C91,'_METADATA_DEFAULT'!$A:$B,2,FALSE),"")</f>
        <v/>
      </c>
    </row>
    <row r="92" ht="15.75" customHeight="1">
      <c r="A92" s="2" t="s">
        <v>373</v>
      </c>
      <c r="B92" s="2" t="s">
        <v>639</v>
      </c>
      <c r="C92" s="2" t="s">
        <v>640</v>
      </c>
      <c r="D92" s="2">
        <f>IFERROR(VLOOKUP($C92,'_METADATA_TEMPLATE'!$B$2:$H$826,2,FALSE),"")</f>
        <v>178</v>
      </c>
      <c r="E92" s="2" t="str">
        <f>IFERROR(VLOOKUP($C92,'_METADATA_TEMPLATE'!$B$2:$H$826,4,FALSE),"")</f>
        <v>SE2026 - L BLOK II</v>
      </c>
      <c r="F92" s="2" t="str">
        <f>IFERROR(VLOOKUP($C92,'_METADATA_TEMPLATE'!$B$2:$H$826,5,FALSE),"")</f>
        <v>15</v>
      </c>
      <c r="G92" s="2" t="str">
        <f>IFERROR(VLOOKUP($C92,'_METADATA_TEMPLATE'!$B$2:$H$826,6,FALSE),"")</f>
        <v>d. Negara</v>
      </c>
      <c r="H92" s="2" t="str">
        <f>IFERROR(VLOOKUP($C92,'_METADATA_TEMPLATE'!$B$2:$H$826,7,FALSE),"")</f>
        <v>Select</v>
      </c>
      <c r="I92" s="2" t="str">
        <f>IFERROR(VLOOKUP(C92,'_METADATA_DEFAULT'!$A:$B,2,FALSE),"")</f>
        <v/>
      </c>
    </row>
    <row r="93" ht="15.75" customHeight="1">
      <c r="A93" s="3" t="s">
        <v>373</v>
      </c>
      <c r="B93" s="3" t="s">
        <v>642</v>
      </c>
      <c r="C93" s="3" t="s">
        <v>640</v>
      </c>
      <c r="D93" s="3">
        <f>IFERROR(VLOOKUP($C93,'_METADATA_TEMPLATE'!$B$2:$H$826,2,FALSE),"")</f>
        <v>178</v>
      </c>
      <c r="E93" s="3" t="str">
        <f>IFERROR(VLOOKUP($C93,'_METADATA_TEMPLATE'!$B$2:$H$826,4,FALSE),"")</f>
        <v>SE2026 - L BLOK II</v>
      </c>
      <c r="F93" s="3" t="str">
        <f>IFERROR(VLOOKUP($C93,'_METADATA_TEMPLATE'!$B$2:$H$826,5,FALSE),"")</f>
        <v>15</v>
      </c>
      <c r="G93" s="3" t="str">
        <f>IFERROR(VLOOKUP($C93,'_METADATA_TEMPLATE'!$B$2:$H$826,6,FALSE),"")</f>
        <v>d. Negara</v>
      </c>
      <c r="H93" s="3" t="str">
        <f>IFERROR(VLOOKUP($C93,'_METADATA_TEMPLATE'!$B$2:$H$826,7,FALSE),"")</f>
        <v>Select</v>
      </c>
      <c r="I93" s="3" t="str">
        <f>IFERROR(VLOOKUP(C93,'_METADATA_DEFAULT'!$A:$B,2,FALSE),"")</f>
        <v/>
      </c>
    </row>
    <row r="94" ht="15.75" customHeight="1">
      <c r="A94" s="2" t="s">
        <v>373</v>
      </c>
      <c r="B94" s="2" t="s">
        <v>647</v>
      </c>
      <c r="C94" s="2" t="s">
        <v>648</v>
      </c>
      <c r="D94" s="2">
        <f>IFERROR(VLOOKUP($C94,'_METADATA_TEMPLATE'!$B$2:$H$826,2,FALSE),"")</f>
        <v>179</v>
      </c>
      <c r="E94" s="2" t="str">
        <f>IFERROR(VLOOKUP($C94,'_METADATA_TEMPLATE'!$B$2:$H$826,4,FALSE),"")</f>
        <v>SE2026 - L BLOK II</v>
      </c>
      <c r="F94" s="2" t="str">
        <f>IFERROR(VLOOKUP($C94,'_METADATA_TEMPLATE'!$B$2:$H$826,5,FALSE),"")</f>
        <v>15</v>
      </c>
      <c r="G94" s="2" t="str">
        <f>IFERROR(VLOOKUP($C94,'_METADATA_TEMPLATE'!$B$2:$H$826,6,FALSE),"")</f>
        <v>e. Provinsi</v>
      </c>
      <c r="H94" s="2" t="str">
        <f>IFERROR(VLOOKUP($C94,'_METADATA_TEMPLATE'!$B$2:$H$826,7,FALSE),"")</f>
        <v>Select</v>
      </c>
      <c r="I94" s="2" t="str">
        <f>IFERROR(VLOOKUP(C94,'_METADATA_DEFAULT'!$A:$B,2,FALSE),"")</f>
        <v/>
      </c>
    </row>
    <row r="95" ht="15.75" customHeight="1">
      <c r="A95" s="3" t="s">
        <v>373</v>
      </c>
      <c r="B95" s="3" t="s">
        <v>650</v>
      </c>
      <c r="C95" s="3" t="s">
        <v>648</v>
      </c>
      <c r="D95" s="3">
        <f>IFERROR(VLOOKUP($C95,'_METADATA_TEMPLATE'!$B$2:$H$826,2,FALSE),"")</f>
        <v>179</v>
      </c>
      <c r="E95" s="3" t="str">
        <f>IFERROR(VLOOKUP($C95,'_METADATA_TEMPLATE'!$B$2:$H$826,4,FALSE),"")</f>
        <v>SE2026 - L BLOK II</v>
      </c>
      <c r="F95" s="3" t="str">
        <f>IFERROR(VLOOKUP($C95,'_METADATA_TEMPLATE'!$B$2:$H$826,5,FALSE),"")</f>
        <v>15</v>
      </c>
      <c r="G95" s="3" t="str">
        <f>IFERROR(VLOOKUP($C95,'_METADATA_TEMPLATE'!$B$2:$H$826,6,FALSE),"")</f>
        <v>e. Provinsi</v>
      </c>
      <c r="H95" s="3" t="str">
        <f>IFERROR(VLOOKUP($C95,'_METADATA_TEMPLATE'!$B$2:$H$826,7,FALSE),"")</f>
        <v>Select</v>
      </c>
      <c r="I95" s="3" t="str">
        <f>IFERROR(VLOOKUP(C95,'_METADATA_DEFAULT'!$A:$B,2,FALSE),"")</f>
        <v/>
      </c>
    </row>
    <row r="96" ht="15.75" customHeight="1">
      <c r="A96" s="2" t="s">
        <v>373</v>
      </c>
      <c r="B96" s="2" t="s">
        <v>652</v>
      </c>
      <c r="C96" s="2" t="s">
        <v>653</v>
      </c>
      <c r="D96" s="2">
        <f>IFERROR(VLOOKUP($C96,'_METADATA_TEMPLATE'!$B$2:$H$826,2,FALSE),"")</f>
        <v>180</v>
      </c>
      <c r="E96" s="2" t="str">
        <f>IFERROR(VLOOKUP($C96,'_METADATA_TEMPLATE'!$B$2:$H$826,4,FALSE),"")</f>
        <v>SE2026 - L BLOK II</v>
      </c>
      <c r="F96" s="2" t="str">
        <f>IFERROR(VLOOKUP($C96,'_METADATA_TEMPLATE'!$B$2:$H$826,5,FALSE),"")</f>
        <v>15</v>
      </c>
      <c r="G96" s="2" t="str">
        <f>IFERROR(VLOOKUP($C96,'_METADATA_TEMPLATE'!$B$2:$H$826,6,FALSE),"")</f>
        <v>f. Kabupaten/Kota</v>
      </c>
      <c r="H96" s="2" t="str">
        <f>IFERROR(VLOOKUP($C96,'_METADATA_TEMPLATE'!$B$2:$H$826,7,FALSE),"")</f>
        <v>Select</v>
      </c>
      <c r="I96" s="2" t="str">
        <f>IFERROR(VLOOKUP(C96,'_METADATA_DEFAULT'!$A:$B,2,FALSE),"")</f>
        <v/>
      </c>
    </row>
    <row r="97" ht="15.75" customHeight="1">
      <c r="A97" s="3" t="s">
        <v>373</v>
      </c>
      <c r="B97" s="3" t="s">
        <v>655</v>
      </c>
      <c r="C97" s="3" t="s">
        <v>653</v>
      </c>
      <c r="D97" s="3">
        <f>IFERROR(VLOOKUP($C97,'_METADATA_TEMPLATE'!$B$2:$H$826,2,FALSE),"")</f>
        <v>180</v>
      </c>
      <c r="E97" s="3" t="str">
        <f>IFERROR(VLOOKUP($C97,'_METADATA_TEMPLATE'!$B$2:$H$826,4,FALSE),"")</f>
        <v>SE2026 - L BLOK II</v>
      </c>
      <c r="F97" s="3" t="str">
        <f>IFERROR(VLOOKUP($C97,'_METADATA_TEMPLATE'!$B$2:$H$826,5,FALSE),"")</f>
        <v>15</v>
      </c>
      <c r="G97" s="3" t="str">
        <f>IFERROR(VLOOKUP($C97,'_METADATA_TEMPLATE'!$B$2:$H$826,6,FALSE),"")</f>
        <v>f. Kabupaten/Kota</v>
      </c>
      <c r="H97" s="3" t="str">
        <f>IFERROR(VLOOKUP($C97,'_METADATA_TEMPLATE'!$B$2:$H$826,7,FALSE),"")</f>
        <v>Select</v>
      </c>
      <c r="I97" s="3" t="str">
        <f>IFERROR(VLOOKUP(C97,'_METADATA_DEFAULT'!$A:$B,2,FALSE),"")</f>
        <v/>
      </c>
    </row>
    <row r="98" ht="15.75" customHeight="1">
      <c r="A98" s="2" t="s">
        <v>373</v>
      </c>
      <c r="B98" s="2" t="s">
        <v>657</v>
      </c>
      <c r="C98" s="2" t="s">
        <v>658</v>
      </c>
      <c r="D98" s="2">
        <f>IFERROR(VLOOKUP($C98,'_METADATA_TEMPLATE'!$B$2:$H$826,2,FALSE),"")</f>
        <v>181</v>
      </c>
      <c r="E98" s="2" t="str">
        <f>IFERROR(VLOOKUP($C98,'_METADATA_TEMPLATE'!$B$2:$H$826,4,FALSE),"")</f>
        <v>SE2026 - L BLOK II</v>
      </c>
      <c r="F98" s="2" t="str">
        <f>IFERROR(VLOOKUP($C98,'_METADATA_TEMPLATE'!$B$2:$H$826,5,FALSE),"")</f>
        <v>16</v>
      </c>
      <c r="G98" s="2" t="str">
        <f>IFERROR(VLOOKUP($C98,'_METADATA_TEMPLATE'!$B$2:$H$826,6,FALSE),"")</f>
        <v>a. Apakah usaha/perusahaan ini menggunakan internet dalam menjalankan usaha?</v>
      </c>
      <c r="H98" s="2" t="str">
        <f>IFERROR(VLOOKUP($C98,'_METADATA_TEMPLATE'!$B$2:$H$826,7,FALSE),"")</f>
        <v>Radio Group</v>
      </c>
      <c r="I98" s="2" t="str">
        <f>IFERROR(VLOOKUP(C98,'_METADATA_DEFAULT'!$A:$B,2,FALSE),"")</f>
        <v/>
      </c>
    </row>
    <row r="99" ht="15.75" customHeight="1">
      <c r="A99" s="3" t="s">
        <v>373</v>
      </c>
      <c r="B99" s="3" t="s">
        <v>660</v>
      </c>
      <c r="C99" s="3" t="s">
        <v>658</v>
      </c>
      <c r="D99" s="3">
        <f>IFERROR(VLOOKUP($C99,'_METADATA_TEMPLATE'!$B$2:$H$826,2,FALSE),"")</f>
        <v>181</v>
      </c>
      <c r="E99" s="3" t="str">
        <f>IFERROR(VLOOKUP($C99,'_METADATA_TEMPLATE'!$B$2:$H$826,4,FALSE),"")</f>
        <v>SE2026 - L BLOK II</v>
      </c>
      <c r="F99" s="3" t="str">
        <f>IFERROR(VLOOKUP($C99,'_METADATA_TEMPLATE'!$B$2:$H$826,5,FALSE),"")</f>
        <v>16</v>
      </c>
      <c r="G99" s="3" t="str">
        <f>IFERROR(VLOOKUP($C99,'_METADATA_TEMPLATE'!$B$2:$H$826,6,FALSE),"")</f>
        <v>a. Apakah usaha/perusahaan ini menggunakan internet dalam menjalankan usaha?</v>
      </c>
      <c r="H99" s="3" t="str">
        <f>IFERROR(VLOOKUP($C99,'_METADATA_TEMPLATE'!$B$2:$H$826,7,FALSE),"")</f>
        <v>Radio Group</v>
      </c>
      <c r="I99" s="3" t="str">
        <f>IFERROR(VLOOKUP(C99,'_METADATA_DEFAULT'!$A:$B,2,FALSE),"")</f>
        <v/>
      </c>
    </row>
    <row r="100" ht="15.75" customHeight="1">
      <c r="A100" s="2" t="s">
        <v>373</v>
      </c>
      <c r="B100" s="2" t="s">
        <v>662</v>
      </c>
      <c r="C100" s="2" t="s">
        <v>663</v>
      </c>
      <c r="D100" s="2">
        <f>IFERROR(VLOOKUP($C100,'_METADATA_TEMPLATE'!$B$2:$H$826,2,FALSE),"")</f>
        <v>182</v>
      </c>
      <c r="E100" s="2" t="str">
        <f>IFERROR(VLOOKUP($C100,'_METADATA_TEMPLATE'!$B$2:$H$826,4,FALSE),"")</f>
        <v>SE2026 - L BLOK II</v>
      </c>
      <c r="F100" s="2" t="str">
        <f>IFERROR(VLOOKUP($C100,'_METADATA_TEMPLATE'!$B$2:$H$826,5,FALSE),"")</f>
        <v>16</v>
      </c>
      <c r="G100" s="2" t="str">
        <f>IFERROR(VLOOKUP($C100,'_METADATA_TEMPLATE'!$B$2:$H$826,6,FALSE),"")</f>
        <v>b2. Produksi barang/jasa</v>
      </c>
      <c r="H100" s="2" t="str">
        <f>IFERROR(VLOOKUP($C100,'_METADATA_TEMPLATE'!$B$2:$H$826,7,FALSE),"")</f>
        <v>Radio Group</v>
      </c>
      <c r="I100" s="2" t="str">
        <f>IFERROR(VLOOKUP(C100,'_METADATA_DEFAULT'!$A:$B,2,FALSE),"")</f>
        <v/>
      </c>
    </row>
    <row r="101" ht="15.75" customHeight="1">
      <c r="A101" s="3" t="s">
        <v>373</v>
      </c>
      <c r="B101" s="3" t="s">
        <v>665</v>
      </c>
      <c r="C101" s="3" t="s">
        <v>663</v>
      </c>
      <c r="D101" s="3">
        <f>IFERROR(VLOOKUP($C101,'_METADATA_TEMPLATE'!$B$2:$H$826,2,FALSE),"")</f>
        <v>182</v>
      </c>
      <c r="E101" s="3" t="str">
        <f>IFERROR(VLOOKUP($C101,'_METADATA_TEMPLATE'!$B$2:$H$826,4,FALSE),"")</f>
        <v>SE2026 - L BLOK II</v>
      </c>
      <c r="F101" s="3" t="str">
        <f>IFERROR(VLOOKUP($C101,'_METADATA_TEMPLATE'!$B$2:$H$826,5,FALSE),"")</f>
        <v>16</v>
      </c>
      <c r="G101" s="3" t="str">
        <f>IFERROR(VLOOKUP($C101,'_METADATA_TEMPLATE'!$B$2:$H$826,6,FALSE),"")</f>
        <v>b2. Produksi barang/jasa</v>
      </c>
      <c r="H101" s="3" t="str">
        <f>IFERROR(VLOOKUP($C101,'_METADATA_TEMPLATE'!$B$2:$H$826,7,FALSE),"")</f>
        <v>Radio Group</v>
      </c>
      <c r="I101" s="3" t="str">
        <f>IFERROR(VLOOKUP(C101,'_METADATA_DEFAULT'!$A:$B,2,FALSE),"")</f>
        <v/>
      </c>
    </row>
    <row r="102" ht="15.75" customHeight="1">
      <c r="A102" s="2" t="s">
        <v>373</v>
      </c>
      <c r="B102" s="2" t="s">
        <v>667</v>
      </c>
      <c r="C102" s="2" t="s">
        <v>668</v>
      </c>
      <c r="D102" s="2">
        <f>IFERROR(VLOOKUP($C102,'_METADATA_TEMPLATE'!$B$2:$H$826,2,FALSE),"")</f>
        <v>183</v>
      </c>
      <c r="E102" s="2" t="str">
        <f>IFERROR(VLOOKUP($C102,'_METADATA_TEMPLATE'!$B$2:$H$826,4,FALSE),"")</f>
        <v>SE2026 - L BLOK II</v>
      </c>
      <c r="F102" s="2" t="str">
        <f>IFERROR(VLOOKUP($C102,'_METADATA_TEMPLATE'!$B$2:$H$826,5,FALSE),"")</f>
        <v>16</v>
      </c>
      <c r="G102" s="2" t="str">
        <f>IFERROR(VLOOKUP($C102,'_METADATA_TEMPLATE'!$B$2:$H$826,6,FALSE),"")</f>
        <v>b1. Menerima pesanan barang/jasa</v>
      </c>
      <c r="H102" s="2" t="str">
        <f>IFERROR(VLOOKUP($C102,'_METADATA_TEMPLATE'!$B$2:$H$826,7,FALSE),"")</f>
        <v>Radio Group</v>
      </c>
      <c r="I102" s="2" t="str">
        <f>IFERROR(VLOOKUP(C102,'_METADATA_DEFAULT'!$A:$B,2,FALSE),"")</f>
        <v/>
      </c>
    </row>
    <row r="103" ht="15.75" customHeight="1">
      <c r="A103" s="3" t="s">
        <v>373</v>
      </c>
      <c r="B103" s="3" t="s">
        <v>670</v>
      </c>
      <c r="C103" s="3" t="s">
        <v>668</v>
      </c>
      <c r="D103" s="3">
        <f>IFERROR(VLOOKUP($C103,'_METADATA_TEMPLATE'!$B$2:$H$826,2,FALSE),"")</f>
        <v>183</v>
      </c>
      <c r="E103" s="3" t="str">
        <f>IFERROR(VLOOKUP($C103,'_METADATA_TEMPLATE'!$B$2:$H$826,4,FALSE),"")</f>
        <v>SE2026 - L BLOK II</v>
      </c>
      <c r="F103" s="3" t="str">
        <f>IFERROR(VLOOKUP($C103,'_METADATA_TEMPLATE'!$B$2:$H$826,5,FALSE),"")</f>
        <v>16</v>
      </c>
      <c r="G103" s="3" t="str">
        <f>IFERROR(VLOOKUP($C103,'_METADATA_TEMPLATE'!$B$2:$H$826,6,FALSE),"")</f>
        <v>b1. Menerima pesanan barang/jasa</v>
      </c>
      <c r="H103" s="3" t="str">
        <f>IFERROR(VLOOKUP($C103,'_METADATA_TEMPLATE'!$B$2:$H$826,7,FALSE),"")</f>
        <v>Radio Group</v>
      </c>
      <c r="I103" s="3" t="str">
        <f>IFERROR(VLOOKUP(C103,'_METADATA_DEFAULT'!$A:$B,2,FALSE),"")</f>
        <v/>
      </c>
    </row>
    <row r="104" ht="15.75" customHeight="1">
      <c r="A104" s="2" t="s">
        <v>373</v>
      </c>
      <c r="B104" s="2" t="s">
        <v>672</v>
      </c>
      <c r="C104" s="2" t="s">
        <v>673</v>
      </c>
      <c r="D104" s="2">
        <f>IFERROR(VLOOKUP($C104,'_METADATA_TEMPLATE'!$B$2:$H$826,2,FALSE),"")</f>
        <v>184</v>
      </c>
      <c r="E104" s="2" t="str">
        <f>IFERROR(VLOOKUP($C104,'_METADATA_TEMPLATE'!$B$2:$H$826,4,FALSE),"")</f>
        <v>SE2026 - L BLOK II</v>
      </c>
      <c r="F104" s="2" t="str">
        <f>IFERROR(VLOOKUP($C104,'_METADATA_TEMPLATE'!$B$2:$H$826,5,FALSE),"")</f>
        <v>16</v>
      </c>
      <c r="G104" s="2" t="str">
        <f>IFERROR(VLOOKUP($C104,'_METADATA_TEMPLATE'!$B$2:$H$826,6,FALSE),"")</f>
        <v>b3. Distribusi barang/jasa</v>
      </c>
      <c r="H104" s="2" t="str">
        <f>IFERROR(VLOOKUP($C104,'_METADATA_TEMPLATE'!$B$2:$H$826,7,FALSE),"")</f>
        <v>Radio Group</v>
      </c>
      <c r="I104" s="2" t="str">
        <f>IFERROR(VLOOKUP(C104,'_METADATA_DEFAULT'!$A:$B,2,FALSE),"")</f>
        <v/>
      </c>
    </row>
    <row r="105" ht="15.75" customHeight="1">
      <c r="A105" s="3" t="s">
        <v>373</v>
      </c>
      <c r="B105" s="3" t="s">
        <v>675</v>
      </c>
      <c r="C105" s="3" t="s">
        <v>673</v>
      </c>
      <c r="D105" s="3">
        <f>IFERROR(VLOOKUP($C105,'_METADATA_TEMPLATE'!$B$2:$H$826,2,FALSE),"")</f>
        <v>184</v>
      </c>
      <c r="E105" s="3" t="str">
        <f>IFERROR(VLOOKUP($C105,'_METADATA_TEMPLATE'!$B$2:$H$826,4,FALSE),"")</f>
        <v>SE2026 - L BLOK II</v>
      </c>
      <c r="F105" s="3" t="str">
        <f>IFERROR(VLOOKUP($C105,'_METADATA_TEMPLATE'!$B$2:$H$826,5,FALSE),"")</f>
        <v>16</v>
      </c>
      <c r="G105" s="3" t="str">
        <f>IFERROR(VLOOKUP($C105,'_METADATA_TEMPLATE'!$B$2:$H$826,6,FALSE),"")</f>
        <v>b3. Distribusi barang/jasa</v>
      </c>
      <c r="H105" s="3" t="str">
        <f>IFERROR(VLOOKUP($C105,'_METADATA_TEMPLATE'!$B$2:$H$826,7,FALSE),"")</f>
        <v>Radio Group</v>
      </c>
      <c r="I105" s="3" t="str">
        <f>IFERROR(VLOOKUP(C105,'_METADATA_DEFAULT'!$A:$B,2,FALSE),"")</f>
        <v/>
      </c>
    </row>
    <row r="106" ht="15.75" customHeight="1">
      <c r="A106" s="2" t="s">
        <v>373</v>
      </c>
      <c r="B106" s="2" t="s">
        <v>677</v>
      </c>
      <c r="C106" s="2" t="s">
        <v>678</v>
      </c>
      <c r="D106" s="2">
        <f>IFERROR(VLOOKUP($C106,'_METADATA_TEMPLATE'!$B$2:$H$826,2,FALSE),"")</f>
        <v>185</v>
      </c>
      <c r="E106" s="2" t="str">
        <f>IFERROR(VLOOKUP($C106,'_METADATA_TEMPLATE'!$B$2:$H$826,4,FALSE),"")</f>
        <v>SE2026 - L BLOK II</v>
      </c>
      <c r="F106" s="2" t="str">
        <f>IFERROR(VLOOKUP($C106,'_METADATA_TEMPLATE'!$B$2:$H$826,5,FALSE),"")</f>
        <v>16</v>
      </c>
      <c r="G106" s="2" t="str">
        <f>IFERROR(VLOOKUP($C106,'_METADATA_TEMPLATE'!$B$2:$H$826,6,FALSE),"")</f>
        <v>b4. Membeli bahan baku online</v>
      </c>
      <c r="H106" s="2" t="str">
        <f>IFERROR(VLOOKUP($C106,'_METADATA_TEMPLATE'!$B$2:$H$826,7,FALSE),"")</f>
        <v>Radio Group</v>
      </c>
      <c r="I106" s="2" t="str">
        <f>IFERROR(VLOOKUP(C106,'_METADATA_DEFAULT'!$A:$B,2,FALSE),"")</f>
        <v/>
      </c>
    </row>
    <row r="107" ht="15.75" customHeight="1">
      <c r="A107" s="3" t="s">
        <v>373</v>
      </c>
      <c r="B107" s="3" t="s">
        <v>680</v>
      </c>
      <c r="C107" s="3" t="s">
        <v>678</v>
      </c>
      <c r="D107" s="3">
        <f>IFERROR(VLOOKUP($C107,'_METADATA_TEMPLATE'!$B$2:$H$826,2,FALSE),"")</f>
        <v>185</v>
      </c>
      <c r="E107" s="3" t="str">
        <f>IFERROR(VLOOKUP($C107,'_METADATA_TEMPLATE'!$B$2:$H$826,4,FALSE),"")</f>
        <v>SE2026 - L BLOK II</v>
      </c>
      <c r="F107" s="3" t="str">
        <f>IFERROR(VLOOKUP($C107,'_METADATA_TEMPLATE'!$B$2:$H$826,5,FALSE),"")</f>
        <v>16</v>
      </c>
      <c r="G107" s="3" t="str">
        <f>IFERROR(VLOOKUP($C107,'_METADATA_TEMPLATE'!$B$2:$H$826,6,FALSE),"")</f>
        <v>b4. Membeli bahan baku online</v>
      </c>
      <c r="H107" s="3" t="str">
        <f>IFERROR(VLOOKUP($C107,'_METADATA_TEMPLATE'!$B$2:$H$826,7,FALSE),"")</f>
        <v>Radio Group</v>
      </c>
      <c r="I107" s="3" t="str">
        <f>IFERROR(VLOOKUP(C107,'_METADATA_DEFAULT'!$A:$B,2,FALSE),"")</f>
        <v/>
      </c>
    </row>
    <row r="108" ht="15.75" customHeight="1">
      <c r="A108" s="2" t="s">
        <v>373</v>
      </c>
      <c r="B108" s="2" t="s">
        <v>682</v>
      </c>
      <c r="C108" s="2" t="s">
        <v>683</v>
      </c>
      <c r="D108" s="2">
        <f>IFERROR(VLOOKUP($C108,'_METADATA_TEMPLATE'!$B$2:$H$826,2,FALSE),"")</f>
        <v>186</v>
      </c>
      <c r="E108" s="2" t="str">
        <f>IFERROR(VLOOKUP($C108,'_METADATA_TEMPLATE'!$B$2:$H$826,4,FALSE),"")</f>
        <v>SE2026 - L BLOK II</v>
      </c>
      <c r="F108" s="2" t="str">
        <f>IFERROR(VLOOKUP($C108,'_METADATA_TEMPLATE'!$B$2:$H$826,5,FALSE),"")</f>
        <v>16</v>
      </c>
      <c r="G108" s="2" t="str">
        <f>IFERROR(VLOOKUP($C108,'_METADATA_TEMPLATE'!$B$2:$H$826,6,FALSE),"")</f>
        <v>b5. Promosi</v>
      </c>
      <c r="H108" s="2" t="str">
        <f>IFERROR(VLOOKUP($C108,'_METADATA_TEMPLATE'!$B$2:$H$826,7,FALSE),"")</f>
        <v>Radio Group</v>
      </c>
      <c r="I108" s="2" t="str">
        <f>IFERROR(VLOOKUP(C108,'_METADATA_DEFAULT'!$A:$B,2,FALSE),"")</f>
        <v/>
      </c>
    </row>
    <row r="109" ht="15.75" customHeight="1">
      <c r="A109" s="3" t="s">
        <v>373</v>
      </c>
      <c r="B109" s="3" t="s">
        <v>685</v>
      </c>
      <c r="C109" s="3" t="s">
        <v>683</v>
      </c>
      <c r="D109" s="3">
        <f>IFERROR(VLOOKUP($C109,'_METADATA_TEMPLATE'!$B$2:$H$826,2,FALSE),"")</f>
        <v>186</v>
      </c>
      <c r="E109" s="3" t="str">
        <f>IFERROR(VLOOKUP($C109,'_METADATA_TEMPLATE'!$B$2:$H$826,4,FALSE),"")</f>
        <v>SE2026 - L BLOK II</v>
      </c>
      <c r="F109" s="3" t="str">
        <f>IFERROR(VLOOKUP($C109,'_METADATA_TEMPLATE'!$B$2:$H$826,5,FALSE),"")</f>
        <v>16</v>
      </c>
      <c r="G109" s="3" t="str">
        <f>IFERROR(VLOOKUP($C109,'_METADATA_TEMPLATE'!$B$2:$H$826,6,FALSE),"")</f>
        <v>b5. Promosi</v>
      </c>
      <c r="H109" s="3" t="str">
        <f>IFERROR(VLOOKUP($C109,'_METADATA_TEMPLATE'!$B$2:$H$826,7,FALSE),"")</f>
        <v>Radio Group</v>
      </c>
      <c r="I109" s="3" t="str">
        <f>IFERROR(VLOOKUP(C109,'_METADATA_DEFAULT'!$A:$B,2,FALSE),"")</f>
        <v/>
      </c>
    </row>
    <row r="110" ht="15.75" customHeight="1">
      <c r="A110" s="2" t="s">
        <v>373</v>
      </c>
      <c r="B110" s="2" t="s">
        <v>689</v>
      </c>
      <c r="C110" s="2" t="s">
        <v>691</v>
      </c>
      <c r="D110" s="2">
        <f>IFERROR(VLOOKUP($C110,'_METADATA_TEMPLATE'!$B$2:$H$826,2,FALSE),"")</f>
        <v>187</v>
      </c>
      <c r="E110" s="2" t="str">
        <f>IFERROR(VLOOKUP($C110,'_METADATA_TEMPLATE'!$B$2:$H$826,4,FALSE),"")</f>
        <v>SE2026 - L BLOK II</v>
      </c>
      <c r="F110" s="2" t="str">
        <f>IFERROR(VLOOKUP($C110,'_METADATA_TEMPLATE'!$B$2:$H$826,5,FALSE),"")</f>
        <v>16</v>
      </c>
      <c r="G110" s="2" t="str">
        <f>IFERROR(VLOOKUP($C110,'_METADATA_TEMPLATE'!$B$2:$H$826,6,FALSE),"")</f>
        <v>b6. Lainnya</v>
      </c>
      <c r="H110" s="2" t="str">
        <f>IFERROR(VLOOKUP($C110,'_METADATA_TEMPLATE'!$B$2:$H$826,7,FALSE),"")</f>
        <v>Radio Group</v>
      </c>
      <c r="I110" s="2" t="str">
        <f>IFERROR(VLOOKUP(C110,'_METADATA_DEFAULT'!$A:$B,2,FALSE),"")</f>
        <v/>
      </c>
    </row>
    <row r="111" ht="15.75" customHeight="1">
      <c r="A111" s="3" t="s">
        <v>373</v>
      </c>
      <c r="B111" s="3" t="s">
        <v>695</v>
      </c>
      <c r="C111" s="3" t="s">
        <v>691</v>
      </c>
      <c r="D111" s="3">
        <f>IFERROR(VLOOKUP($C111,'_METADATA_TEMPLATE'!$B$2:$H$826,2,FALSE),"")</f>
        <v>187</v>
      </c>
      <c r="E111" s="3" t="str">
        <f>IFERROR(VLOOKUP($C111,'_METADATA_TEMPLATE'!$B$2:$H$826,4,FALSE),"")</f>
        <v>SE2026 - L BLOK II</v>
      </c>
      <c r="F111" s="3" t="str">
        <f>IFERROR(VLOOKUP($C111,'_METADATA_TEMPLATE'!$B$2:$H$826,5,FALSE),"")</f>
        <v>16</v>
      </c>
      <c r="G111" s="3" t="str">
        <f>IFERROR(VLOOKUP($C111,'_METADATA_TEMPLATE'!$B$2:$H$826,6,FALSE),"")</f>
        <v>b6. Lainnya</v>
      </c>
      <c r="H111" s="3" t="str">
        <f>IFERROR(VLOOKUP($C111,'_METADATA_TEMPLATE'!$B$2:$H$826,7,FALSE),"")</f>
        <v>Radio Group</v>
      </c>
      <c r="I111" s="3" t="str">
        <f>IFERROR(VLOOKUP(C111,'_METADATA_DEFAULT'!$A:$B,2,FALSE),"")</f>
        <v/>
      </c>
    </row>
    <row r="112" ht="15.75" customHeight="1">
      <c r="A112" s="2" t="s">
        <v>373</v>
      </c>
      <c r="B112" s="2" t="s">
        <v>697</v>
      </c>
      <c r="C112" s="2" t="s">
        <v>698</v>
      </c>
      <c r="D112" s="2">
        <f>IFERROR(VLOOKUP($C112,'_METADATA_TEMPLATE'!$B$2:$H$826,2,FALSE),"")</f>
        <v>188</v>
      </c>
      <c r="E112" s="2" t="str">
        <f>IFERROR(VLOOKUP($C112,'_METADATA_TEMPLATE'!$B$2:$H$826,4,FALSE),"")</f>
        <v>SE2026 - L BLOK II</v>
      </c>
      <c r="F112" s="2" t="str">
        <f>IFERROR(VLOOKUP($C112,'_METADATA_TEMPLATE'!$B$2:$H$826,5,FALSE),"")</f>
        <v>16</v>
      </c>
      <c r="G112" s="2" t="str">
        <f>IFERROR(VLOOKUP($C112,'_METADATA_TEMPLATE'!$B$2:$H$826,6,FALSE),"")</f>
        <v>c. Apakah usaha/perusahaan ini memanfaatkan teknologi digital Aritifical Intelligence (AI), Internet of Things (IoT), big data, printer 3D, blockchain, atau cloud computing ?</v>
      </c>
      <c r="H112" s="2" t="str">
        <f>IFERROR(VLOOKUP($C112,'_METADATA_TEMPLATE'!$B$2:$H$826,7,FALSE),"")</f>
        <v>Radio Group</v>
      </c>
      <c r="I112" s="2" t="str">
        <f>IFERROR(VLOOKUP(C112,'_METADATA_DEFAULT'!$A:$B,2,FALSE),"")</f>
        <v/>
      </c>
    </row>
    <row r="113" ht="15.75" customHeight="1">
      <c r="A113" s="3" t="s">
        <v>373</v>
      </c>
      <c r="B113" s="3" t="s">
        <v>701</v>
      </c>
      <c r="C113" s="3" t="s">
        <v>698</v>
      </c>
      <c r="D113" s="3">
        <f>IFERROR(VLOOKUP($C113,'_METADATA_TEMPLATE'!$B$2:$H$826,2,FALSE),"")</f>
        <v>188</v>
      </c>
      <c r="E113" s="3" t="str">
        <f>IFERROR(VLOOKUP($C113,'_METADATA_TEMPLATE'!$B$2:$H$826,4,FALSE),"")</f>
        <v>SE2026 - L BLOK II</v>
      </c>
      <c r="F113" s="3" t="str">
        <f>IFERROR(VLOOKUP($C113,'_METADATA_TEMPLATE'!$B$2:$H$826,5,FALSE),"")</f>
        <v>16</v>
      </c>
      <c r="G113" s="3" t="str">
        <f>IFERROR(VLOOKUP($C113,'_METADATA_TEMPLATE'!$B$2:$H$826,6,FALSE),"")</f>
        <v>c. Apakah usaha/perusahaan ini memanfaatkan teknologi digital Aritifical Intelligence (AI), Internet of Things (IoT), big data, printer 3D, blockchain, atau cloud computing ?</v>
      </c>
      <c r="H113" s="3" t="str">
        <f>IFERROR(VLOOKUP($C113,'_METADATA_TEMPLATE'!$B$2:$H$826,7,FALSE),"")</f>
        <v>Radio Group</v>
      </c>
      <c r="I113" s="3" t="str">
        <f>IFERROR(VLOOKUP(C113,'_METADATA_DEFAULT'!$A:$B,2,FALSE),"")</f>
        <v/>
      </c>
    </row>
    <row r="114" ht="15.75" customHeight="1">
      <c r="A114" s="2" t="s">
        <v>373</v>
      </c>
      <c r="B114" s="2" t="s">
        <v>706</v>
      </c>
      <c r="C114" s="2" t="s">
        <v>707</v>
      </c>
      <c r="D114" s="2">
        <f>IFERROR(VLOOKUP($C114,'_METADATA_TEMPLATE'!$B$2:$H$826,2,FALSE),"")</f>
        <v>189</v>
      </c>
      <c r="E114" s="2" t="str">
        <f>IFERROR(VLOOKUP($C114,'_METADATA_TEMPLATE'!$B$2:$H$826,4,FALSE),"")</f>
        <v>SE2026 - L BLOK II</v>
      </c>
      <c r="F114" s="2" t="str">
        <f>IFERROR(VLOOKUP($C114,'_METADATA_TEMPLATE'!$B$2:$H$826,5,FALSE),"")</f>
        <v>17</v>
      </c>
      <c r="G114" s="2" t="str">
        <f>IFERROR(VLOOKUP($C114,'_METADATA_TEMPLATE'!$B$2:$H$826,6,FALSE),"")</f>
        <v>a. Apakah usaha/perusahaan ini memproduksi barang/jasa yang ramah lingkungan ? Contoh: Produk efisiensi energi (lampu atau mesin hemat listrik); Energi terbarukan (panel surya, turbin angin, biogas); Kendaraan ramah lingkungan (kendaraan listrik/ hybrid); Produk berbahan daur ulang (kertas/plastik daur ulang, kemasan ramah lingkungan); Jasa pengelolaan dan pembersihan limbah dan sampah (pengolahan sampah/ air limbah, daur ulang)</v>
      </c>
      <c r="H114" s="2" t="str">
        <f>IFERROR(VLOOKUP($C114,'_METADATA_TEMPLATE'!$B$2:$H$826,7,FALSE),"")</f>
        <v>Radio Group</v>
      </c>
      <c r="I114" s="2" t="str">
        <f>IFERROR(VLOOKUP(C114,'_METADATA_DEFAULT'!$A:$B,2,FALSE),"")</f>
        <v/>
      </c>
    </row>
    <row r="115" ht="15.75" customHeight="1">
      <c r="A115" s="3" t="s">
        <v>373</v>
      </c>
      <c r="B115" s="3" t="s">
        <v>710</v>
      </c>
      <c r="C115" s="3" t="s">
        <v>707</v>
      </c>
      <c r="D115" s="3">
        <f>IFERROR(VLOOKUP($C115,'_METADATA_TEMPLATE'!$B$2:$H$826,2,FALSE),"")</f>
        <v>189</v>
      </c>
      <c r="E115" s="3" t="str">
        <f>IFERROR(VLOOKUP($C115,'_METADATA_TEMPLATE'!$B$2:$H$826,4,FALSE),"")</f>
        <v>SE2026 - L BLOK II</v>
      </c>
      <c r="F115" s="3" t="str">
        <f>IFERROR(VLOOKUP($C115,'_METADATA_TEMPLATE'!$B$2:$H$826,5,FALSE),"")</f>
        <v>17</v>
      </c>
      <c r="G115" s="3" t="str">
        <f>IFERROR(VLOOKUP($C115,'_METADATA_TEMPLATE'!$B$2:$H$826,6,FALSE),"")</f>
        <v>a. Apakah usaha/perusahaan ini memproduksi barang/jasa yang ramah lingkungan ? Contoh: Produk efisiensi energi (lampu atau mesin hemat listrik); Energi terbarukan (panel surya, turbin angin, biogas); Kendaraan ramah lingkungan (kendaraan listrik/ hybrid); Produk berbahan daur ulang (kertas/plastik daur ulang, kemasan ramah lingkungan); Jasa pengelolaan dan pembersihan limbah dan sampah (pengolahan sampah/ air limbah, daur ulang)</v>
      </c>
      <c r="H115" s="3" t="str">
        <f>IFERROR(VLOOKUP($C115,'_METADATA_TEMPLATE'!$B$2:$H$826,7,FALSE),"")</f>
        <v>Radio Group</v>
      </c>
      <c r="I115" s="3" t="str">
        <f>IFERROR(VLOOKUP(C115,'_METADATA_DEFAULT'!$A:$B,2,FALSE),"")</f>
        <v/>
      </c>
    </row>
    <row r="116" ht="15.75" customHeight="1">
      <c r="A116" s="2" t="s">
        <v>373</v>
      </c>
      <c r="B116" s="2" t="s">
        <v>713</v>
      </c>
      <c r="C116" s="2" t="s">
        <v>714</v>
      </c>
      <c r="D116" s="2">
        <f>IFERROR(VLOOKUP($C116,'_METADATA_TEMPLATE'!$B$2:$H$826,2,FALSE),"")</f>
        <v>190</v>
      </c>
      <c r="E116" s="2" t="str">
        <f>IFERROR(VLOOKUP($C116,'_METADATA_TEMPLATE'!$B$2:$H$826,4,FALSE),"")</f>
        <v>SE2026 - L BLOK II</v>
      </c>
      <c r="F116" s="2" t="str">
        <f>IFERROR(VLOOKUP($C116,'_METADATA_TEMPLATE'!$B$2:$H$826,5,FALSE),"")</f>
        <v>17</v>
      </c>
      <c r="G116" s="2" t="str">
        <f>IFERROR(VLOOKUP($C116,'_METADATA_TEMPLATE'!$B$2:$H$826,6,FALSE),"")</f>
        <v>b. Apakah usaha/perusahaan ini menggunakan input untuk tujuan perlindungan lingkungan dan/atau pembelian barang dan jasa yang ramah lingkungan? Contoh: Pengeluaran untuk pengelolaan dan pembersihan limbah dan sampah, pengendalian polusi udara, perbaikan tanah/ air tanah, pengurangan kebisingan, pelestarian alam/keanekaragaman hayati, audit/ penilaian lingkungan</v>
      </c>
      <c r="H116" s="2" t="str">
        <f>IFERROR(VLOOKUP($C116,'_METADATA_TEMPLATE'!$B$2:$H$826,7,FALSE),"")</f>
        <v>Radio Group</v>
      </c>
      <c r="I116" s="2" t="str">
        <f>IFERROR(VLOOKUP(C116,'_METADATA_DEFAULT'!$A:$B,2,FALSE),"")</f>
        <v/>
      </c>
    </row>
    <row r="117" ht="15.75" customHeight="1">
      <c r="A117" s="3" t="s">
        <v>373</v>
      </c>
      <c r="B117" s="3" t="s">
        <v>718</v>
      </c>
      <c r="C117" s="3" t="s">
        <v>714</v>
      </c>
      <c r="D117" s="3">
        <f>IFERROR(VLOOKUP($C117,'_METADATA_TEMPLATE'!$B$2:$H$826,2,FALSE),"")</f>
        <v>190</v>
      </c>
      <c r="E117" s="3" t="str">
        <f>IFERROR(VLOOKUP($C117,'_METADATA_TEMPLATE'!$B$2:$H$826,4,FALSE),"")</f>
        <v>SE2026 - L BLOK II</v>
      </c>
      <c r="F117" s="3" t="str">
        <f>IFERROR(VLOOKUP($C117,'_METADATA_TEMPLATE'!$B$2:$H$826,5,FALSE),"")</f>
        <v>17</v>
      </c>
      <c r="G117" s="3" t="str">
        <f>IFERROR(VLOOKUP($C117,'_METADATA_TEMPLATE'!$B$2:$H$826,6,FALSE),"")</f>
        <v>b. Apakah usaha/perusahaan ini menggunakan input untuk tujuan perlindungan lingkungan dan/atau pembelian barang dan jasa yang ramah lingkungan? Contoh: Pengeluaran untuk pengelolaan dan pembersihan limbah dan sampah, pengendalian polusi udara, perbaikan tanah/ air tanah, pengurangan kebisingan, pelestarian alam/keanekaragaman hayati, audit/ penilaian lingkungan</v>
      </c>
      <c r="H117" s="3" t="str">
        <f>IFERROR(VLOOKUP($C117,'_METADATA_TEMPLATE'!$B$2:$H$826,7,FALSE),"")</f>
        <v>Radio Group</v>
      </c>
      <c r="I117" s="3" t="str">
        <f>IFERROR(VLOOKUP(C117,'_METADATA_DEFAULT'!$A:$B,2,FALSE),"")</f>
        <v/>
      </c>
    </row>
    <row r="118" ht="15.75" customHeight="1">
      <c r="A118" s="2" t="s">
        <v>373</v>
      </c>
      <c r="B118" s="2" t="s">
        <v>720</v>
      </c>
      <c r="C118" s="2" t="s">
        <v>721</v>
      </c>
      <c r="D118" s="2">
        <f>IFERROR(VLOOKUP($C118,'_METADATA_TEMPLATE'!$B$2:$H$826,2,FALSE),"")</f>
        <v>191</v>
      </c>
      <c r="E118" s="2" t="str">
        <f>IFERROR(VLOOKUP($C118,'_METADATA_TEMPLATE'!$B$2:$H$826,4,FALSE),"")</f>
        <v>SE2026 - L BLOK II</v>
      </c>
      <c r="F118" s="2" t="str">
        <f>IFERROR(VLOOKUP($C118,'_METADATA_TEMPLATE'!$B$2:$H$826,5,FALSE),"")</f>
        <v>18</v>
      </c>
      <c r="G118" s="2" t="str">
        <f>IFERROR(VLOOKUP($C118,'_METADATA_TEMPLATE'!$B$2:$H$826,6,FALSE),"")</f>
        <v>Apakah usaha/perusahaan ini menggunakan produk karya seni, sastra, desain, teknologi atau warisan budaya , baik diproduksi sendiri maupun oleh pihak lain? Contoh produk karya seni: lukisan, patung, kerajinan, musik, tari, foto, film, ilustrasi, animasi, board game, dll. Contoh produk sastra: puisi, cerpen, novel, naskah drama, dll. Contoh produk desain: arsitektur, desain produk, desain interior, desain komunikasi visual, desain fesyen, dll. Contoh produk teknologi: perangkat lunak (software), aplikasi digital, aplikasi gim, perangkat elektronik, dll. Contoh produk warisan budaya: makanan tradisional, peralatan tradisional, obat tradisional, dll.</v>
      </c>
      <c r="H118" s="2" t="str">
        <f>IFERROR(VLOOKUP($C118,'_METADATA_TEMPLATE'!$B$2:$H$826,7,FALSE),"")</f>
        <v>Radio Group</v>
      </c>
      <c r="I118" s="2" t="str">
        <f>IFERROR(VLOOKUP(C118,'_METADATA_DEFAULT'!$A:$B,2,FALSE),"")</f>
        <v/>
      </c>
    </row>
    <row r="119" ht="15.75" customHeight="1">
      <c r="A119" s="3" t="s">
        <v>373</v>
      </c>
      <c r="B119" s="3" t="s">
        <v>723</v>
      </c>
      <c r="C119" s="3" t="s">
        <v>721</v>
      </c>
      <c r="D119" s="3">
        <f>IFERROR(VLOOKUP($C119,'_METADATA_TEMPLATE'!$B$2:$H$826,2,FALSE),"")</f>
        <v>191</v>
      </c>
      <c r="E119" s="3" t="str">
        <f>IFERROR(VLOOKUP($C119,'_METADATA_TEMPLATE'!$B$2:$H$826,4,FALSE),"")</f>
        <v>SE2026 - L BLOK II</v>
      </c>
      <c r="F119" s="3" t="str">
        <f>IFERROR(VLOOKUP($C119,'_METADATA_TEMPLATE'!$B$2:$H$826,5,FALSE),"")</f>
        <v>18</v>
      </c>
      <c r="G119" s="3" t="str">
        <f>IFERROR(VLOOKUP($C119,'_METADATA_TEMPLATE'!$B$2:$H$826,6,FALSE),"")</f>
        <v>Apakah usaha/perusahaan ini menggunakan produk karya seni, sastra, desain, teknologi atau warisan budaya , baik diproduksi sendiri maupun oleh pihak lain? Contoh produk karya seni: lukisan, patung, kerajinan, musik, tari, foto, film, ilustrasi, animasi, board game, dll. Contoh produk sastra: puisi, cerpen, novel, naskah drama, dll. Contoh produk desain: arsitektur, desain produk, desain interior, desain komunikasi visual, desain fesyen, dll. Contoh produk teknologi: perangkat lunak (software), aplikasi digital, aplikasi gim, perangkat elektronik, dll. Contoh produk warisan budaya: makanan tradisional, peralatan tradisional, obat tradisional, dll.</v>
      </c>
      <c r="H119" s="3" t="str">
        <f>IFERROR(VLOOKUP($C119,'_METADATA_TEMPLATE'!$B$2:$H$826,7,FALSE),"")</f>
        <v>Radio Group</v>
      </c>
      <c r="I119" s="3" t="str">
        <f>IFERROR(VLOOKUP(C119,'_METADATA_DEFAULT'!$A:$B,2,FALSE),"")</f>
        <v/>
      </c>
    </row>
    <row r="120" ht="15.75" customHeight="1">
      <c r="A120" s="2" t="s">
        <v>373</v>
      </c>
      <c r="B120" s="2" t="s">
        <v>725</v>
      </c>
      <c r="C120" s="2" t="s">
        <v>726</v>
      </c>
      <c r="D120" s="2">
        <f>IFERROR(VLOOKUP($C120,'_METADATA_TEMPLATE'!$B$2:$H$826,2,FALSE),"")</f>
        <v>192</v>
      </c>
      <c r="E120" s="2" t="str">
        <f>IFERROR(VLOOKUP($C120,'_METADATA_TEMPLATE'!$B$2:$H$826,4,FALSE),"")</f>
        <v>SE2026 - L BLOK II</v>
      </c>
      <c r="F120" s="2" t="str">
        <f>IFERROR(VLOOKUP($C120,'_METADATA_TEMPLATE'!$B$2:$H$826,5,FALSE),"")</f>
        <v>19</v>
      </c>
      <c r="G120" s="2" t="str">
        <f>IFERROR(VLOOKUP($C120,'_METADATA_TEMPLATE'!$B$2:$H$826,6,FALSE),"")</f>
        <v>a. Apakah usaha/perusahaan ini menghasilkan produk bersertifikat halal? Rincian 19 hanya ditanyakan kepada kategori usaha/perusahaan khusus berdasarkan BPJPH.</v>
      </c>
      <c r="H120" s="2" t="str">
        <f>IFERROR(VLOOKUP($C120,'_METADATA_TEMPLATE'!$B$2:$H$826,7,FALSE),"")</f>
        <v>Radio Group</v>
      </c>
      <c r="I120" s="2" t="str">
        <f>IFERROR(VLOOKUP(C120,'_METADATA_DEFAULT'!$A:$B,2,FALSE),"")</f>
        <v/>
      </c>
    </row>
    <row r="121" ht="15.75" customHeight="1">
      <c r="A121" s="3" t="s">
        <v>373</v>
      </c>
      <c r="B121" s="3" t="s">
        <v>728</v>
      </c>
      <c r="C121" s="3" t="s">
        <v>726</v>
      </c>
      <c r="D121" s="3">
        <f>IFERROR(VLOOKUP($C121,'_METADATA_TEMPLATE'!$B$2:$H$826,2,FALSE),"")</f>
        <v>192</v>
      </c>
      <c r="E121" s="3" t="str">
        <f>IFERROR(VLOOKUP($C121,'_METADATA_TEMPLATE'!$B$2:$H$826,4,FALSE),"")</f>
        <v>SE2026 - L BLOK II</v>
      </c>
      <c r="F121" s="3" t="str">
        <f>IFERROR(VLOOKUP($C121,'_METADATA_TEMPLATE'!$B$2:$H$826,5,FALSE),"")</f>
        <v>19</v>
      </c>
      <c r="G121" s="3" t="str">
        <f>IFERROR(VLOOKUP($C121,'_METADATA_TEMPLATE'!$B$2:$H$826,6,FALSE),"")</f>
        <v>a. Apakah usaha/perusahaan ini menghasilkan produk bersertifikat halal? Rincian 19 hanya ditanyakan kepada kategori usaha/perusahaan khusus berdasarkan BPJPH.</v>
      </c>
      <c r="H121" s="3" t="str">
        <f>IFERROR(VLOOKUP($C121,'_METADATA_TEMPLATE'!$B$2:$H$826,7,FALSE),"")</f>
        <v>Radio Group</v>
      </c>
      <c r="I121" s="3" t="str">
        <f>IFERROR(VLOOKUP(C121,'_METADATA_DEFAULT'!$A:$B,2,FALSE),"")</f>
        <v/>
      </c>
    </row>
    <row r="122" ht="15.75" customHeight="1">
      <c r="A122" s="2" t="s">
        <v>373</v>
      </c>
      <c r="B122" s="2" t="s">
        <v>730</v>
      </c>
      <c r="C122" s="2" t="s">
        <v>730</v>
      </c>
      <c r="D122" s="2">
        <f>IFERROR(VLOOKUP($C122,'_METADATA_TEMPLATE'!$B$2:$H$826,2,FALSE),"")</f>
        <v>193</v>
      </c>
      <c r="E122" s="2" t="str">
        <f>IFERROR(VLOOKUP($C122,'_METADATA_TEMPLATE'!$B$2:$H$826,4,FALSE),"")</f>
        <v>SE2026 - L BLOK II</v>
      </c>
      <c r="F122" s="2" t="str">
        <f>IFERROR(VLOOKUP($C122,'_METADATA_TEMPLATE'!$B$2:$H$826,5,FALSE),"")</f>
        <v>19</v>
      </c>
      <c r="G122" s="2" t="str">
        <f>IFERROR(VLOOKUP($C122,'_METADATA_TEMPLATE'!$B$2:$H$826,6,FALSE),"")</f>
        <v>b. Berapa jumlah varian produk yang sudah bersertifikat halal BPJPH?</v>
      </c>
      <c r="H122" s="2" t="str">
        <f>IFERROR(VLOOKUP($C122,'_METADATA_TEMPLATE'!$B$2:$H$826,7,FALSE),"")</f>
        <v>Number</v>
      </c>
      <c r="I122" s="2" t="str">
        <f>IFERROR(VLOOKUP(C122,'_METADATA_DEFAULT'!$A:$B,2,FALSE),"")</f>
        <v/>
      </c>
    </row>
    <row r="123" ht="15.75" customHeight="1">
      <c r="A123" s="3" t="s">
        <v>373</v>
      </c>
      <c r="B123" s="3" t="s">
        <v>732</v>
      </c>
      <c r="C123" s="3" t="s">
        <v>732</v>
      </c>
      <c r="D123" s="3">
        <f>IFERROR(VLOOKUP($C123,'_METADATA_TEMPLATE'!$B$2:$H$826,2,FALSE),"")</f>
        <v>194</v>
      </c>
      <c r="E123" s="3" t="str">
        <f>IFERROR(VLOOKUP($C123,'_METADATA_TEMPLATE'!$B$2:$H$826,4,FALSE),"")</f>
        <v>SE2026 - L BLOK II</v>
      </c>
      <c r="F123" s="3" t="str">
        <f>IFERROR(VLOOKUP($C123,'_METADATA_TEMPLATE'!$B$2:$H$826,5,FALSE),"")</f>
        <v>19</v>
      </c>
      <c r="G123" s="3" t="str">
        <f>IFERROR(VLOOKUP($C123,'_METADATA_TEMPLATE'!$B$2:$H$826,6,FALSE),"")</f>
        <v>c. Berapa jumlah varian produk yang belum bersertifikat halal BPJPH?</v>
      </c>
      <c r="H123" s="3" t="str">
        <f>IFERROR(VLOOKUP($C123,'_METADATA_TEMPLATE'!$B$2:$H$826,7,FALSE),"")</f>
        <v>Number</v>
      </c>
      <c r="I123" s="3" t="str">
        <f>IFERROR(VLOOKUP(C123,'_METADATA_DEFAULT'!$A:$B,2,FALSE),"")</f>
        <v/>
      </c>
    </row>
    <row r="124" ht="15.75" customHeight="1">
      <c r="A124" s="2" t="s">
        <v>373</v>
      </c>
      <c r="B124" s="2" t="s">
        <v>734</v>
      </c>
      <c r="C124" s="2" t="s">
        <v>735</v>
      </c>
      <c r="D124" s="2">
        <f>IFERROR(VLOOKUP($C124,'_METADATA_TEMPLATE'!$B$2:$H$826,2,FALSE),"")</f>
        <v>195</v>
      </c>
      <c r="E124" s="2" t="str">
        <f>IFERROR(VLOOKUP($C124,'_METADATA_TEMPLATE'!$B$2:$H$826,4,FALSE),"")</f>
        <v>SE2026 - L BLOK II</v>
      </c>
      <c r="F124" s="2" t="str">
        <f>IFERROR(VLOOKUP($C124,'_METADATA_TEMPLATE'!$B$2:$H$826,5,FALSE),"")</f>
        <v>20</v>
      </c>
      <c r="G124" s="2" t="str">
        <f>IFERROR(VLOOKUP($C124,'_METADATA_TEMPLATE'!$B$2:$H$826,6,FALSE),"")</f>
        <v>a. Apakah usaha/perusahaan ini memiliki izin edar? Rincian 20 hanya ditanyakan kepada kategori usaha/perusahaan khusus berdasarkan BPOM.</v>
      </c>
      <c r="H124" s="2" t="str">
        <f>IFERROR(VLOOKUP($C124,'_METADATA_TEMPLATE'!$B$2:$H$826,7,FALSE),"")</f>
        <v>Radio Group</v>
      </c>
      <c r="I124" s="2" t="str">
        <f>IFERROR(VLOOKUP(C124,'_METADATA_DEFAULT'!$A:$B,2,FALSE),"")</f>
        <v/>
      </c>
    </row>
    <row r="125" ht="15.75" customHeight="1">
      <c r="A125" s="3" t="s">
        <v>373</v>
      </c>
      <c r="B125" s="3" t="s">
        <v>737</v>
      </c>
      <c r="C125" s="3" t="s">
        <v>735</v>
      </c>
      <c r="D125" s="3">
        <f>IFERROR(VLOOKUP($C125,'_METADATA_TEMPLATE'!$B$2:$H$826,2,FALSE),"")</f>
        <v>195</v>
      </c>
      <c r="E125" s="3" t="str">
        <f>IFERROR(VLOOKUP($C125,'_METADATA_TEMPLATE'!$B$2:$H$826,4,FALSE),"")</f>
        <v>SE2026 - L BLOK II</v>
      </c>
      <c r="F125" s="3" t="str">
        <f>IFERROR(VLOOKUP($C125,'_METADATA_TEMPLATE'!$B$2:$H$826,5,FALSE),"")</f>
        <v>20</v>
      </c>
      <c r="G125" s="3" t="str">
        <f>IFERROR(VLOOKUP($C125,'_METADATA_TEMPLATE'!$B$2:$H$826,6,FALSE),"")</f>
        <v>a. Apakah usaha/perusahaan ini memiliki izin edar? Rincian 20 hanya ditanyakan kepada kategori usaha/perusahaan khusus berdasarkan BPOM.</v>
      </c>
      <c r="H125" s="3" t="str">
        <f>IFERROR(VLOOKUP($C125,'_METADATA_TEMPLATE'!$B$2:$H$826,7,FALSE),"")</f>
        <v>Radio Group</v>
      </c>
      <c r="I125" s="3" t="str">
        <f>IFERROR(VLOOKUP(C125,'_METADATA_DEFAULT'!$A:$B,2,FALSE),"")</f>
        <v/>
      </c>
    </row>
    <row r="126" ht="15.75" customHeight="1">
      <c r="A126" s="2" t="s">
        <v>373</v>
      </c>
      <c r="B126" s="2" t="s">
        <v>739</v>
      </c>
      <c r="C126" s="2" t="s">
        <v>739</v>
      </c>
      <c r="D126" s="2">
        <f>IFERROR(VLOOKUP($C126,'_METADATA_TEMPLATE'!$B$2:$H$826,2,FALSE),"")</f>
        <v>196</v>
      </c>
      <c r="E126" s="2" t="str">
        <f>IFERROR(VLOOKUP($C126,'_METADATA_TEMPLATE'!$B$2:$H$826,4,FALSE),"")</f>
        <v>SE2026 - L BLOK II</v>
      </c>
      <c r="F126" s="2" t="str">
        <f>IFERROR(VLOOKUP($C126,'_METADATA_TEMPLATE'!$B$2:$H$826,5,FALSE),"")</f>
        <v>20</v>
      </c>
      <c r="G126" s="2" t="str">
        <f>IFERROR(VLOOKUP($C126,'_METADATA_TEMPLATE'!$B$2:$H$826,6,FALSE),"")</f>
        <v>b. Berapa jumlah varian produk yang sudah memiliki izin edar BPOM?</v>
      </c>
      <c r="H126" s="2" t="str">
        <f>IFERROR(VLOOKUP($C126,'_METADATA_TEMPLATE'!$B$2:$H$826,7,FALSE),"")</f>
        <v>Number</v>
      </c>
      <c r="I126" s="2" t="str">
        <f>IFERROR(VLOOKUP(C126,'_METADATA_DEFAULT'!$A:$B,2,FALSE),"")</f>
        <v/>
      </c>
    </row>
    <row r="127" ht="15.75" customHeight="1">
      <c r="A127" s="3" t="s">
        <v>373</v>
      </c>
      <c r="B127" s="3" t="s">
        <v>741</v>
      </c>
      <c r="C127" s="3" t="s">
        <v>741</v>
      </c>
      <c r="D127" s="3">
        <f>IFERROR(VLOOKUP($C127,'_METADATA_TEMPLATE'!$B$2:$H$826,2,FALSE),"")</f>
        <v>197</v>
      </c>
      <c r="E127" s="3" t="str">
        <f>IFERROR(VLOOKUP($C127,'_METADATA_TEMPLATE'!$B$2:$H$826,4,FALSE),"")</f>
        <v>SE2026 - L BLOK II</v>
      </c>
      <c r="F127" s="3" t="str">
        <f>IFERROR(VLOOKUP($C127,'_METADATA_TEMPLATE'!$B$2:$H$826,5,FALSE),"")</f>
        <v>20</v>
      </c>
      <c r="G127" s="3" t="str">
        <f>IFERROR(VLOOKUP($C127,'_METADATA_TEMPLATE'!$B$2:$H$826,6,FALSE),"")</f>
        <v>c. Berapa jumlah varian produk yang belum memiliki izin edar BPOM?</v>
      </c>
      <c r="H127" s="3" t="str">
        <f>IFERROR(VLOOKUP($C127,'_METADATA_TEMPLATE'!$B$2:$H$826,7,FALSE),"")</f>
        <v>Number</v>
      </c>
      <c r="I127" s="3" t="str">
        <f>IFERROR(VLOOKUP(C127,'_METADATA_DEFAULT'!$A:$B,2,FALSE),"")</f>
        <v/>
      </c>
    </row>
    <row r="128" ht="15.75" customHeight="1">
      <c r="A128" s="2" t="s">
        <v>373</v>
      </c>
      <c r="B128" s="2" t="s">
        <v>743</v>
      </c>
      <c r="C128" s="2" t="s">
        <v>744</v>
      </c>
      <c r="D128" s="2">
        <f>IFERROR(VLOOKUP($C128,'_METADATA_TEMPLATE'!$B$2:$H$826,2,FALSE),"")</f>
        <v>198</v>
      </c>
      <c r="E128" s="2" t="str">
        <f>IFERROR(VLOOKUP($C128,'_METADATA_TEMPLATE'!$B$2:$H$826,4,FALSE),"")</f>
        <v>SE2026 - L BLOK II</v>
      </c>
      <c r="F128" s="2" t="str">
        <f>IFERROR(VLOOKUP($C128,'_METADATA_TEMPLATE'!$B$2:$H$826,5,FALSE),"")</f>
        <v>21</v>
      </c>
      <c r="G128" s="2" t="str">
        <f>IFERROR(VLOOKUP($C128,'_METADATA_TEMPLATE'!$B$2:$H$826,6,FALSE),"")</f>
        <v>Apakah usaha/perusahaan ini bermitra dengan Koperasi Desa/Kelurahan Merah Putih (KDKMP)?</v>
      </c>
      <c r="H128" s="2" t="str">
        <f>IFERROR(VLOOKUP($C128,'_METADATA_TEMPLATE'!$B$2:$H$826,7,FALSE),"")</f>
        <v>Radio Group</v>
      </c>
      <c r="I128" s="2" t="str">
        <f>IFERROR(VLOOKUP(C128,'_METADATA_DEFAULT'!$A:$B,2,FALSE),"")</f>
        <v/>
      </c>
    </row>
    <row r="129" ht="15.75" customHeight="1">
      <c r="A129" s="3" t="s">
        <v>373</v>
      </c>
      <c r="B129" s="3" t="s">
        <v>746</v>
      </c>
      <c r="C129" s="3" t="s">
        <v>744</v>
      </c>
      <c r="D129" s="3">
        <f>IFERROR(VLOOKUP($C129,'_METADATA_TEMPLATE'!$B$2:$H$826,2,FALSE),"")</f>
        <v>198</v>
      </c>
      <c r="E129" s="3" t="str">
        <f>IFERROR(VLOOKUP($C129,'_METADATA_TEMPLATE'!$B$2:$H$826,4,FALSE),"")</f>
        <v>SE2026 - L BLOK II</v>
      </c>
      <c r="F129" s="3" t="str">
        <f>IFERROR(VLOOKUP($C129,'_METADATA_TEMPLATE'!$B$2:$H$826,5,FALSE),"")</f>
        <v>21</v>
      </c>
      <c r="G129" s="3" t="str">
        <f>IFERROR(VLOOKUP($C129,'_METADATA_TEMPLATE'!$B$2:$H$826,6,FALSE),"")</f>
        <v>Apakah usaha/perusahaan ini bermitra dengan Koperasi Desa/Kelurahan Merah Putih (KDKMP)?</v>
      </c>
      <c r="H129" s="3" t="str">
        <f>IFERROR(VLOOKUP($C129,'_METADATA_TEMPLATE'!$B$2:$H$826,7,FALSE),"")</f>
        <v>Radio Group</v>
      </c>
      <c r="I129" s="3" t="str">
        <f>IFERROR(VLOOKUP(C129,'_METADATA_DEFAULT'!$A:$B,2,FALSE),"")</f>
        <v/>
      </c>
    </row>
    <row r="130" ht="15.75" customHeight="1">
      <c r="A130" s="2" t="s">
        <v>373</v>
      </c>
      <c r="B130" s="2" t="s">
        <v>748</v>
      </c>
      <c r="C130" s="2" t="s">
        <v>749</v>
      </c>
      <c r="D130" s="2">
        <f>IFERROR(VLOOKUP($C130,'_METADATA_TEMPLATE'!$B$2:$H$826,2,FALSE),"")</f>
        <v>199</v>
      </c>
      <c r="E130" s="2" t="str">
        <f>IFERROR(VLOOKUP($C130,'_METADATA_TEMPLATE'!$B$2:$H$826,4,FALSE),"")</f>
        <v>SE2026 - L BLOK II</v>
      </c>
      <c r="F130" s="2" t="str">
        <f>IFERROR(VLOOKUP($C130,'_METADATA_TEMPLATE'!$B$2:$H$826,5,FALSE),"")</f>
        <v>22</v>
      </c>
      <c r="G130" s="2" t="str">
        <f>IFERROR(VLOOKUP($C130,'_METADATA_TEMPLATE'!$B$2:$H$826,6,FALSE),"")</f>
        <v>Apakah usaha/perusahaan ini terlibat dalam program Makan Bergizi Gratis (MBG)?</v>
      </c>
      <c r="H130" s="2" t="str">
        <f>IFERROR(VLOOKUP($C130,'_METADATA_TEMPLATE'!$B$2:$H$826,7,FALSE),"")</f>
        <v>Radio Group</v>
      </c>
      <c r="I130" s="2" t="str">
        <f>IFERROR(VLOOKUP(C130,'_METADATA_DEFAULT'!$A:$B,2,FALSE),"")</f>
        <v/>
      </c>
    </row>
    <row r="131" ht="15.75" customHeight="1">
      <c r="A131" s="3" t="s">
        <v>373</v>
      </c>
      <c r="B131" s="3" t="s">
        <v>752</v>
      </c>
      <c r="C131" s="3" t="s">
        <v>749</v>
      </c>
      <c r="D131" s="3">
        <f>IFERROR(VLOOKUP($C131,'_METADATA_TEMPLATE'!$B$2:$H$826,2,FALSE),"")</f>
        <v>199</v>
      </c>
      <c r="E131" s="3" t="str">
        <f>IFERROR(VLOOKUP($C131,'_METADATA_TEMPLATE'!$B$2:$H$826,4,FALSE),"")</f>
        <v>SE2026 - L BLOK II</v>
      </c>
      <c r="F131" s="3" t="str">
        <f>IFERROR(VLOOKUP($C131,'_METADATA_TEMPLATE'!$B$2:$H$826,5,FALSE),"")</f>
        <v>22</v>
      </c>
      <c r="G131" s="3" t="str">
        <f>IFERROR(VLOOKUP($C131,'_METADATA_TEMPLATE'!$B$2:$H$826,6,FALSE),"")</f>
        <v>Apakah usaha/perusahaan ini terlibat dalam program Makan Bergizi Gratis (MBG)?</v>
      </c>
      <c r="H131" s="3" t="str">
        <f>IFERROR(VLOOKUP($C131,'_METADATA_TEMPLATE'!$B$2:$H$826,7,FALSE),"")</f>
        <v>Radio Group</v>
      </c>
      <c r="I131" s="3" t="str">
        <f>IFERROR(VLOOKUP(C131,'_METADATA_DEFAULT'!$A:$B,2,FALSE),"")</f>
        <v/>
      </c>
    </row>
    <row r="132" ht="15.75" customHeight="1">
      <c r="A132" s="2" t="s">
        <v>373</v>
      </c>
      <c r="B132" s="2" t="s">
        <v>754</v>
      </c>
      <c r="C132" s="2" t="s">
        <v>755</v>
      </c>
      <c r="D132" s="2">
        <f>IFERROR(VLOOKUP($C132,'_METADATA_TEMPLATE'!$B$2:$H$826,2,FALSE),"")</f>
        <v>200</v>
      </c>
      <c r="E132" s="2" t="str">
        <f>IFERROR(VLOOKUP($C132,'_METADATA_TEMPLATE'!$B$2:$H$826,4,FALSE),"")</f>
        <v>SE2026 - L BLOK II</v>
      </c>
      <c r="F132" s="2" t="str">
        <f>IFERROR(VLOOKUP($C132,'_METADATA_TEMPLATE'!$B$2:$H$826,5,FALSE),"")</f>
        <v>23</v>
      </c>
      <c r="G132" s="2" t="str">
        <f>IFERROR(VLOOKUP($C132,'_METADATA_TEMPLATE'!$B$2:$H$826,6,FALSE),"")</f>
        <v>a. Penjualan dan/atau pembelian barang</v>
      </c>
      <c r="H132" s="2" t="str">
        <f>IFERROR(VLOOKUP($C132,'_METADATA_TEMPLATE'!$B$2:$H$826,7,FALSE),"")</f>
        <v>Radio Group</v>
      </c>
      <c r="I132" s="2" t="str">
        <f>IFERROR(VLOOKUP(C132,'_METADATA_DEFAULT'!$A:$B,2,FALSE),"")</f>
        <v/>
      </c>
    </row>
    <row r="133" ht="15.75" customHeight="1">
      <c r="A133" s="3" t="s">
        <v>373</v>
      </c>
      <c r="B133" s="3" t="s">
        <v>757</v>
      </c>
      <c r="C133" s="3" t="s">
        <v>755</v>
      </c>
      <c r="D133" s="3">
        <f>IFERROR(VLOOKUP($C133,'_METADATA_TEMPLATE'!$B$2:$H$826,2,FALSE),"")</f>
        <v>200</v>
      </c>
      <c r="E133" s="3" t="str">
        <f>IFERROR(VLOOKUP($C133,'_METADATA_TEMPLATE'!$B$2:$H$826,4,FALSE),"")</f>
        <v>SE2026 - L BLOK II</v>
      </c>
      <c r="F133" s="3" t="str">
        <f>IFERROR(VLOOKUP($C133,'_METADATA_TEMPLATE'!$B$2:$H$826,5,FALSE),"")</f>
        <v>23</v>
      </c>
      <c r="G133" s="3" t="str">
        <f>IFERROR(VLOOKUP($C133,'_METADATA_TEMPLATE'!$B$2:$H$826,6,FALSE),"")</f>
        <v>a. Penjualan dan/atau pembelian barang</v>
      </c>
      <c r="H133" s="3" t="str">
        <f>IFERROR(VLOOKUP($C133,'_METADATA_TEMPLATE'!$B$2:$H$826,7,FALSE),"")</f>
        <v>Radio Group</v>
      </c>
      <c r="I133" s="3" t="str">
        <f>IFERROR(VLOOKUP(C133,'_METADATA_DEFAULT'!$A:$B,2,FALSE),"")</f>
        <v/>
      </c>
    </row>
    <row r="134" ht="15.75" customHeight="1">
      <c r="A134" s="2" t="s">
        <v>373</v>
      </c>
      <c r="B134" s="2" t="s">
        <v>759</v>
      </c>
      <c r="C134" s="2" t="s">
        <v>760</v>
      </c>
      <c r="D134" s="2">
        <f>IFERROR(VLOOKUP($C134,'_METADATA_TEMPLATE'!$B$2:$H$826,2,FALSE),"")</f>
        <v>201</v>
      </c>
      <c r="E134" s="2" t="str">
        <f>IFERROR(VLOOKUP($C134,'_METADATA_TEMPLATE'!$B$2:$H$826,4,FALSE),"")</f>
        <v>SE2026 - L BLOK II</v>
      </c>
      <c r="F134" s="2" t="str">
        <f>IFERROR(VLOOKUP($C134,'_METADATA_TEMPLATE'!$B$2:$H$826,5,FALSE),"")</f>
        <v>23</v>
      </c>
      <c r="G134" s="2" t="str">
        <f>IFERROR(VLOOKUP($C134,'_METADATA_TEMPLATE'!$B$2:$H$826,6,FALSE),"")</f>
        <v>b. Penjualan jasa</v>
      </c>
      <c r="H134" s="2" t="str">
        <f>IFERROR(VLOOKUP($C134,'_METADATA_TEMPLATE'!$B$2:$H$826,7,FALSE),"")</f>
        <v>Radio Group</v>
      </c>
      <c r="I134" s="2" t="str">
        <f>IFERROR(VLOOKUP(C134,'_METADATA_DEFAULT'!$A:$B,2,FALSE),"")</f>
        <v/>
      </c>
    </row>
    <row r="135" ht="15.75" customHeight="1">
      <c r="A135" s="3" t="s">
        <v>373</v>
      </c>
      <c r="B135" s="3" t="s">
        <v>762</v>
      </c>
      <c r="C135" s="3" t="s">
        <v>760</v>
      </c>
      <c r="D135" s="3">
        <f>IFERROR(VLOOKUP($C135,'_METADATA_TEMPLATE'!$B$2:$H$826,2,FALSE),"")</f>
        <v>201</v>
      </c>
      <c r="E135" s="3" t="str">
        <f>IFERROR(VLOOKUP($C135,'_METADATA_TEMPLATE'!$B$2:$H$826,4,FALSE),"")</f>
        <v>SE2026 - L BLOK II</v>
      </c>
      <c r="F135" s="3" t="str">
        <f>IFERROR(VLOOKUP($C135,'_METADATA_TEMPLATE'!$B$2:$H$826,5,FALSE),"")</f>
        <v>23</v>
      </c>
      <c r="G135" s="3" t="str">
        <f>IFERROR(VLOOKUP($C135,'_METADATA_TEMPLATE'!$B$2:$H$826,6,FALSE),"")</f>
        <v>b. Penjualan jasa</v>
      </c>
      <c r="H135" s="3" t="str">
        <f>IFERROR(VLOOKUP($C135,'_METADATA_TEMPLATE'!$B$2:$H$826,7,FALSE),"")</f>
        <v>Radio Group</v>
      </c>
      <c r="I135" s="3" t="str">
        <f>IFERROR(VLOOKUP(C135,'_METADATA_DEFAULT'!$A:$B,2,FALSE),"")</f>
        <v/>
      </c>
    </row>
    <row r="136" ht="15.75" customHeight="1">
      <c r="A136" s="2" t="s">
        <v>373</v>
      </c>
      <c r="B136" s="2" t="s">
        <v>764</v>
      </c>
      <c r="C136" s="2" t="s">
        <v>765</v>
      </c>
      <c r="D136" s="2">
        <f>IFERROR(VLOOKUP($C136,'_METADATA_TEMPLATE'!$B$2:$H$826,2,FALSE),"")</f>
        <v>202</v>
      </c>
      <c r="E136" s="2" t="str">
        <f>IFERROR(VLOOKUP($C136,'_METADATA_TEMPLATE'!$B$2:$H$826,4,FALSE),"")</f>
        <v>SE2026 - L BLOK II</v>
      </c>
      <c r="F136" s="2" t="str">
        <f>IFERROR(VLOOKUP($C136,'_METADATA_TEMPLATE'!$B$2:$H$826,5,FALSE),"")</f>
        <v>23</v>
      </c>
      <c r="G136" s="2" t="str">
        <f>IFERROR(VLOOKUP($C136,'_METADATA_TEMPLATE'!$B$2:$H$826,6,FALSE),"")</f>
        <v>c. Pembelian jasa</v>
      </c>
      <c r="H136" s="2" t="str">
        <f>IFERROR(VLOOKUP($C136,'_METADATA_TEMPLATE'!$B$2:$H$826,7,FALSE),"")</f>
        <v>Radio Group</v>
      </c>
      <c r="I136" s="2" t="str">
        <f>IFERROR(VLOOKUP(C136,'_METADATA_DEFAULT'!$A:$B,2,FALSE),"")</f>
        <v/>
      </c>
    </row>
    <row r="137" ht="15.75" customHeight="1">
      <c r="A137" s="3" t="s">
        <v>373</v>
      </c>
      <c r="B137" s="3" t="s">
        <v>767</v>
      </c>
      <c r="C137" s="3" t="s">
        <v>765</v>
      </c>
      <c r="D137" s="3">
        <f>IFERROR(VLOOKUP($C137,'_METADATA_TEMPLATE'!$B$2:$H$826,2,FALSE),"")</f>
        <v>202</v>
      </c>
      <c r="E137" s="3" t="str">
        <f>IFERROR(VLOOKUP($C137,'_METADATA_TEMPLATE'!$B$2:$H$826,4,FALSE),"")</f>
        <v>SE2026 - L BLOK II</v>
      </c>
      <c r="F137" s="3" t="str">
        <f>IFERROR(VLOOKUP($C137,'_METADATA_TEMPLATE'!$B$2:$H$826,5,FALSE),"")</f>
        <v>23</v>
      </c>
      <c r="G137" s="3" t="str">
        <f>IFERROR(VLOOKUP($C137,'_METADATA_TEMPLATE'!$B$2:$H$826,6,FALSE),"")</f>
        <v>c. Pembelian jasa</v>
      </c>
      <c r="H137" s="3" t="str">
        <f>IFERROR(VLOOKUP($C137,'_METADATA_TEMPLATE'!$B$2:$H$826,7,FALSE),"")</f>
        <v>Radio Group</v>
      </c>
      <c r="I137" s="3" t="str">
        <f>IFERROR(VLOOKUP(C137,'_METADATA_DEFAULT'!$A:$B,2,FALSE),"")</f>
        <v/>
      </c>
    </row>
    <row r="138" ht="15.75" customHeight="1">
      <c r="A138" s="2" t="s">
        <v>373</v>
      </c>
      <c r="B138" s="2" t="s">
        <v>769</v>
      </c>
      <c r="C138" s="2" t="s">
        <v>769</v>
      </c>
      <c r="D138" s="2">
        <f>IFERROR(VLOOKUP($C138,'_METADATA_TEMPLATE'!$B$2:$H$826,2,FALSE),"")</f>
        <v>203</v>
      </c>
      <c r="E138" s="2" t="str">
        <f>IFERROR(VLOOKUP($C138,'_METADATA_TEMPLATE'!$B$2:$H$826,4,FALSE),"")</f>
        <v>SE2026 - L BLOK II</v>
      </c>
      <c r="F138" s="2" t="str">
        <f>IFERROR(VLOOKUP($C138,'_METADATA_TEMPLATE'!$B$2:$H$826,5,FALSE),"")</f>
        <v>24</v>
      </c>
      <c r="G138" s="2" t="str">
        <f>IFERROR(VLOOKUP($C138,'_METADATA_TEMPLATE'!$B$2:$H$826,6,FALSE),"")</f>
        <v>a1. Pekerja laki-laki</v>
      </c>
      <c r="H138" s="2" t="str">
        <f>IFERROR(VLOOKUP($C138,'_METADATA_TEMPLATE'!$B$2:$H$826,7,FALSE),"")</f>
        <v>Number</v>
      </c>
      <c r="I138" s="2" t="str">
        <f>IFERROR(VLOOKUP(C138,'_METADATA_DEFAULT'!$A:$B,2,FALSE),"")</f>
        <v/>
      </c>
    </row>
    <row r="139" ht="15.75" customHeight="1">
      <c r="A139" s="3" t="s">
        <v>373</v>
      </c>
      <c r="B139" s="3" t="s">
        <v>771</v>
      </c>
      <c r="C139" s="3" t="s">
        <v>771</v>
      </c>
      <c r="D139" s="3">
        <f>IFERROR(VLOOKUP($C139,'_METADATA_TEMPLATE'!$B$2:$H$826,2,FALSE),"")</f>
        <v>204</v>
      </c>
      <c r="E139" s="3" t="str">
        <f>IFERROR(VLOOKUP($C139,'_METADATA_TEMPLATE'!$B$2:$H$826,4,FALSE),"")</f>
        <v>SE2026 - L BLOK II</v>
      </c>
      <c r="F139" s="3" t="str">
        <f>IFERROR(VLOOKUP($C139,'_METADATA_TEMPLATE'!$B$2:$H$826,5,FALSE),"")</f>
        <v>24</v>
      </c>
      <c r="G139" s="3" t="str">
        <f>IFERROR(VLOOKUP($C139,'_METADATA_TEMPLATE'!$B$2:$H$826,6,FALSE),"")</f>
        <v>b1. Pekerja perempuan</v>
      </c>
      <c r="H139" s="3" t="str">
        <f>IFERROR(VLOOKUP($C139,'_METADATA_TEMPLATE'!$B$2:$H$826,7,FALSE),"")</f>
        <v>Number</v>
      </c>
      <c r="I139" s="3" t="str">
        <f>IFERROR(VLOOKUP(C139,'_METADATA_DEFAULT'!$A:$B,2,FALSE),"")</f>
        <v/>
      </c>
    </row>
    <row r="140" ht="15.75" customHeight="1">
      <c r="A140" s="2" t="s">
        <v>373</v>
      </c>
      <c r="B140" s="2" t="s">
        <v>773</v>
      </c>
      <c r="C140" s="2" t="s">
        <v>773</v>
      </c>
      <c r="D140" s="2">
        <f>IFERROR(VLOOKUP($C140,'_METADATA_TEMPLATE'!$B$2:$H$826,2,FALSE),"")</f>
        <v>205</v>
      </c>
      <c r="E140" s="2" t="str">
        <f>IFERROR(VLOOKUP($C140,'_METADATA_TEMPLATE'!$B$2:$H$826,4,FALSE),"")</f>
        <v>SE2026 - L BLOK II</v>
      </c>
      <c r="F140" s="2" t="str">
        <f>IFERROR(VLOOKUP($C140,'_METADATA_TEMPLATE'!$B$2:$H$826,5,FALSE),"")</f>
        <v>24</v>
      </c>
      <c r="G140" s="2" t="str">
        <f>IFERROR(VLOOKUP($C140,'_METADATA_TEMPLATE'!$B$2:$H$826,6,FALSE),"")</f>
        <v>c1. Total pekerja (a1+b1)</v>
      </c>
      <c r="H140" s="2" t="str">
        <f>IFERROR(VLOOKUP($C140,'_METADATA_TEMPLATE'!$B$2:$H$826,7,FALSE),"")</f>
        <v>Number</v>
      </c>
      <c r="I140" s="2" t="str">
        <f>IFERROR(VLOOKUP(C140,'_METADATA_DEFAULT'!$A:$B,2,FALSE),"")</f>
        <v/>
      </c>
    </row>
    <row r="141" ht="15.75" customHeight="1">
      <c r="A141" s="3" t="s">
        <v>373</v>
      </c>
      <c r="B141" s="3" t="s">
        <v>776</v>
      </c>
      <c r="C141" s="3" t="s">
        <v>777</v>
      </c>
      <c r="D141" s="3">
        <f>IFERROR(VLOOKUP($C141,'_METADATA_TEMPLATE'!$B$2:$H$826,2,FALSE),"")</f>
        <v>206</v>
      </c>
      <c r="E141" s="3" t="str">
        <f>IFERROR(VLOOKUP($C141,'_METADATA_TEMPLATE'!$B$2:$H$826,4,FALSE),"")</f>
        <v>SE2026 - L BLOK II</v>
      </c>
      <c r="F141" s="3" t="str">
        <f>IFERROR(VLOOKUP($C141,'_METADATA_TEMPLATE'!$B$2:$H$826,5,FALSE),"")</f>
        <v/>
      </c>
      <c r="G141" s="3" t="str">
        <f>IFERROR(VLOOKUP($C141,'_METADATA_TEMPLATE'!$B$2:$H$826,6,FALSE),"")</f>
        <v>Cek Pekerja (c1) (Diisi oleh PML)</v>
      </c>
      <c r="H141" s="3" t="str">
        <f>IFERROR(VLOOKUP($C141,'_METADATA_TEMPLATE'!$B$2:$H$826,7,FALSE),"")</f>
        <v>Radio Group</v>
      </c>
      <c r="I141" s="3" t="str">
        <f>IFERROR(VLOOKUP(C141,'_METADATA_DEFAULT'!$A:$B,2,FALSE),"")</f>
        <v/>
      </c>
    </row>
    <row r="142" ht="15.75" customHeight="1">
      <c r="A142" s="2" t="s">
        <v>373</v>
      </c>
      <c r="B142" s="2" t="s">
        <v>779</v>
      </c>
      <c r="C142" s="2" t="s">
        <v>777</v>
      </c>
      <c r="D142" s="2">
        <f>IFERROR(VLOOKUP($C142,'_METADATA_TEMPLATE'!$B$2:$H$826,2,FALSE),"")</f>
        <v>206</v>
      </c>
      <c r="E142" s="2" t="str">
        <f>IFERROR(VLOOKUP($C142,'_METADATA_TEMPLATE'!$B$2:$H$826,4,FALSE),"")</f>
        <v>SE2026 - L BLOK II</v>
      </c>
      <c r="F142" s="2" t="str">
        <f>IFERROR(VLOOKUP($C142,'_METADATA_TEMPLATE'!$B$2:$H$826,5,FALSE),"")</f>
        <v/>
      </c>
      <c r="G142" s="2" t="str">
        <f>IFERROR(VLOOKUP($C142,'_METADATA_TEMPLATE'!$B$2:$H$826,6,FALSE),"")</f>
        <v>Cek Pekerja (c1) (Diisi oleh PML)</v>
      </c>
      <c r="H142" s="2" t="str">
        <f>IFERROR(VLOOKUP($C142,'_METADATA_TEMPLATE'!$B$2:$H$826,7,FALSE),"")</f>
        <v>Radio Group</v>
      </c>
      <c r="I142" s="2" t="str">
        <f>IFERROR(VLOOKUP(C142,'_METADATA_DEFAULT'!$A:$B,2,FALSE),"")</f>
        <v/>
      </c>
    </row>
    <row r="143" ht="15.75" customHeight="1">
      <c r="A143" s="3" t="s">
        <v>373</v>
      </c>
      <c r="B143" s="3" t="s">
        <v>781</v>
      </c>
      <c r="C143" s="3" t="s">
        <v>781</v>
      </c>
      <c r="D143" s="3">
        <f>IFERROR(VLOOKUP($C143,'_METADATA_TEMPLATE'!$B$2:$H$826,2,FALSE),"")</f>
        <v>207</v>
      </c>
      <c r="E143" s="3" t="str">
        <f>IFERROR(VLOOKUP($C143,'_METADATA_TEMPLATE'!$B$2:$H$826,4,FALSE),"")</f>
        <v>SE2026 - L BLOK II</v>
      </c>
      <c r="F143" s="3" t="str">
        <f>IFERROR(VLOOKUP($C143,'_METADATA_TEMPLATE'!$B$2:$H$826,5,FALSE),"")</f>
        <v>24</v>
      </c>
      <c r="G143" s="3" t="str">
        <f>IFERROR(VLOOKUP($C143,'_METADATA_TEMPLATE'!$B$2:$H$826,6,FALSE),"")</f>
        <v>a2. Pekerja dibayar</v>
      </c>
      <c r="H143" s="3" t="str">
        <f>IFERROR(VLOOKUP($C143,'_METADATA_TEMPLATE'!$B$2:$H$826,7,FALSE),"")</f>
        <v>Number</v>
      </c>
      <c r="I143" s="3" t="str">
        <f>IFERROR(VLOOKUP(C143,'_METADATA_DEFAULT'!$A:$B,2,FALSE),"")</f>
        <v/>
      </c>
    </row>
    <row r="144" ht="15.75" customHeight="1">
      <c r="A144" s="2" t="s">
        <v>373</v>
      </c>
      <c r="B144" s="2" t="s">
        <v>783</v>
      </c>
      <c r="C144" s="2" t="s">
        <v>783</v>
      </c>
      <c r="D144" s="2">
        <f>IFERROR(VLOOKUP($C144,'_METADATA_TEMPLATE'!$B$2:$H$826,2,FALSE),"")</f>
        <v>208</v>
      </c>
      <c r="E144" s="2" t="str">
        <f>IFERROR(VLOOKUP($C144,'_METADATA_TEMPLATE'!$B$2:$H$826,4,FALSE),"")</f>
        <v>SE2026 - L BLOK II</v>
      </c>
      <c r="F144" s="2" t="str">
        <f>IFERROR(VLOOKUP($C144,'_METADATA_TEMPLATE'!$B$2:$H$826,5,FALSE),"")</f>
        <v>24</v>
      </c>
      <c r="G144" s="2" t="str">
        <f>IFERROR(VLOOKUP($C144,'_METADATA_TEMPLATE'!$B$2:$H$826,6,FALSE),"")</f>
        <v>b2. Pekerja tidak dibayar</v>
      </c>
      <c r="H144" s="2" t="str">
        <f>IFERROR(VLOOKUP($C144,'_METADATA_TEMPLATE'!$B$2:$H$826,7,FALSE),"")</f>
        <v>Number</v>
      </c>
      <c r="I144" s="2" t="str">
        <f>IFERROR(VLOOKUP(C144,'_METADATA_DEFAULT'!$A:$B,2,FALSE),"")</f>
        <v/>
      </c>
    </row>
    <row r="145" ht="15.75" customHeight="1">
      <c r="A145" s="3" t="s">
        <v>373</v>
      </c>
      <c r="B145" s="3" t="s">
        <v>785</v>
      </c>
      <c r="C145" s="3" t="s">
        <v>785</v>
      </c>
      <c r="D145" s="3">
        <f>IFERROR(VLOOKUP($C145,'_METADATA_TEMPLATE'!$B$2:$H$826,2,FALSE),"")</f>
        <v>209</v>
      </c>
      <c r="E145" s="3" t="str">
        <f>IFERROR(VLOOKUP($C145,'_METADATA_TEMPLATE'!$B$2:$H$826,4,FALSE),"")</f>
        <v>SE2026 - L BLOK II</v>
      </c>
      <c r="F145" s="3" t="str">
        <f>IFERROR(VLOOKUP($C145,'_METADATA_TEMPLATE'!$B$2:$H$826,5,FALSE),"")</f>
        <v>24</v>
      </c>
      <c r="G145" s="3" t="str">
        <f>IFERROR(VLOOKUP($C145,'_METADATA_TEMPLATE'!$B$2:$H$826,6,FALSE),"")</f>
        <v>c2. Total pekerja (a2+b2)</v>
      </c>
      <c r="H145" s="3" t="str">
        <f>IFERROR(VLOOKUP($C145,'_METADATA_TEMPLATE'!$B$2:$H$826,7,FALSE),"")</f>
        <v>Number</v>
      </c>
      <c r="I145" s="3" t="str">
        <f>IFERROR(VLOOKUP(C145,'_METADATA_DEFAULT'!$A:$B,2,FALSE),"")</f>
        <v/>
      </c>
    </row>
    <row r="146" ht="15.75" customHeight="1">
      <c r="A146" s="2" t="s">
        <v>373</v>
      </c>
      <c r="B146" s="2" t="s">
        <v>787</v>
      </c>
      <c r="C146" s="2" t="s">
        <v>788</v>
      </c>
      <c r="D146" s="2">
        <f>IFERROR(VLOOKUP($C146,'_METADATA_TEMPLATE'!$B$2:$H$826,2,FALSE),"")</f>
        <v>210</v>
      </c>
      <c r="E146" s="2" t="str">
        <f>IFERROR(VLOOKUP($C146,'_METADATA_TEMPLATE'!$B$2:$H$826,4,FALSE),"")</f>
        <v>SE2026 - L BLOK II</v>
      </c>
      <c r="F146" s="2" t="str">
        <f>IFERROR(VLOOKUP($C146,'_METADATA_TEMPLATE'!$B$2:$H$826,5,FALSE),"")</f>
        <v/>
      </c>
      <c r="G146" s="2" t="str">
        <f>IFERROR(VLOOKUP($C146,'_METADATA_TEMPLATE'!$B$2:$H$826,6,FALSE),"")</f>
        <v>Cek Pekerja (24. c2) (Diisi oleh PML)</v>
      </c>
      <c r="H146" s="2" t="str">
        <f>IFERROR(VLOOKUP($C146,'_METADATA_TEMPLATE'!$B$2:$H$826,7,FALSE),"")</f>
        <v>Radio Group</v>
      </c>
      <c r="I146" s="2" t="str">
        <f>IFERROR(VLOOKUP(C146,'_METADATA_DEFAULT'!$A:$B,2,FALSE),"")</f>
        <v/>
      </c>
    </row>
    <row r="147" ht="15.75" customHeight="1">
      <c r="A147" s="3" t="s">
        <v>373</v>
      </c>
      <c r="B147" s="3" t="s">
        <v>790</v>
      </c>
      <c r="C147" s="3" t="s">
        <v>788</v>
      </c>
      <c r="D147" s="3">
        <f>IFERROR(VLOOKUP($C147,'_METADATA_TEMPLATE'!$B$2:$H$826,2,FALSE),"")</f>
        <v>210</v>
      </c>
      <c r="E147" s="3" t="str">
        <f>IFERROR(VLOOKUP($C147,'_METADATA_TEMPLATE'!$B$2:$H$826,4,FALSE),"")</f>
        <v>SE2026 - L BLOK II</v>
      </c>
      <c r="F147" s="3" t="str">
        <f>IFERROR(VLOOKUP($C147,'_METADATA_TEMPLATE'!$B$2:$H$826,5,FALSE),"")</f>
        <v/>
      </c>
      <c r="G147" s="3" t="str">
        <f>IFERROR(VLOOKUP($C147,'_METADATA_TEMPLATE'!$B$2:$H$826,6,FALSE),"")</f>
        <v>Cek Pekerja (24. c2) (Diisi oleh PML)</v>
      </c>
      <c r="H147" s="3" t="str">
        <f>IFERROR(VLOOKUP($C147,'_METADATA_TEMPLATE'!$B$2:$H$826,7,FALSE),"")</f>
        <v>Radio Group</v>
      </c>
      <c r="I147" s="3" t="str">
        <f>IFERROR(VLOOKUP(C147,'_METADATA_DEFAULT'!$A:$B,2,FALSE),"")</f>
        <v/>
      </c>
    </row>
    <row r="148" ht="15.75" customHeight="1">
      <c r="A148" s="2" t="s">
        <v>373</v>
      </c>
      <c r="B148" s="2" t="s">
        <v>792</v>
      </c>
      <c r="C148" s="2" t="s">
        <v>792</v>
      </c>
      <c r="D148" s="2">
        <f>IFERROR(VLOOKUP($C148,'_METADATA_TEMPLATE'!$B$2:$H$826,2,FALSE),"")</f>
        <v>211</v>
      </c>
      <c r="E148" s="2" t="str">
        <f>IFERROR(VLOOKUP($C148,'_METADATA_TEMPLATE'!$B$2:$H$826,4,FALSE),"")</f>
        <v>SE2026 - L BLOK II</v>
      </c>
      <c r="F148" s="2" t="str">
        <f>IFERROR(VLOOKUP($C148,'_METADATA_TEMPLATE'!$B$2:$H$826,5,FALSE),"")</f>
        <v>25</v>
      </c>
      <c r="G148" s="2" t="str">
        <f>IFERROR(VLOOKUP($C148,'_METADATA_TEMPLATE'!$B$2:$H$826,6,FALSE),"")</f>
        <v>Tahun berapa usaha/perusahaan ini mulai beroperasi secara komersial ? Tahun beroperasi komersial terdiri dari 4 angka. Contoh: 1990; 2025;dsb.</v>
      </c>
      <c r="H148" s="2" t="str">
        <f>IFERROR(VLOOKUP($C148,'_METADATA_TEMPLATE'!$B$2:$H$826,7,FALSE),"")</f>
        <v>Masking</v>
      </c>
      <c r="I148" s="2" t="str">
        <f>IFERROR(VLOOKUP(C148,'_METADATA_DEFAULT'!$A:$B,2,FALSE),"")</f>
        <v/>
      </c>
    </row>
    <row r="149" ht="15.75" customHeight="1">
      <c r="A149" s="3" t="s">
        <v>373</v>
      </c>
      <c r="B149" s="3" t="s">
        <v>796</v>
      </c>
      <c r="C149" s="3" t="s">
        <v>796</v>
      </c>
      <c r="D149" s="3">
        <f>IFERROR(VLOOKUP($C149,'_METADATA_TEMPLATE'!$B$2:$H$826,2,FALSE),"")</f>
        <v>212</v>
      </c>
      <c r="E149" s="3" t="str">
        <f>IFERROR(VLOOKUP($C149,'_METADATA_TEMPLATE'!$B$2:$H$826,4,FALSE),"")</f>
        <v>SE2026 - L BLOK II</v>
      </c>
      <c r="F149" s="3" t="str">
        <f>IFERROR(VLOOKUP($C149,'_METADATA_TEMPLATE'!$B$2:$H$826,5,FALSE),"")</f>
        <v>26</v>
      </c>
      <c r="G149" s="3" t="str">
        <f>IFERROR(VLOOKUP($C149,'_METADATA_TEMPLATE'!$B$2:$H$826,6,FALSE),"")</f>
        <v>a. Total upah dan gaji, serta jaminan sosial pegawai</v>
      </c>
      <c r="H149" s="3" t="str">
        <f>IFERROR(VLOOKUP($C149,'_METADATA_TEMPLATE'!$B$2:$H$826,7,FALSE),"")</f>
        <v>Currency</v>
      </c>
      <c r="I149" s="3" t="str">
        <f>IFERROR(VLOOKUP(C149,'_METADATA_DEFAULT'!$A:$B,2,FALSE),"")</f>
        <v/>
      </c>
    </row>
    <row r="150" ht="15.75" customHeight="1">
      <c r="A150" s="2" t="s">
        <v>373</v>
      </c>
      <c r="B150" s="2" t="s">
        <v>800</v>
      </c>
      <c r="C150" s="2" t="s">
        <v>800</v>
      </c>
      <c r="D150" s="2">
        <f>IFERROR(VLOOKUP($C150,'_METADATA_TEMPLATE'!$B$2:$H$826,2,FALSE),"")</f>
        <v>213</v>
      </c>
      <c r="E150" s="2" t="str">
        <f>IFERROR(VLOOKUP($C150,'_METADATA_TEMPLATE'!$B$2:$H$826,4,FALSE),"")</f>
        <v>SE2026 - L BLOK II</v>
      </c>
      <c r="F150" s="2" t="str">
        <f>IFERROR(VLOOKUP($C150,'_METADATA_TEMPLATE'!$B$2:$H$826,5,FALSE),"")</f>
        <v>26</v>
      </c>
      <c r="G150" s="2" t="str">
        <f>IFERROR(VLOOKUP($C150,'_METADATA_TEMPLATE'!$B$2:$H$826,6,FALSE),"")</f>
        <v>b. Biaya produksi</v>
      </c>
      <c r="H150" s="2" t="str">
        <f>IFERROR(VLOOKUP($C150,'_METADATA_TEMPLATE'!$B$2:$H$826,7,FALSE),"")</f>
        <v>Currency</v>
      </c>
      <c r="I150" s="2" t="str">
        <f>IFERROR(VLOOKUP(C150,'_METADATA_DEFAULT'!$A:$B,2,FALSE),"")</f>
        <v/>
      </c>
    </row>
    <row r="151" ht="15.75" customHeight="1">
      <c r="A151" s="3" t="s">
        <v>373</v>
      </c>
      <c r="B151" s="3" t="s">
        <v>801</v>
      </c>
      <c r="C151" s="3" t="s">
        <v>801</v>
      </c>
      <c r="D151" s="3">
        <f>IFERROR(VLOOKUP($C151,'_METADATA_TEMPLATE'!$B$2:$H$826,2,FALSE),"")</f>
        <v>214</v>
      </c>
      <c r="E151" s="3" t="str">
        <f>IFERROR(VLOOKUP($C151,'_METADATA_TEMPLATE'!$B$2:$H$826,4,FALSE),"")</f>
        <v>SE2026 - L BLOK II</v>
      </c>
      <c r="F151" s="3" t="str">
        <f>IFERROR(VLOOKUP($C151,'_METADATA_TEMPLATE'!$B$2:$H$826,5,FALSE),"")</f>
        <v>26</v>
      </c>
      <c r="G151" s="3" t="str">
        <f>IFERROR(VLOOKUP($C151,'_METADATA_TEMPLATE'!$B$2:$H$826,6,FALSE),"")</f>
        <v>c. Biaya pembelian barang yang terjual</v>
      </c>
      <c r="H151" s="3" t="str">
        <f>IFERROR(VLOOKUP($C151,'_METADATA_TEMPLATE'!$B$2:$H$826,7,FALSE),"")</f>
        <v>Currency</v>
      </c>
      <c r="I151" s="3" t="str">
        <f>IFERROR(VLOOKUP(C151,'_METADATA_DEFAULT'!$A:$B,2,FALSE),"")</f>
        <v/>
      </c>
    </row>
    <row r="152" ht="15.75" customHeight="1">
      <c r="A152" s="2" t="s">
        <v>373</v>
      </c>
      <c r="B152" s="2" t="s">
        <v>803</v>
      </c>
      <c r="C152" s="2" t="s">
        <v>803</v>
      </c>
      <c r="D152" s="2">
        <f>IFERROR(VLOOKUP($C152,'_METADATA_TEMPLATE'!$B$2:$H$826,2,FALSE),"")</f>
        <v>215</v>
      </c>
      <c r="E152" s="2" t="str">
        <f>IFERROR(VLOOKUP($C152,'_METADATA_TEMPLATE'!$B$2:$H$826,4,FALSE),"")</f>
        <v>SE2026 - L BLOK II</v>
      </c>
      <c r="F152" s="2" t="str">
        <f>IFERROR(VLOOKUP($C152,'_METADATA_TEMPLATE'!$B$2:$H$826,5,FALSE),"")</f>
        <v>26</v>
      </c>
      <c r="G152" s="2" t="str">
        <f>IFERROR(VLOOKUP($C152,'_METADATA_TEMPLATE'!$B$2:$H$826,6,FALSE),"")</f>
        <v>d. Biaya operasional (air, listrik, gas, internet, pulsa, pemeliharaan, biaya angkutan, dll.)</v>
      </c>
      <c r="H152" s="2" t="str">
        <f>IFERROR(VLOOKUP($C152,'_METADATA_TEMPLATE'!$B$2:$H$826,7,FALSE),"")</f>
        <v>Currency</v>
      </c>
      <c r="I152" s="2" t="str">
        <f>IFERROR(VLOOKUP(C152,'_METADATA_DEFAULT'!$A:$B,2,FALSE),"")</f>
        <v/>
      </c>
    </row>
    <row r="153" ht="15.75" customHeight="1">
      <c r="A153" s="3" t="s">
        <v>373</v>
      </c>
      <c r="B153" s="3" t="s">
        <v>805</v>
      </c>
      <c r="C153" s="3" t="s">
        <v>805</v>
      </c>
      <c r="D153" s="3">
        <f>IFERROR(VLOOKUP($C153,'_METADATA_TEMPLATE'!$B$2:$H$826,2,FALSE),"")</f>
        <v>216</v>
      </c>
      <c r="E153" s="3" t="str">
        <f>IFERROR(VLOOKUP($C153,'_METADATA_TEMPLATE'!$B$2:$H$826,4,FALSE),"")</f>
        <v>SE2026 - L BLOK II</v>
      </c>
      <c r="F153" s="3" t="str">
        <f>IFERROR(VLOOKUP($C153,'_METADATA_TEMPLATE'!$B$2:$H$826,5,FALSE),"")</f>
        <v>26</v>
      </c>
      <c r="G153" s="3" t="str">
        <f>IFERROR(VLOOKUP($C153,'_METADATA_TEMPLATE'!$B$2:$H$826,6,FALSE),"")</f>
        <v>e. Biaya non-operasional</v>
      </c>
      <c r="H153" s="3" t="str">
        <f>IFERROR(VLOOKUP($C153,'_METADATA_TEMPLATE'!$B$2:$H$826,7,FALSE),"")</f>
        <v>Currency</v>
      </c>
      <c r="I153" s="3" t="str">
        <f>IFERROR(VLOOKUP(C153,'_METADATA_DEFAULT'!$A:$B,2,FALSE),"")</f>
        <v/>
      </c>
    </row>
    <row r="154" ht="15.75" customHeight="1">
      <c r="A154" s="2" t="s">
        <v>373</v>
      </c>
      <c r="B154" s="2" t="s">
        <v>807</v>
      </c>
      <c r="C154" s="2" t="s">
        <v>807</v>
      </c>
      <c r="D154" s="2">
        <f>IFERROR(VLOOKUP($C154,'_METADATA_TEMPLATE'!$B$2:$H$826,2,FALSE),"")</f>
        <v>217</v>
      </c>
      <c r="E154" s="2" t="str">
        <f>IFERROR(VLOOKUP($C154,'_METADATA_TEMPLATE'!$B$2:$H$826,4,FALSE),"")</f>
        <v>SE2026 - L BLOK II</v>
      </c>
      <c r="F154" s="2" t="str">
        <f>IFERROR(VLOOKUP($C154,'_METADATA_TEMPLATE'!$B$2:$H$826,5,FALSE),"")</f>
        <v>26</v>
      </c>
      <c r="G154" s="2" t="str">
        <f>IFERROR(VLOOKUP($C154,'_METADATA_TEMPLATE'!$B$2:$H$826,6,FALSE),"")</f>
        <v>f. Total pengeluaran (a+b+c+d+e)</v>
      </c>
      <c r="H154" s="2" t="str">
        <f>IFERROR(VLOOKUP($C154,'_METADATA_TEMPLATE'!$B$2:$H$826,7,FALSE),"")</f>
        <v>Currency</v>
      </c>
      <c r="I154" s="2" t="str">
        <f>IFERROR(VLOOKUP(C154,'_METADATA_DEFAULT'!$A:$B,2,FALSE),"")</f>
        <v/>
      </c>
    </row>
    <row r="155" ht="15.75" customHeight="1">
      <c r="A155" s="3" t="s">
        <v>373</v>
      </c>
      <c r="B155" s="3" t="s">
        <v>809</v>
      </c>
      <c r="C155" s="3" t="s">
        <v>810</v>
      </c>
      <c r="D155" s="3">
        <f>IFERROR(VLOOKUP($C155,'_METADATA_TEMPLATE'!$B$2:$H$826,2,FALSE),"")</f>
        <v>218</v>
      </c>
      <c r="E155" s="3" t="str">
        <f>IFERROR(VLOOKUP($C155,'_METADATA_TEMPLATE'!$B$2:$H$826,4,FALSE),"")</f>
        <v>SE2026 - L BLOK II</v>
      </c>
      <c r="F155" s="3" t="str">
        <f>IFERROR(VLOOKUP($C155,'_METADATA_TEMPLATE'!$B$2:$H$826,5,FALSE),"")</f>
        <v/>
      </c>
      <c r="G155" s="3" t="str">
        <f>IFERROR(VLOOKUP($C155,'_METADATA_TEMPLATE'!$B$2:$H$826,6,FALSE),"")</f>
        <v>Cek Rincian Pengeluaran 2025 (Diisi oleh PML)</v>
      </c>
      <c r="H155" s="3" t="str">
        <f>IFERROR(VLOOKUP($C155,'_METADATA_TEMPLATE'!$B$2:$H$826,7,FALSE),"")</f>
        <v>Radio Group</v>
      </c>
      <c r="I155" s="3" t="str">
        <f>IFERROR(VLOOKUP(C155,'_METADATA_DEFAULT'!$A:$B,2,FALSE),"")</f>
        <v/>
      </c>
    </row>
    <row r="156" ht="15.75" customHeight="1">
      <c r="A156" s="2" t="s">
        <v>373</v>
      </c>
      <c r="B156" s="2" t="s">
        <v>812</v>
      </c>
      <c r="C156" s="2" t="s">
        <v>810</v>
      </c>
      <c r="D156" s="2">
        <f>IFERROR(VLOOKUP($C156,'_METADATA_TEMPLATE'!$B$2:$H$826,2,FALSE),"")</f>
        <v>218</v>
      </c>
      <c r="E156" s="2" t="str">
        <f>IFERROR(VLOOKUP($C156,'_METADATA_TEMPLATE'!$B$2:$H$826,4,FALSE),"")</f>
        <v>SE2026 - L BLOK II</v>
      </c>
      <c r="F156" s="2" t="str">
        <f>IFERROR(VLOOKUP($C156,'_METADATA_TEMPLATE'!$B$2:$H$826,5,FALSE),"")</f>
        <v/>
      </c>
      <c r="G156" s="2" t="str">
        <f>IFERROR(VLOOKUP($C156,'_METADATA_TEMPLATE'!$B$2:$H$826,6,FALSE),"")</f>
        <v>Cek Rincian Pengeluaran 2025 (Diisi oleh PML)</v>
      </c>
      <c r="H156" s="2" t="str">
        <f>IFERROR(VLOOKUP($C156,'_METADATA_TEMPLATE'!$B$2:$H$826,7,FALSE),"")</f>
        <v>Radio Group</v>
      </c>
      <c r="I156" s="2" t="str">
        <f>IFERROR(VLOOKUP(C156,'_METADATA_DEFAULT'!$A:$B,2,FALSE),"")</f>
        <v/>
      </c>
    </row>
    <row r="157" ht="15.75" customHeight="1">
      <c r="A157" s="3" t="s">
        <v>373</v>
      </c>
      <c r="B157" s="3" t="s">
        <v>814</v>
      </c>
      <c r="C157" s="3" t="s">
        <v>814</v>
      </c>
      <c r="D157" s="3">
        <f>IFERROR(VLOOKUP($C157,'_METADATA_TEMPLATE'!$B$2:$H$826,2,FALSE),"")</f>
        <v>219</v>
      </c>
      <c r="E157" s="3" t="str">
        <f>IFERROR(VLOOKUP($C157,'_METADATA_TEMPLATE'!$B$2:$H$826,4,FALSE),"")</f>
        <v>SE2026 - L BLOK II</v>
      </c>
      <c r="F157" s="3" t="str">
        <f>IFERROR(VLOOKUP($C157,'_METADATA_TEMPLATE'!$B$2:$H$826,5,FALSE),"")</f>
        <v>27</v>
      </c>
      <c r="G157" s="3" t="str">
        <f>IFERROR(VLOOKUP($C157,'_METADATA_TEMPLATE'!$B$2:$H$826,6,FALSE),"")</f>
        <v>a. Nilai $narasi barang dan jasa</v>
      </c>
      <c r="H157" s="3" t="str">
        <f>IFERROR(VLOOKUP($C157,'_METADATA_TEMPLATE'!$B$2:$H$826,7,FALSE),"")</f>
        <v>Currency</v>
      </c>
      <c r="I157" s="3" t="str">
        <f>IFERROR(VLOOKUP(C157,'_METADATA_DEFAULT'!$A:$B,2,FALSE),"")</f>
        <v/>
      </c>
    </row>
    <row r="158" ht="15.75" customHeight="1">
      <c r="A158" s="2" t="s">
        <v>373</v>
      </c>
      <c r="B158" s="2" t="s">
        <v>828</v>
      </c>
      <c r="C158" s="2" t="s">
        <v>828</v>
      </c>
      <c r="D158" s="2">
        <f>IFERROR(VLOOKUP($C158,'_METADATA_TEMPLATE'!$B$2:$H$826,2,FALSE),"")</f>
        <v>220</v>
      </c>
      <c r="E158" s="2" t="str">
        <f>IFERROR(VLOOKUP($C158,'_METADATA_TEMPLATE'!$B$2:$H$826,4,FALSE),"")</f>
        <v>SE2026 - L BLOK II</v>
      </c>
      <c r="F158" s="2" t="str">
        <f>IFERROR(VLOOKUP($C158,'_METADATA_TEMPLATE'!$B$2:$H$826,5,FALSE),"")</f>
        <v>27</v>
      </c>
      <c r="G158" s="2" t="str">
        <f>IFERROR(VLOOKUP($C158,'_METADATA_TEMPLATE'!$B$2:$H$826,6,FALSE),"")</f>
        <v>b. Pendapatan lainnya yang dihasilkan perusahaan</v>
      </c>
      <c r="H158" s="2" t="str">
        <f>IFERROR(VLOOKUP($C158,'_METADATA_TEMPLATE'!$B$2:$H$826,7,FALSE),"")</f>
        <v>Currency</v>
      </c>
      <c r="I158" s="2" t="str">
        <f>IFERROR(VLOOKUP(C158,'_METADATA_DEFAULT'!$A:$B,2,FALSE),"")</f>
        <v/>
      </c>
    </row>
    <row r="159" ht="15.75" customHeight="1">
      <c r="A159" s="3" t="s">
        <v>373</v>
      </c>
      <c r="B159" s="3" t="s">
        <v>835</v>
      </c>
      <c r="C159" s="3" t="s">
        <v>835</v>
      </c>
      <c r="D159" s="3">
        <f>IFERROR(VLOOKUP($C159,'_METADATA_TEMPLATE'!$B$2:$H$826,2,FALSE),"")</f>
        <v>221</v>
      </c>
      <c r="E159" s="3" t="str">
        <f>IFERROR(VLOOKUP($C159,'_METADATA_TEMPLATE'!$B$2:$H$826,4,FALSE),"")</f>
        <v>SE2026 - L BLOK II</v>
      </c>
      <c r="F159" s="3" t="str">
        <f>IFERROR(VLOOKUP($C159,'_METADATA_TEMPLATE'!$B$2:$H$826,5,FALSE),"")</f>
        <v>27</v>
      </c>
      <c r="G159" s="3" t="str">
        <f>IFERROR(VLOOKUP($C159,'_METADATA_TEMPLATE'!$B$2:$H$826,6,FALSE),"")</f>
        <v>c. Total nilai $narasi (a+b)</v>
      </c>
      <c r="H159" s="3" t="str">
        <f>IFERROR(VLOOKUP($C159,'_METADATA_TEMPLATE'!$B$2:$H$826,7,FALSE),"")</f>
        <v>Currency</v>
      </c>
      <c r="I159" s="3" t="str">
        <f>IFERROR(VLOOKUP(C159,'_METADATA_DEFAULT'!$A:$B,2,FALSE),"")</f>
        <v/>
      </c>
    </row>
    <row r="160" ht="15.75" customHeight="1">
      <c r="A160" s="2" t="s">
        <v>373</v>
      </c>
      <c r="B160" s="2" t="s">
        <v>850</v>
      </c>
      <c r="C160" s="2" t="s">
        <v>851</v>
      </c>
      <c r="D160" s="2">
        <f>IFERROR(VLOOKUP($C160,'_METADATA_TEMPLATE'!$B$2:$H$826,2,FALSE),"")</f>
        <v>222</v>
      </c>
      <c r="E160" s="2" t="str">
        <f>IFERROR(VLOOKUP($C160,'_METADATA_TEMPLATE'!$B$2:$H$826,4,FALSE),"")</f>
        <v>SE2026 - L BLOK II</v>
      </c>
      <c r="F160" s="2" t="str">
        <f>IFERROR(VLOOKUP($C160,'_METADATA_TEMPLATE'!$B$2:$H$826,5,FALSE),"")</f>
        <v/>
      </c>
      <c r="G160" s="2" t="str">
        <f>IFERROR(VLOOKUP($C160,'_METADATA_TEMPLATE'!$B$2:$H$826,6,FALSE),"")</f>
        <v>Cek Rincian Pendapatan 2025 (Diisi oleh PML)</v>
      </c>
      <c r="H160" s="2" t="str">
        <f>IFERROR(VLOOKUP($C160,'_METADATA_TEMPLATE'!$B$2:$H$826,7,FALSE),"")</f>
        <v>Radio Group</v>
      </c>
      <c r="I160" s="2" t="str">
        <f>IFERROR(VLOOKUP(C160,'_METADATA_DEFAULT'!$A:$B,2,FALSE),"")</f>
        <v/>
      </c>
    </row>
    <row r="161" ht="15.75" customHeight="1">
      <c r="A161" s="3" t="s">
        <v>373</v>
      </c>
      <c r="B161" s="3" t="s">
        <v>861</v>
      </c>
      <c r="C161" s="3" t="s">
        <v>851</v>
      </c>
      <c r="D161" s="3">
        <f>IFERROR(VLOOKUP($C161,'_METADATA_TEMPLATE'!$B$2:$H$826,2,FALSE),"")</f>
        <v>222</v>
      </c>
      <c r="E161" s="3" t="str">
        <f>IFERROR(VLOOKUP($C161,'_METADATA_TEMPLATE'!$B$2:$H$826,4,FALSE),"")</f>
        <v>SE2026 - L BLOK II</v>
      </c>
      <c r="F161" s="3" t="str">
        <f>IFERROR(VLOOKUP($C161,'_METADATA_TEMPLATE'!$B$2:$H$826,5,FALSE),"")</f>
        <v/>
      </c>
      <c r="G161" s="3" t="str">
        <f>IFERROR(VLOOKUP($C161,'_METADATA_TEMPLATE'!$B$2:$H$826,6,FALSE),"")</f>
        <v>Cek Rincian Pendapatan 2025 (Diisi oleh PML)</v>
      </c>
      <c r="H161" s="3" t="str">
        <f>IFERROR(VLOOKUP($C161,'_METADATA_TEMPLATE'!$B$2:$H$826,7,FALSE),"")</f>
        <v>Radio Group</v>
      </c>
      <c r="I161" s="3" t="str">
        <f>IFERROR(VLOOKUP(C161,'_METADATA_DEFAULT'!$A:$B,2,FALSE),"")</f>
        <v/>
      </c>
    </row>
    <row r="162" ht="15.75" customHeight="1">
      <c r="A162" s="2" t="s">
        <v>373</v>
      </c>
      <c r="B162" s="2" t="s">
        <v>874</v>
      </c>
      <c r="C162" s="2" t="s">
        <v>874</v>
      </c>
      <c r="D162" s="2">
        <f>IFERROR(VLOOKUP($C162,'_METADATA_TEMPLATE'!$B$2:$H$826,2,FALSE),"")</f>
        <v>223</v>
      </c>
      <c r="E162" s="2" t="str">
        <f>IFERROR(VLOOKUP($C162,'_METADATA_TEMPLATE'!$B$2:$H$826,4,FALSE),"")</f>
        <v>SE2026 - L BLOK II</v>
      </c>
      <c r="F162" s="2" t="str">
        <f>IFERROR(VLOOKUP($C162,'_METADATA_TEMPLATE'!$B$2:$H$826,5,FALSE),"")</f>
        <v>27</v>
      </c>
      <c r="G162" s="2" t="str">
        <f>IFERROR(VLOOKUP($C162,'_METADATA_TEMPLATE'!$B$2:$H$826,6,FALSE),"")</f>
        <v>d. Berapa persentase pendapatan yang dilakukan secara online ?</v>
      </c>
      <c r="H162" s="2" t="str">
        <f>IFERROR(VLOOKUP($C162,'_METADATA_TEMPLATE'!$B$2:$H$826,7,FALSE),"")</f>
        <v>Number</v>
      </c>
      <c r="I162" s="2" t="str">
        <f>IFERROR(VLOOKUP(C162,'_METADATA_DEFAULT'!$A:$B,2,FALSE),"")</f>
        <v/>
      </c>
    </row>
    <row r="163" ht="15.75" customHeight="1">
      <c r="A163" s="3" t="s">
        <v>373</v>
      </c>
      <c r="B163" s="3" t="s">
        <v>884</v>
      </c>
      <c r="C163" s="3" t="s">
        <v>884</v>
      </c>
      <c r="D163" s="3">
        <f>IFERROR(VLOOKUP($C163,'_METADATA_TEMPLATE'!$B$2:$H$826,2,FALSE),"")</f>
        <v>224</v>
      </c>
      <c r="E163" s="3" t="str">
        <f>IFERROR(VLOOKUP($C163,'_METADATA_TEMPLATE'!$B$2:$H$826,4,FALSE),"")</f>
        <v>SE2026 - L BLOK II</v>
      </c>
      <c r="F163" s="3" t="str">
        <f>IFERROR(VLOOKUP($C163,'_METADATA_TEMPLATE'!$B$2:$H$826,5,FALSE),"")</f>
        <v>28</v>
      </c>
      <c r="G163" s="3" t="str">
        <f>IFERROR(VLOOKUP($C163,'_METADATA_TEMPLATE'!$B$2:$H$826,6,FALSE),"")</f>
        <v>a. Nilai aset tanah dan bangunan pada 31 Desember 2025</v>
      </c>
      <c r="H163" s="3" t="str">
        <f>IFERROR(VLOOKUP($C163,'_METADATA_TEMPLATE'!$B$2:$H$826,7,FALSE),"")</f>
        <v>Currency</v>
      </c>
      <c r="I163" s="3" t="str">
        <f>IFERROR(VLOOKUP(C163,'_METADATA_DEFAULT'!$A:$B,2,FALSE),"")</f>
        <v/>
      </c>
    </row>
    <row r="164" ht="15.75" customHeight="1">
      <c r="A164" s="2" t="s">
        <v>373</v>
      </c>
      <c r="B164" s="2" t="s">
        <v>891</v>
      </c>
      <c r="C164" s="2" t="s">
        <v>891</v>
      </c>
      <c r="D164" s="2">
        <f>IFERROR(VLOOKUP($C164,'_METADATA_TEMPLATE'!$B$2:$H$826,2,FALSE),"")</f>
        <v>225</v>
      </c>
      <c r="E164" s="2" t="str">
        <f>IFERROR(VLOOKUP($C164,'_METADATA_TEMPLATE'!$B$2:$H$826,4,FALSE),"")</f>
        <v>SE2026 - L BLOK II</v>
      </c>
      <c r="F164" s="2" t="str">
        <f>IFERROR(VLOOKUP($C164,'_METADATA_TEMPLATE'!$B$2:$H$826,5,FALSE),"")</f>
        <v>28</v>
      </c>
      <c r="G164" s="2" t="str">
        <f>IFERROR(VLOOKUP($C164,'_METADATA_TEMPLATE'!$B$2:$H$826,6,FALSE),"")</f>
        <v>b. Nilai aset selain tanah dan bangunan pada 31 Desember 2025</v>
      </c>
      <c r="H164" s="2" t="str">
        <f>IFERROR(VLOOKUP($C164,'_METADATA_TEMPLATE'!$B$2:$H$826,7,FALSE),"")</f>
        <v>Currency</v>
      </c>
      <c r="I164" s="2" t="str">
        <f>IFERROR(VLOOKUP(C164,'_METADATA_DEFAULT'!$A:$B,2,FALSE),"")</f>
        <v/>
      </c>
    </row>
    <row r="165" ht="15.75" customHeight="1">
      <c r="A165" s="3" t="s">
        <v>373</v>
      </c>
      <c r="B165" s="3" t="s">
        <v>898</v>
      </c>
      <c r="C165" s="3" t="s">
        <v>898</v>
      </c>
      <c r="D165" s="3">
        <f>IFERROR(VLOOKUP($C165,'_METADATA_TEMPLATE'!$B$2:$H$826,2,FALSE),"")</f>
        <v>226</v>
      </c>
      <c r="E165" s="3" t="str">
        <f>IFERROR(VLOOKUP($C165,'_METADATA_TEMPLATE'!$B$2:$H$826,4,FALSE),"")</f>
        <v>SE2026 - L BLOK II</v>
      </c>
      <c r="F165" s="3" t="str">
        <f>IFERROR(VLOOKUP($C165,'_METADATA_TEMPLATE'!$B$2:$H$826,5,FALSE),"")</f>
        <v>28</v>
      </c>
      <c r="G165" s="3" t="str">
        <f>IFERROR(VLOOKUP($C165,'_METADATA_TEMPLATE'!$B$2:$H$826,6,FALSE),"")</f>
        <v>c. Nilai total aset pada 31 Desember 2025</v>
      </c>
      <c r="H165" s="3" t="str">
        <f>IFERROR(VLOOKUP($C165,'_METADATA_TEMPLATE'!$B$2:$H$826,7,FALSE),"")</f>
        <v>Currency</v>
      </c>
      <c r="I165" s="3" t="str">
        <f>IFERROR(VLOOKUP(C165,'_METADATA_DEFAULT'!$A:$B,2,FALSE),"")</f>
        <v/>
      </c>
    </row>
    <row r="166" ht="15.75" customHeight="1">
      <c r="A166" s="2" t="s">
        <v>373</v>
      </c>
      <c r="B166" s="2" t="s">
        <v>904</v>
      </c>
      <c r="C166" s="2" t="s">
        <v>907</v>
      </c>
      <c r="D166" s="2">
        <f>IFERROR(VLOOKUP($C166,'_METADATA_TEMPLATE'!$B$2:$H$826,2,FALSE),"")</f>
        <v>227</v>
      </c>
      <c r="E166" s="2" t="str">
        <f>IFERROR(VLOOKUP($C166,'_METADATA_TEMPLATE'!$B$2:$H$826,4,FALSE),"")</f>
        <v>SE2026 - L BLOK II</v>
      </c>
      <c r="F166" s="2" t="str">
        <f>IFERROR(VLOOKUP($C166,'_METADATA_TEMPLATE'!$B$2:$H$826,5,FALSE),"")</f>
        <v>28</v>
      </c>
      <c r="G166" s="2" t="str">
        <f>IFERROR(VLOOKUP($C166,'_METADATA_TEMPLATE'!$B$2:$H$826,6,FALSE),"")</f>
        <v>c1. Jika tidak dapat mengisikan nilai nominal, pilih nilai total aset dalam rentang berikut</v>
      </c>
      <c r="H166" s="2" t="str">
        <f>IFERROR(VLOOKUP($C166,'_METADATA_TEMPLATE'!$B$2:$H$826,7,FALSE),"")</f>
        <v>Radio Group</v>
      </c>
      <c r="I166" s="2" t="str">
        <f>IFERROR(VLOOKUP(C166,'_METADATA_DEFAULT'!$A:$B,2,FALSE),"")</f>
        <v/>
      </c>
    </row>
    <row r="167" ht="15.75" customHeight="1">
      <c r="A167" s="3" t="s">
        <v>373</v>
      </c>
      <c r="B167" s="3" t="s">
        <v>911</v>
      </c>
      <c r="C167" s="3" t="s">
        <v>907</v>
      </c>
      <c r="D167" s="3">
        <f>IFERROR(VLOOKUP($C167,'_METADATA_TEMPLATE'!$B$2:$H$826,2,FALSE),"")</f>
        <v>227</v>
      </c>
      <c r="E167" s="3" t="str">
        <f>IFERROR(VLOOKUP($C167,'_METADATA_TEMPLATE'!$B$2:$H$826,4,FALSE),"")</f>
        <v>SE2026 - L BLOK II</v>
      </c>
      <c r="F167" s="3" t="str">
        <f>IFERROR(VLOOKUP($C167,'_METADATA_TEMPLATE'!$B$2:$H$826,5,FALSE),"")</f>
        <v>28</v>
      </c>
      <c r="G167" s="3" t="str">
        <f>IFERROR(VLOOKUP($C167,'_METADATA_TEMPLATE'!$B$2:$H$826,6,FALSE),"")</f>
        <v>c1. Jika tidak dapat mengisikan nilai nominal, pilih nilai total aset dalam rentang berikut</v>
      </c>
      <c r="H167" s="3" t="str">
        <f>IFERROR(VLOOKUP($C167,'_METADATA_TEMPLATE'!$B$2:$H$826,7,FALSE),"")</f>
        <v>Radio Group</v>
      </c>
      <c r="I167" s="3" t="str">
        <f>IFERROR(VLOOKUP(C167,'_METADATA_DEFAULT'!$A:$B,2,FALSE),"")</f>
        <v/>
      </c>
    </row>
    <row r="168" ht="15.75" customHeight="1">
      <c r="A168" s="2" t="s">
        <v>373</v>
      </c>
      <c r="B168" s="2" t="s">
        <v>920</v>
      </c>
      <c r="C168" s="2" t="s">
        <v>920</v>
      </c>
      <c r="D168" s="2">
        <f>IFERROR(VLOOKUP($C168,'_METADATA_TEMPLATE'!$B$2:$H$826,2,FALSE),"")</f>
        <v>228</v>
      </c>
      <c r="E168" s="2" t="str">
        <f>IFERROR(VLOOKUP($C168,'_METADATA_TEMPLATE'!$B$2:$H$826,4,FALSE),"")</f>
        <v>SE2026 - L BLOK II</v>
      </c>
      <c r="F168" s="2" t="str">
        <f>IFERROR(VLOOKUP($C168,'_METADATA_TEMPLATE'!$B$2:$H$826,5,FALSE),"")</f>
        <v>28</v>
      </c>
      <c r="G168" s="2" t="str">
        <f>IFERROR(VLOOKUP($C168,'_METADATA_TEMPLATE'!$B$2:$H$826,6,FALSE),"")</f>
        <v>d. Berapa luas tanah yang dikuasai dan digunakan untuk kegiatan usaha pada 31 Desember 2025 ? (m 2 )</v>
      </c>
      <c r="H168" s="2" t="str">
        <f>IFERROR(VLOOKUP($C168,'_METADATA_TEMPLATE'!$B$2:$H$826,7,FALSE),"")</f>
        <v>Number</v>
      </c>
      <c r="I168" s="2" t="str">
        <f>IFERROR(VLOOKUP(C168,'_METADATA_DEFAULT'!$A:$B,2,FALSE),"")</f>
        <v/>
      </c>
    </row>
    <row r="169" ht="15.75" customHeight="1">
      <c r="A169" s="3" t="s">
        <v>373</v>
      </c>
      <c r="B169" s="3" t="s">
        <v>929</v>
      </c>
      <c r="C169" s="3" t="s">
        <v>930</v>
      </c>
      <c r="D169" s="3">
        <f>IFERROR(VLOOKUP($C169,'_METADATA_TEMPLATE'!$B$2:$H$826,2,FALSE),"")</f>
        <v>229</v>
      </c>
      <c r="E169" s="3" t="str">
        <f>IFERROR(VLOOKUP($C169,'_METADATA_TEMPLATE'!$B$2:$H$826,4,FALSE),"")</f>
        <v>SE2026 - L BLOK II</v>
      </c>
      <c r="F169" s="3" t="str">
        <f>IFERROR(VLOOKUP($C169,'_METADATA_TEMPLATE'!$B$2:$H$826,5,FALSE),"")</f>
        <v/>
      </c>
      <c r="G169" s="3" t="str">
        <f>IFERROR(VLOOKUP($C169,'_METADATA_TEMPLATE'!$B$2:$H$826,6,FALSE),"")</f>
        <v>Cek Rincian Aset 31 Des 2025 (Diisi oleh PML)</v>
      </c>
      <c r="H169" s="3" t="str">
        <f>IFERROR(VLOOKUP($C169,'_METADATA_TEMPLATE'!$B$2:$H$826,7,FALSE),"")</f>
        <v>Radio Group</v>
      </c>
      <c r="I169" s="3" t="str">
        <f>IFERROR(VLOOKUP(C169,'_METADATA_DEFAULT'!$A:$B,2,FALSE),"")</f>
        <v/>
      </c>
    </row>
    <row r="170" ht="15.75" customHeight="1">
      <c r="A170" s="2" t="s">
        <v>373</v>
      </c>
      <c r="B170" s="2" t="s">
        <v>938</v>
      </c>
      <c r="C170" s="2" t="s">
        <v>930</v>
      </c>
      <c r="D170" s="2">
        <f>IFERROR(VLOOKUP($C170,'_METADATA_TEMPLATE'!$B$2:$H$826,2,FALSE),"")</f>
        <v>229</v>
      </c>
      <c r="E170" s="2" t="str">
        <f>IFERROR(VLOOKUP($C170,'_METADATA_TEMPLATE'!$B$2:$H$826,4,FALSE),"")</f>
        <v>SE2026 - L BLOK II</v>
      </c>
      <c r="F170" s="2" t="str">
        <f>IFERROR(VLOOKUP($C170,'_METADATA_TEMPLATE'!$B$2:$H$826,5,FALSE),"")</f>
        <v/>
      </c>
      <c r="G170" s="2" t="str">
        <f>IFERROR(VLOOKUP($C170,'_METADATA_TEMPLATE'!$B$2:$H$826,6,FALSE),"")</f>
        <v>Cek Rincian Aset 31 Des 2025 (Diisi oleh PML)</v>
      </c>
      <c r="H170" s="2" t="str">
        <f>IFERROR(VLOOKUP($C170,'_METADATA_TEMPLATE'!$B$2:$H$826,7,FALSE),"")</f>
        <v>Radio Group</v>
      </c>
      <c r="I170" s="2" t="str">
        <f>IFERROR(VLOOKUP(C170,'_METADATA_DEFAULT'!$A:$B,2,FALSE),"")</f>
        <v/>
      </c>
    </row>
    <row r="171" ht="15.75" customHeight="1">
      <c r="A171" s="3" t="s">
        <v>373</v>
      </c>
      <c r="B171" s="3" t="s">
        <v>946</v>
      </c>
      <c r="C171" s="3" t="s">
        <v>946</v>
      </c>
      <c r="D171" s="3">
        <f>IFERROR(VLOOKUP($C171,'_METADATA_TEMPLATE'!$B$2:$H$826,2,FALSE),"")</f>
        <v>230</v>
      </c>
      <c r="E171" s="3" t="str">
        <f>IFERROR(VLOOKUP($C171,'_METADATA_TEMPLATE'!$B$2:$H$826,4,FALSE),"")</f>
        <v>SE2026 - L BLOK II</v>
      </c>
      <c r="F171" s="3" t="str">
        <f>IFERROR(VLOOKUP($C171,'_METADATA_TEMPLATE'!$B$2:$H$826,5,FALSE),"")</f>
        <v>29</v>
      </c>
      <c r="G171" s="3" t="str">
        <f>IFERROR(VLOOKUP($C171,'_METADATA_TEMPLATE'!$B$2:$H$826,6,FALSE),"")</f>
        <v>a. Pribadi/Perorangan</v>
      </c>
      <c r="H171" s="3" t="str">
        <f>IFERROR(VLOOKUP($C171,'_METADATA_TEMPLATE'!$B$2:$H$826,7,FALSE),"")</f>
        <v>DecimalInput</v>
      </c>
      <c r="I171" s="3" t="str">
        <f>IFERROR(VLOOKUP(C171,'_METADATA_DEFAULT'!$A:$B,2,FALSE),"")</f>
        <v/>
      </c>
    </row>
    <row r="172" ht="15.75" customHeight="1">
      <c r="A172" s="2" t="s">
        <v>373</v>
      </c>
      <c r="B172" s="2" t="s">
        <v>963</v>
      </c>
      <c r="C172" s="2" t="s">
        <v>963</v>
      </c>
      <c r="D172" s="2">
        <f>IFERROR(VLOOKUP($C172,'_METADATA_TEMPLATE'!$B$2:$H$826,2,FALSE),"")</f>
        <v>231</v>
      </c>
      <c r="E172" s="2" t="str">
        <f>IFERROR(VLOOKUP($C172,'_METADATA_TEMPLATE'!$B$2:$H$826,4,FALSE),"")</f>
        <v>SE2026 - L BLOK II</v>
      </c>
      <c r="F172" s="2" t="str">
        <f>IFERROR(VLOOKUP($C172,'_METADATA_TEMPLATE'!$B$2:$H$826,5,FALSE),"")</f>
        <v>29</v>
      </c>
      <c r="G172" s="2" t="str">
        <f>IFERROR(VLOOKUP($C172,'_METADATA_TEMPLATE'!$B$2:$H$826,6,FALSE),"")</f>
        <v>b. Lembaga Nonprofit yang Melayani Rumah Tangga</v>
      </c>
      <c r="H172" s="2" t="str">
        <f>IFERROR(VLOOKUP($C172,'_METADATA_TEMPLATE'!$B$2:$H$826,7,FALSE),"")</f>
        <v>DecimalInput</v>
      </c>
      <c r="I172" s="2" t="str">
        <f>IFERROR(VLOOKUP(C172,'_METADATA_DEFAULT'!$A:$B,2,FALSE),"")</f>
        <v/>
      </c>
    </row>
    <row r="173" ht="15.75" customHeight="1">
      <c r="A173" s="3" t="s">
        <v>373</v>
      </c>
      <c r="B173" s="3" t="s">
        <v>971</v>
      </c>
      <c r="C173" s="3" t="s">
        <v>971</v>
      </c>
      <c r="D173" s="3">
        <f>IFERROR(VLOOKUP($C173,'_METADATA_TEMPLATE'!$B$2:$H$826,2,FALSE),"")</f>
        <v>232</v>
      </c>
      <c r="E173" s="3" t="str">
        <f>IFERROR(VLOOKUP($C173,'_METADATA_TEMPLATE'!$B$2:$H$826,4,FALSE),"")</f>
        <v>SE2026 - L BLOK II</v>
      </c>
      <c r="F173" s="3" t="str">
        <f>IFERROR(VLOOKUP($C173,'_METADATA_TEMPLATE'!$B$2:$H$826,5,FALSE),"")</f>
        <v>29</v>
      </c>
      <c r="G173" s="3" t="str">
        <f>IFERROR(VLOOKUP($C173,'_METADATA_TEMPLATE'!$B$2:$H$826,6,FALSE),"")</f>
        <v>c. Korporasi Publik</v>
      </c>
      <c r="H173" s="3" t="str">
        <f>IFERROR(VLOOKUP($C173,'_METADATA_TEMPLATE'!$B$2:$H$826,7,FALSE),"")</f>
        <v>DecimalInput</v>
      </c>
      <c r="I173" s="3" t="str">
        <f>IFERROR(VLOOKUP(C173,'_METADATA_DEFAULT'!$A:$B,2,FALSE),"")</f>
        <v/>
      </c>
    </row>
    <row r="174" ht="15.75" customHeight="1">
      <c r="A174" s="2" t="s">
        <v>373</v>
      </c>
      <c r="B174" s="2" t="s">
        <v>980</v>
      </c>
      <c r="C174" s="2" t="s">
        <v>980</v>
      </c>
      <c r="D174" s="2">
        <f>IFERROR(VLOOKUP($C174,'_METADATA_TEMPLATE'!$B$2:$H$826,2,FALSE),"")</f>
        <v>233</v>
      </c>
      <c r="E174" s="2" t="str">
        <f>IFERROR(VLOOKUP($C174,'_METADATA_TEMPLATE'!$B$2:$H$826,4,FALSE),"")</f>
        <v>SE2026 - L BLOK II</v>
      </c>
      <c r="F174" s="2" t="str">
        <f>IFERROR(VLOOKUP($C174,'_METADATA_TEMPLATE'!$B$2:$H$826,5,FALSE),"")</f>
        <v>29</v>
      </c>
      <c r="G174" s="2" t="str">
        <f>IFERROR(VLOOKUP($C174,'_METADATA_TEMPLATE'!$B$2:$H$826,6,FALSE),"")</f>
        <v>d. Korporasi Non Publik</v>
      </c>
      <c r="H174" s="2" t="str">
        <f>IFERROR(VLOOKUP($C174,'_METADATA_TEMPLATE'!$B$2:$H$826,7,FALSE),"")</f>
        <v>DecimalInput</v>
      </c>
      <c r="I174" s="2" t="str">
        <f>IFERROR(VLOOKUP(C174,'_METADATA_DEFAULT'!$A:$B,2,FALSE),"")</f>
        <v/>
      </c>
    </row>
    <row r="175" ht="15.75" customHeight="1">
      <c r="A175" s="3" t="s">
        <v>373</v>
      </c>
      <c r="B175" s="3" t="s">
        <v>993</v>
      </c>
      <c r="C175" s="3" t="s">
        <v>993</v>
      </c>
      <c r="D175" s="3">
        <f>IFERROR(VLOOKUP($C175,'_METADATA_TEMPLATE'!$B$2:$H$826,2,FALSE),"")</f>
        <v>234</v>
      </c>
      <c r="E175" s="3" t="str">
        <f>IFERROR(VLOOKUP($C175,'_METADATA_TEMPLATE'!$B$2:$H$826,4,FALSE),"")</f>
        <v>SE2026 - L BLOK II</v>
      </c>
      <c r="F175" s="3" t="str">
        <f>IFERROR(VLOOKUP($C175,'_METADATA_TEMPLATE'!$B$2:$H$826,5,FALSE),"")</f>
        <v>29</v>
      </c>
      <c r="G175" s="3" t="str">
        <f>IFERROR(VLOOKUP($C175,'_METADATA_TEMPLATE'!$B$2:$H$826,6,FALSE),"")</f>
        <v>e. Pemerintah</v>
      </c>
      <c r="H175" s="3" t="str">
        <f>IFERROR(VLOOKUP($C175,'_METADATA_TEMPLATE'!$B$2:$H$826,7,FALSE),"")</f>
        <v>DecimalInput</v>
      </c>
      <c r="I175" s="3" t="str">
        <f>IFERROR(VLOOKUP(C175,'_METADATA_DEFAULT'!$A:$B,2,FALSE),"")</f>
        <v/>
      </c>
    </row>
    <row r="176" ht="15.75" customHeight="1">
      <c r="A176" s="2" t="s">
        <v>373</v>
      </c>
      <c r="B176" s="2" t="s">
        <v>1005</v>
      </c>
      <c r="C176" s="2" t="s">
        <v>1005</v>
      </c>
      <c r="D176" s="2">
        <f>IFERROR(VLOOKUP($C176,'_METADATA_TEMPLATE'!$B$2:$H$826,2,FALSE),"")</f>
        <v>235</v>
      </c>
      <c r="E176" s="2" t="str">
        <f>IFERROR(VLOOKUP($C176,'_METADATA_TEMPLATE'!$B$2:$H$826,4,FALSE),"")</f>
        <v>SE2026 - L BLOK II</v>
      </c>
      <c r="F176" s="2" t="str">
        <f>IFERROR(VLOOKUP($C176,'_METADATA_TEMPLATE'!$B$2:$H$826,5,FALSE),"")</f>
        <v>29</v>
      </c>
      <c r="G176" s="2" t="str">
        <f>IFERROR(VLOOKUP($C176,'_METADATA_TEMPLATE'!$B$2:$H$826,6,FALSE),"")</f>
        <v>f. Asing</v>
      </c>
      <c r="H176" s="2" t="str">
        <f>IFERROR(VLOOKUP($C176,'_METADATA_TEMPLATE'!$B$2:$H$826,7,FALSE),"")</f>
        <v>DecimalInput</v>
      </c>
      <c r="I176" s="2" t="str">
        <f>IFERROR(VLOOKUP(C176,'_METADATA_DEFAULT'!$A:$B,2,FALSE),"")</f>
        <v/>
      </c>
    </row>
    <row r="177" ht="15.75" customHeight="1">
      <c r="A177" s="3" t="s">
        <v>373</v>
      </c>
      <c r="B177" s="3" t="s">
        <v>1018</v>
      </c>
      <c r="C177" s="3" t="s">
        <v>1018</v>
      </c>
      <c r="D177" s="3">
        <f>IFERROR(VLOOKUP($C177,'_METADATA_TEMPLATE'!$B$2:$H$826,2,FALSE),"")</f>
        <v>236</v>
      </c>
      <c r="E177" s="3" t="str">
        <f>IFERROR(VLOOKUP($C177,'_METADATA_TEMPLATE'!$B$2:$H$826,4,FALSE),"")</f>
        <v>SE2026 - L BLOK II</v>
      </c>
      <c r="F177" s="3" t="str">
        <f>IFERROR(VLOOKUP($C177,'_METADATA_TEMPLATE'!$B$2:$H$826,5,FALSE),"")</f>
        <v>29</v>
      </c>
      <c r="G177" s="3" t="str">
        <f>IFERROR(VLOOKUP($C177,'_METADATA_TEMPLATE'!$B$2:$H$826,6,FALSE),"")</f>
        <v>g. Total (a+b+c+d+e+f) = 100 %</v>
      </c>
      <c r="H177" s="3" t="str">
        <f>IFERROR(VLOOKUP($C177,'_METADATA_TEMPLATE'!$B$2:$H$826,7,FALSE),"")</f>
        <v>Number</v>
      </c>
      <c r="I177" s="3" t="str">
        <f>IFERROR(VLOOKUP(C177,'_METADATA_DEFAULT'!$A:$B,2,FALSE),"")</f>
        <v/>
      </c>
    </row>
    <row r="178" ht="15.75" customHeight="1">
      <c r="A178" s="2" t="s">
        <v>373</v>
      </c>
      <c r="B178" s="2" t="s">
        <v>1032</v>
      </c>
      <c r="C178" s="2" t="s">
        <v>1032</v>
      </c>
      <c r="D178" s="2">
        <f>IFERROR(VLOOKUP($C178,'_METADATA_TEMPLATE'!$B$2:$H$826,2,FALSE),"")</f>
        <v>237</v>
      </c>
      <c r="E178" s="2" t="str">
        <f>IFERROR(VLOOKUP($C178,'_METADATA_TEMPLATE'!$B$2:$H$826,4,FALSE),"")</f>
        <v>SE2026 - L BLOK II</v>
      </c>
      <c r="F178" s="2" t="str">
        <f>IFERROR(VLOOKUP($C178,'_METADATA_TEMPLATE'!$B$2:$H$826,5,FALSE),"")</f>
        <v>30</v>
      </c>
      <c r="G178" s="2" t="str">
        <f>IFERROR(VLOOKUP($C178,'_METADATA_TEMPLATE'!$B$2:$H$826,6,FALSE),"")</f>
        <v>a. Total upah dan gaji, serta jaminan sosial pegawai</v>
      </c>
      <c r="H178" s="2" t="str">
        <f>IFERROR(VLOOKUP($C178,'_METADATA_TEMPLATE'!$B$2:$H$826,7,FALSE),"")</f>
        <v>Currency</v>
      </c>
      <c r="I178" s="2" t="str">
        <f>IFERROR(VLOOKUP(C178,'_METADATA_DEFAULT'!$A:$B,2,FALSE),"")</f>
        <v/>
      </c>
    </row>
    <row r="179" ht="15.75" customHeight="1">
      <c r="A179" s="3" t="s">
        <v>373</v>
      </c>
      <c r="B179" s="3" t="s">
        <v>1039</v>
      </c>
      <c r="C179" s="3" t="s">
        <v>1039</v>
      </c>
      <c r="D179" s="3">
        <f>IFERROR(VLOOKUP($C179,'_METADATA_TEMPLATE'!$B$2:$H$826,2,FALSE),"")</f>
        <v>238</v>
      </c>
      <c r="E179" s="3" t="str">
        <f>IFERROR(VLOOKUP($C179,'_METADATA_TEMPLATE'!$B$2:$H$826,4,FALSE),"")</f>
        <v>SE2026 - L BLOK II</v>
      </c>
      <c r="F179" s="3" t="str">
        <f>IFERROR(VLOOKUP($C179,'_METADATA_TEMPLATE'!$B$2:$H$826,5,FALSE),"")</f>
        <v>30</v>
      </c>
      <c r="G179" s="3" t="str">
        <f>IFERROR(VLOOKUP($C179,'_METADATA_TEMPLATE'!$B$2:$H$826,6,FALSE),"")</f>
        <v>b. Biaya produksi</v>
      </c>
      <c r="H179" s="3" t="str">
        <f>IFERROR(VLOOKUP($C179,'_METADATA_TEMPLATE'!$B$2:$H$826,7,FALSE),"")</f>
        <v>Currency</v>
      </c>
      <c r="I179" s="3" t="str">
        <f>IFERROR(VLOOKUP(C179,'_METADATA_DEFAULT'!$A:$B,2,FALSE),"")</f>
        <v/>
      </c>
    </row>
    <row r="180" ht="15.75" customHeight="1">
      <c r="A180" s="2" t="s">
        <v>373</v>
      </c>
      <c r="B180" s="2" t="s">
        <v>1046</v>
      </c>
      <c r="C180" s="2" t="s">
        <v>1046</v>
      </c>
      <c r="D180" s="2">
        <f>IFERROR(VLOOKUP($C180,'_METADATA_TEMPLATE'!$B$2:$H$826,2,FALSE),"")</f>
        <v>239</v>
      </c>
      <c r="E180" s="2" t="str">
        <f>IFERROR(VLOOKUP($C180,'_METADATA_TEMPLATE'!$B$2:$H$826,4,FALSE),"")</f>
        <v>SE2026 - L BLOK II</v>
      </c>
      <c r="F180" s="2" t="str">
        <f>IFERROR(VLOOKUP($C180,'_METADATA_TEMPLATE'!$B$2:$H$826,5,FALSE),"")</f>
        <v>30</v>
      </c>
      <c r="G180" s="2" t="str">
        <f>IFERROR(VLOOKUP($C180,'_METADATA_TEMPLATE'!$B$2:$H$826,6,FALSE),"")</f>
        <v>c. Biaya pembelian barang yang terjual</v>
      </c>
      <c r="H180" s="2" t="str">
        <f>IFERROR(VLOOKUP($C180,'_METADATA_TEMPLATE'!$B$2:$H$826,7,FALSE),"")</f>
        <v>Currency</v>
      </c>
      <c r="I180" s="2" t="str">
        <f>IFERROR(VLOOKUP(C180,'_METADATA_DEFAULT'!$A:$B,2,FALSE),"")</f>
        <v/>
      </c>
    </row>
    <row r="181" ht="15.75" customHeight="1">
      <c r="A181" s="3" t="s">
        <v>373</v>
      </c>
      <c r="B181" s="3" t="s">
        <v>1055</v>
      </c>
      <c r="C181" s="3" t="s">
        <v>1055</v>
      </c>
      <c r="D181" s="3">
        <f>IFERROR(VLOOKUP($C181,'_METADATA_TEMPLATE'!$B$2:$H$826,2,FALSE),"")</f>
        <v>240</v>
      </c>
      <c r="E181" s="3" t="str">
        <f>IFERROR(VLOOKUP($C181,'_METADATA_TEMPLATE'!$B$2:$H$826,4,FALSE),"")</f>
        <v>SE2026 - L BLOK II</v>
      </c>
      <c r="F181" s="3" t="str">
        <f>IFERROR(VLOOKUP($C181,'_METADATA_TEMPLATE'!$B$2:$H$826,5,FALSE),"")</f>
        <v>30</v>
      </c>
      <c r="G181" s="3" t="str">
        <f>IFERROR(VLOOKUP($C181,'_METADATA_TEMPLATE'!$B$2:$H$826,6,FALSE),"")</f>
        <v>d. Biaya operasional (air, listrik, gas, internet, pulsa, pemeliharaan, biaya angkutan)</v>
      </c>
      <c r="H181" s="3" t="str">
        <f>IFERROR(VLOOKUP($C181,'_METADATA_TEMPLATE'!$B$2:$H$826,7,FALSE),"")</f>
        <v>Currency</v>
      </c>
      <c r="I181" s="3" t="str">
        <f>IFERROR(VLOOKUP(C181,'_METADATA_DEFAULT'!$A:$B,2,FALSE),"")</f>
        <v/>
      </c>
    </row>
    <row r="182" ht="15.75" customHeight="1">
      <c r="A182" s="2" t="s">
        <v>373</v>
      </c>
      <c r="B182" s="2" t="s">
        <v>1065</v>
      </c>
      <c r="C182" s="2" t="s">
        <v>1065</v>
      </c>
      <c r="D182" s="2">
        <f>IFERROR(VLOOKUP($C182,'_METADATA_TEMPLATE'!$B$2:$H$826,2,FALSE),"")</f>
        <v>241</v>
      </c>
      <c r="E182" s="2" t="str">
        <f>IFERROR(VLOOKUP($C182,'_METADATA_TEMPLATE'!$B$2:$H$826,4,FALSE),"")</f>
        <v>SE2026 - L BLOK II</v>
      </c>
      <c r="F182" s="2" t="str">
        <f>IFERROR(VLOOKUP($C182,'_METADATA_TEMPLATE'!$B$2:$H$826,5,FALSE),"")</f>
        <v>30</v>
      </c>
      <c r="G182" s="2" t="str">
        <f>IFERROR(VLOOKUP($C182,'_METADATA_TEMPLATE'!$B$2:$H$826,6,FALSE),"")</f>
        <v>e. Biaya non-operasional</v>
      </c>
      <c r="H182" s="2" t="str">
        <f>IFERROR(VLOOKUP($C182,'_METADATA_TEMPLATE'!$B$2:$H$826,7,FALSE),"")</f>
        <v>Currency</v>
      </c>
      <c r="I182" s="2" t="str">
        <f>IFERROR(VLOOKUP(C182,'_METADATA_DEFAULT'!$A:$B,2,FALSE),"")</f>
        <v/>
      </c>
    </row>
    <row r="183" ht="15.75" customHeight="1">
      <c r="A183" s="3" t="s">
        <v>373</v>
      </c>
      <c r="B183" s="3" t="s">
        <v>1076</v>
      </c>
      <c r="C183" s="3" t="s">
        <v>1077</v>
      </c>
      <c r="D183" s="3">
        <f>IFERROR(VLOOKUP($C183,'_METADATA_TEMPLATE'!$B$2:$H$826,2,FALSE),"")</f>
        <v>242</v>
      </c>
      <c r="E183" s="3" t="str">
        <f>IFERROR(VLOOKUP($C183,'_METADATA_TEMPLATE'!$B$2:$H$826,4,FALSE),"")</f>
        <v>SE2026 - L BLOK II</v>
      </c>
      <c r="F183" s="3" t="str">
        <f>IFERROR(VLOOKUP($C183,'_METADATA_TEMPLATE'!$B$2:$H$826,5,FALSE),"")</f>
        <v/>
      </c>
      <c r="G183" s="3" t="str">
        <f>IFERROR(VLOOKUP($C183,'_METADATA_TEMPLATE'!$B$2:$H$826,6,FALSE),"")</f>
        <v>Cek Rincian Pengeluaran di satu bulan terakhir (Diisi oleh PML)</v>
      </c>
      <c r="H183" s="3" t="str">
        <f>IFERROR(VLOOKUP($C183,'_METADATA_TEMPLATE'!$B$2:$H$826,7,FALSE),"")</f>
        <v>Radio Group</v>
      </c>
      <c r="I183" s="3" t="str">
        <f>IFERROR(VLOOKUP(C183,'_METADATA_DEFAULT'!$A:$B,2,FALSE),"")</f>
        <v/>
      </c>
    </row>
    <row r="184" ht="15.75" customHeight="1">
      <c r="A184" s="2" t="s">
        <v>373</v>
      </c>
      <c r="B184" s="2" t="s">
        <v>1087</v>
      </c>
      <c r="C184" s="2" t="s">
        <v>1077</v>
      </c>
      <c r="D184" s="2">
        <f>IFERROR(VLOOKUP($C184,'_METADATA_TEMPLATE'!$B$2:$H$826,2,FALSE),"")</f>
        <v>242</v>
      </c>
      <c r="E184" s="2" t="str">
        <f>IFERROR(VLOOKUP($C184,'_METADATA_TEMPLATE'!$B$2:$H$826,4,FALSE),"")</f>
        <v>SE2026 - L BLOK II</v>
      </c>
      <c r="F184" s="2" t="str">
        <f>IFERROR(VLOOKUP($C184,'_METADATA_TEMPLATE'!$B$2:$H$826,5,FALSE),"")</f>
        <v/>
      </c>
      <c r="G184" s="2" t="str">
        <f>IFERROR(VLOOKUP($C184,'_METADATA_TEMPLATE'!$B$2:$H$826,6,FALSE),"")</f>
        <v>Cek Rincian Pengeluaran di satu bulan terakhir (Diisi oleh PML)</v>
      </c>
      <c r="H184" s="2" t="str">
        <f>IFERROR(VLOOKUP($C184,'_METADATA_TEMPLATE'!$B$2:$H$826,7,FALSE),"")</f>
        <v>Radio Group</v>
      </c>
      <c r="I184" s="2" t="str">
        <f>IFERROR(VLOOKUP(C184,'_METADATA_DEFAULT'!$A:$B,2,FALSE),"")</f>
        <v/>
      </c>
    </row>
    <row r="185" ht="15.75" customHeight="1">
      <c r="A185" s="3" t="s">
        <v>373</v>
      </c>
      <c r="B185" s="3" t="s">
        <v>1096</v>
      </c>
      <c r="C185" s="3" t="s">
        <v>1096</v>
      </c>
      <c r="D185" s="3">
        <f>IFERROR(VLOOKUP($C185,'_METADATA_TEMPLATE'!$B$2:$H$826,2,FALSE),"")</f>
        <v>243</v>
      </c>
      <c r="E185" s="3" t="str">
        <f>IFERROR(VLOOKUP($C185,'_METADATA_TEMPLATE'!$B$2:$H$826,4,FALSE),"")</f>
        <v>SE2026 - L BLOK II</v>
      </c>
      <c r="F185" s="3" t="str">
        <f>IFERROR(VLOOKUP($C185,'_METADATA_TEMPLATE'!$B$2:$H$826,5,FALSE),"")</f>
        <v>30</v>
      </c>
      <c r="G185" s="3" t="str">
        <f>IFERROR(VLOOKUP($C185,'_METADATA_TEMPLATE'!$B$2:$H$826,6,FALSE),"")</f>
        <v>f. Total pengeluaran (a+b+c+d+e)</v>
      </c>
      <c r="H185" s="3" t="str">
        <f>IFERROR(VLOOKUP($C185,'_METADATA_TEMPLATE'!$B$2:$H$826,7,FALSE),"")</f>
        <v>Currency</v>
      </c>
      <c r="I185" s="3" t="str">
        <f>IFERROR(VLOOKUP(C185,'_METADATA_DEFAULT'!$A:$B,2,FALSE),"")</f>
        <v/>
      </c>
    </row>
    <row r="186" ht="15.75" customHeight="1">
      <c r="A186" s="2" t="s">
        <v>373</v>
      </c>
      <c r="B186" s="2" t="s">
        <v>1106</v>
      </c>
      <c r="C186" s="2" t="s">
        <v>1106</v>
      </c>
      <c r="D186" s="2">
        <f>IFERROR(VLOOKUP($C186,'_METADATA_TEMPLATE'!$B$2:$H$826,2,FALSE),"")</f>
        <v>244</v>
      </c>
      <c r="E186" s="2" t="str">
        <f>IFERROR(VLOOKUP($C186,'_METADATA_TEMPLATE'!$B$2:$H$826,4,FALSE),"")</f>
        <v>SE2026 - L BLOK II</v>
      </c>
      <c r="F186" s="2" t="str">
        <f>IFERROR(VLOOKUP($C186,'_METADATA_TEMPLATE'!$B$2:$H$826,5,FALSE),"")</f>
        <v>31</v>
      </c>
      <c r="G186" s="2" t="str">
        <f>IFERROR(VLOOKUP($C186,'_METADATA_TEMPLATE'!$B$2:$H$826,6,FALSE),"")</f>
        <v>a. Nilai $narasi barang dan jasa</v>
      </c>
      <c r="H186" s="2" t="str">
        <f>IFERROR(VLOOKUP($C186,'_METADATA_TEMPLATE'!$B$2:$H$826,7,FALSE),"")</f>
        <v>Currency</v>
      </c>
      <c r="I186" s="2" t="str">
        <f>IFERROR(VLOOKUP(C186,'_METADATA_DEFAULT'!$A:$B,2,FALSE),"")</f>
        <v/>
      </c>
    </row>
    <row r="187" ht="15.75" customHeight="1">
      <c r="A187" s="3" t="s">
        <v>373</v>
      </c>
      <c r="B187" s="3" t="s">
        <v>1117</v>
      </c>
      <c r="C187" s="3" t="s">
        <v>1117</v>
      </c>
      <c r="D187" s="3">
        <f>IFERROR(VLOOKUP($C187,'_METADATA_TEMPLATE'!$B$2:$H$826,2,FALSE),"")</f>
        <v>245</v>
      </c>
      <c r="E187" s="3" t="str">
        <f>IFERROR(VLOOKUP($C187,'_METADATA_TEMPLATE'!$B$2:$H$826,4,FALSE),"")</f>
        <v>SE2026 - L BLOK II</v>
      </c>
      <c r="F187" s="3" t="str">
        <f>IFERROR(VLOOKUP($C187,'_METADATA_TEMPLATE'!$B$2:$H$826,5,FALSE),"")</f>
        <v>31</v>
      </c>
      <c r="G187" s="3" t="str">
        <f>IFERROR(VLOOKUP($C187,'_METADATA_TEMPLATE'!$B$2:$H$826,6,FALSE),"")</f>
        <v>b. Pendapatan lainnya yang dihasilkan</v>
      </c>
      <c r="H187" s="3" t="str">
        <f>IFERROR(VLOOKUP($C187,'_METADATA_TEMPLATE'!$B$2:$H$826,7,FALSE),"")</f>
        <v>Currency</v>
      </c>
      <c r="I187" s="3" t="str">
        <f>IFERROR(VLOOKUP(C187,'_METADATA_DEFAULT'!$A:$B,2,FALSE),"")</f>
        <v/>
      </c>
    </row>
    <row r="188" ht="15.75" customHeight="1">
      <c r="A188" s="2" t="s">
        <v>373</v>
      </c>
      <c r="B188" s="2" t="s">
        <v>1123</v>
      </c>
      <c r="C188" s="2" t="s">
        <v>1123</v>
      </c>
      <c r="D188" s="2">
        <f>IFERROR(VLOOKUP($C188,'_METADATA_TEMPLATE'!$B$2:$H$826,2,FALSE),"")</f>
        <v>246</v>
      </c>
      <c r="E188" s="2" t="str">
        <f>IFERROR(VLOOKUP($C188,'_METADATA_TEMPLATE'!$B$2:$H$826,4,FALSE),"")</f>
        <v>SE2026 - L BLOK II</v>
      </c>
      <c r="F188" s="2" t="str">
        <f>IFERROR(VLOOKUP($C188,'_METADATA_TEMPLATE'!$B$2:$H$826,5,FALSE),"")</f>
        <v>31</v>
      </c>
      <c r="G188" s="2" t="str">
        <f>IFERROR(VLOOKUP($C188,'_METADATA_TEMPLATE'!$B$2:$H$826,6,FALSE),"")</f>
        <v>c. Total nilai $narasi (a+b)</v>
      </c>
      <c r="H188" s="2" t="str">
        <f>IFERROR(VLOOKUP($C188,'_METADATA_TEMPLATE'!$B$2:$H$826,7,FALSE),"")</f>
        <v>Currency</v>
      </c>
      <c r="I188" s="2" t="str">
        <f>IFERROR(VLOOKUP(C188,'_METADATA_DEFAULT'!$A:$B,2,FALSE),"")</f>
        <v/>
      </c>
    </row>
    <row r="189" ht="15.75" customHeight="1">
      <c r="A189" s="3" t="s">
        <v>373</v>
      </c>
      <c r="B189" s="3" t="s">
        <v>1132</v>
      </c>
      <c r="C189" s="3" t="s">
        <v>1134</v>
      </c>
      <c r="D189" s="3">
        <f>IFERROR(VLOOKUP($C189,'_METADATA_TEMPLATE'!$B$2:$H$826,2,FALSE),"")</f>
        <v>247</v>
      </c>
      <c r="E189" s="3" t="str">
        <f>IFERROR(VLOOKUP($C189,'_METADATA_TEMPLATE'!$B$2:$H$826,4,FALSE),"")</f>
        <v>SE2026 - L BLOK II</v>
      </c>
      <c r="F189" s="3" t="str">
        <f>IFERROR(VLOOKUP($C189,'_METADATA_TEMPLATE'!$B$2:$H$826,5,FALSE),"")</f>
        <v/>
      </c>
      <c r="G189" s="3" t="str">
        <f>IFERROR(VLOOKUP($C189,'_METADATA_TEMPLATE'!$B$2:$H$826,6,FALSE),"")</f>
        <v>Cek Rincian Pendapatan di satu bulan terakhir (Diisi oleh PML)</v>
      </c>
      <c r="H189" s="3" t="str">
        <f>IFERROR(VLOOKUP($C189,'_METADATA_TEMPLATE'!$B$2:$H$826,7,FALSE),"")</f>
        <v>Radio Group</v>
      </c>
      <c r="I189" s="3" t="str">
        <f>IFERROR(VLOOKUP(C189,'_METADATA_DEFAULT'!$A:$B,2,FALSE),"")</f>
        <v/>
      </c>
    </row>
    <row r="190" ht="15.75" customHeight="1">
      <c r="A190" s="2" t="s">
        <v>373</v>
      </c>
      <c r="B190" s="2" t="s">
        <v>1145</v>
      </c>
      <c r="C190" s="2" t="s">
        <v>1134</v>
      </c>
      <c r="D190" s="2">
        <f>IFERROR(VLOOKUP($C190,'_METADATA_TEMPLATE'!$B$2:$H$826,2,FALSE),"")</f>
        <v>247</v>
      </c>
      <c r="E190" s="2" t="str">
        <f>IFERROR(VLOOKUP($C190,'_METADATA_TEMPLATE'!$B$2:$H$826,4,FALSE),"")</f>
        <v>SE2026 - L BLOK II</v>
      </c>
      <c r="F190" s="2" t="str">
        <f>IFERROR(VLOOKUP($C190,'_METADATA_TEMPLATE'!$B$2:$H$826,5,FALSE),"")</f>
        <v/>
      </c>
      <c r="G190" s="2" t="str">
        <f>IFERROR(VLOOKUP($C190,'_METADATA_TEMPLATE'!$B$2:$H$826,6,FALSE),"")</f>
        <v>Cek Rincian Pendapatan di satu bulan terakhir (Diisi oleh PML)</v>
      </c>
      <c r="H190" s="2" t="str">
        <f>IFERROR(VLOOKUP($C190,'_METADATA_TEMPLATE'!$B$2:$H$826,7,FALSE),"")</f>
        <v>Radio Group</v>
      </c>
      <c r="I190" s="2" t="str">
        <f>IFERROR(VLOOKUP(C190,'_METADATA_DEFAULT'!$A:$B,2,FALSE),"")</f>
        <v/>
      </c>
    </row>
    <row r="191" ht="15.75" customHeight="1">
      <c r="A191" s="3" t="s">
        <v>373</v>
      </c>
      <c r="B191" s="3" t="s">
        <v>1152</v>
      </c>
      <c r="C191" s="3" t="s">
        <v>1152</v>
      </c>
      <c r="D191" s="3">
        <f>IFERROR(VLOOKUP($C191,'_METADATA_TEMPLATE'!$B$2:$H$826,2,FALSE),"")</f>
        <v>248</v>
      </c>
      <c r="E191" s="3" t="str">
        <f>IFERROR(VLOOKUP($C191,'_METADATA_TEMPLATE'!$B$2:$H$826,4,FALSE),"")</f>
        <v>SE2026 - L BLOK II</v>
      </c>
      <c r="F191" s="3" t="str">
        <f>IFERROR(VLOOKUP($C191,'_METADATA_TEMPLATE'!$B$2:$H$826,5,FALSE),"")</f>
        <v>31</v>
      </c>
      <c r="G191" s="3" t="str">
        <f>IFERROR(VLOOKUP($C191,'_METADATA_TEMPLATE'!$B$2:$H$826,6,FALSE),"")</f>
        <v>d. Berapa persentase pendapatan yang dilakukan secara online ?</v>
      </c>
      <c r="H191" s="3" t="str">
        <f>IFERROR(VLOOKUP($C191,'_METADATA_TEMPLATE'!$B$2:$H$826,7,FALSE),"")</f>
        <v>Number</v>
      </c>
      <c r="I191" s="3" t="str">
        <f>IFERROR(VLOOKUP(C191,'_METADATA_DEFAULT'!$A:$B,2,FALSE),"")</f>
        <v/>
      </c>
    </row>
    <row r="192" ht="15.75" customHeight="1">
      <c r="A192" s="2" t="s">
        <v>373</v>
      </c>
      <c r="B192" s="2" t="s">
        <v>1161</v>
      </c>
      <c r="C192" s="2" t="s">
        <v>1161</v>
      </c>
      <c r="D192" s="2">
        <f>IFERROR(VLOOKUP($C192,'_METADATA_TEMPLATE'!$B$2:$H$826,2,FALSE),"")</f>
        <v>250</v>
      </c>
      <c r="E192" s="2" t="str">
        <f>IFERROR(VLOOKUP($C192,'_METADATA_TEMPLATE'!$B$2:$H$826,4,FALSE),"")</f>
        <v>SE2026 - L BLOK II</v>
      </c>
      <c r="F192" s="2" t="str">
        <f>IFERROR(VLOOKUP($C192,'_METADATA_TEMPLATE'!$B$2:$H$826,5,FALSE),"")</f>
        <v>32</v>
      </c>
      <c r="G192" s="2" t="str">
        <f>IFERROR(VLOOKUP($C192,'_METADATA_TEMPLATE'!$B$2:$H$826,6,FALSE),"")</f>
        <v>a. Nilai aset tanah dan bangunan pada akhir bulan yang lalu</v>
      </c>
      <c r="H192" s="2" t="str">
        <f>IFERROR(VLOOKUP($C192,'_METADATA_TEMPLATE'!$B$2:$H$826,7,FALSE),"")</f>
        <v>Currency</v>
      </c>
      <c r="I192" s="2" t="str">
        <f>IFERROR(VLOOKUP(C192,'_METADATA_DEFAULT'!$A:$B,2,FALSE),"")</f>
        <v/>
      </c>
    </row>
    <row r="193" ht="15.75" customHeight="1">
      <c r="A193" s="3" t="s">
        <v>373</v>
      </c>
      <c r="B193" s="3" t="s">
        <v>1170</v>
      </c>
      <c r="C193" s="3" t="s">
        <v>1170</v>
      </c>
      <c r="D193" s="3">
        <f>IFERROR(VLOOKUP($C193,'_METADATA_TEMPLATE'!$B$2:$H$826,2,FALSE),"")</f>
        <v>251</v>
      </c>
      <c r="E193" s="3" t="str">
        <f>IFERROR(VLOOKUP($C193,'_METADATA_TEMPLATE'!$B$2:$H$826,4,FALSE),"")</f>
        <v>SE2026 - L BLOK II</v>
      </c>
      <c r="F193" s="3" t="str">
        <f>IFERROR(VLOOKUP($C193,'_METADATA_TEMPLATE'!$B$2:$H$826,5,FALSE),"")</f>
        <v>32</v>
      </c>
      <c r="G193" s="3" t="str">
        <f>IFERROR(VLOOKUP($C193,'_METADATA_TEMPLATE'!$B$2:$H$826,6,FALSE),"")</f>
        <v>b. Nilai aset selain tanah dan bangunan pada akhir bulan yang lalu</v>
      </c>
      <c r="H193" s="3" t="str">
        <f>IFERROR(VLOOKUP($C193,'_METADATA_TEMPLATE'!$B$2:$H$826,7,FALSE),"")</f>
        <v>Currency</v>
      </c>
      <c r="I193" s="3" t="str">
        <f>IFERROR(VLOOKUP(C193,'_METADATA_DEFAULT'!$A:$B,2,FALSE),"")</f>
        <v/>
      </c>
    </row>
    <row r="194" ht="15.75" customHeight="1">
      <c r="A194" s="2" t="s">
        <v>373</v>
      </c>
      <c r="B194" s="2" t="s">
        <v>1180</v>
      </c>
      <c r="C194" s="2" t="s">
        <v>1180</v>
      </c>
      <c r="D194" s="2">
        <f>IFERROR(VLOOKUP($C194,'_METADATA_TEMPLATE'!$B$2:$H$826,2,FALSE),"")</f>
        <v>252</v>
      </c>
      <c r="E194" s="2" t="str">
        <f>IFERROR(VLOOKUP($C194,'_METADATA_TEMPLATE'!$B$2:$H$826,4,FALSE),"")</f>
        <v>SE2026 - L BLOK II</v>
      </c>
      <c r="F194" s="2" t="str">
        <f>IFERROR(VLOOKUP($C194,'_METADATA_TEMPLATE'!$B$2:$H$826,5,FALSE),"")</f>
        <v>32</v>
      </c>
      <c r="G194" s="2" t="str">
        <f>IFERROR(VLOOKUP($C194,'_METADATA_TEMPLATE'!$B$2:$H$826,6,FALSE),"")</f>
        <v>c. Nilai total aset pada akhir bulan yang lalu*</v>
      </c>
      <c r="H194" s="2" t="str">
        <f>IFERROR(VLOOKUP($C194,'_METADATA_TEMPLATE'!$B$2:$H$826,7,FALSE),"")</f>
        <v>Variable</v>
      </c>
      <c r="I194" s="2" t="str">
        <f>IFERROR(VLOOKUP(C194,'_METADATA_DEFAULT'!$A:$B,2,FALSE),"")</f>
        <v/>
      </c>
    </row>
    <row r="195" ht="15.75" customHeight="1">
      <c r="A195" s="3" t="s">
        <v>373</v>
      </c>
      <c r="B195" s="3" t="s">
        <v>1188</v>
      </c>
      <c r="C195" s="3" t="s">
        <v>1189</v>
      </c>
      <c r="D195" s="3">
        <f>IFERROR(VLOOKUP($C195,'_METADATA_TEMPLATE'!$B$2:$H$826,2,FALSE),"")</f>
        <v>253</v>
      </c>
      <c r="E195" s="3" t="str">
        <f>IFERROR(VLOOKUP($C195,'_METADATA_TEMPLATE'!$B$2:$H$826,4,FALSE),"")</f>
        <v>SE2026 - L BLOK II</v>
      </c>
      <c r="F195" s="3" t="str">
        <f>IFERROR(VLOOKUP($C195,'_METADATA_TEMPLATE'!$B$2:$H$826,5,FALSE),"")</f>
        <v>32</v>
      </c>
      <c r="G195" s="3" t="str">
        <f>IFERROR(VLOOKUP($C195,'_METADATA_TEMPLATE'!$B$2:$H$826,6,FALSE),"")</f>
        <v>c1. Jika tidak dapat mengisikan nilai nominal, pilih nilai total aset dalam rentang berikut:</v>
      </c>
      <c r="H195" s="3" t="str">
        <f>IFERROR(VLOOKUP($C195,'_METADATA_TEMPLATE'!$B$2:$H$826,7,FALSE),"")</f>
        <v>Radio Group</v>
      </c>
      <c r="I195" s="3" t="str">
        <f>IFERROR(VLOOKUP(C195,'_METADATA_DEFAULT'!$A:$B,2,FALSE),"")</f>
        <v/>
      </c>
    </row>
    <row r="196" ht="15.75" customHeight="1">
      <c r="A196" s="2" t="s">
        <v>373</v>
      </c>
      <c r="B196" s="2" t="s">
        <v>1198</v>
      </c>
      <c r="C196" s="2" t="s">
        <v>1189</v>
      </c>
      <c r="D196" s="2">
        <f>IFERROR(VLOOKUP($C196,'_METADATA_TEMPLATE'!$B$2:$H$826,2,FALSE),"")</f>
        <v>253</v>
      </c>
      <c r="E196" s="2" t="str">
        <f>IFERROR(VLOOKUP($C196,'_METADATA_TEMPLATE'!$B$2:$H$826,4,FALSE),"")</f>
        <v>SE2026 - L BLOK II</v>
      </c>
      <c r="F196" s="2" t="str">
        <f>IFERROR(VLOOKUP($C196,'_METADATA_TEMPLATE'!$B$2:$H$826,5,FALSE),"")</f>
        <v>32</v>
      </c>
      <c r="G196" s="2" t="str">
        <f>IFERROR(VLOOKUP($C196,'_METADATA_TEMPLATE'!$B$2:$H$826,6,FALSE),"")</f>
        <v>c1. Jika tidak dapat mengisikan nilai nominal, pilih nilai total aset dalam rentang berikut:</v>
      </c>
      <c r="H196" s="2" t="str">
        <f>IFERROR(VLOOKUP($C196,'_METADATA_TEMPLATE'!$B$2:$H$826,7,FALSE),"")</f>
        <v>Radio Group</v>
      </c>
      <c r="I196" s="2" t="str">
        <f>IFERROR(VLOOKUP(C196,'_METADATA_DEFAULT'!$A:$B,2,FALSE),"")</f>
        <v/>
      </c>
    </row>
    <row r="197" ht="15.75" customHeight="1">
      <c r="A197" s="3" t="s">
        <v>373</v>
      </c>
      <c r="B197" s="3" t="s">
        <v>1210</v>
      </c>
      <c r="C197" s="3" t="s">
        <v>1210</v>
      </c>
      <c r="D197" s="3">
        <f>IFERROR(VLOOKUP($C197,'_METADATA_TEMPLATE'!$B$2:$H$826,2,FALSE),"")</f>
        <v>254</v>
      </c>
      <c r="E197" s="3" t="str">
        <f>IFERROR(VLOOKUP($C197,'_METADATA_TEMPLATE'!$B$2:$H$826,4,FALSE),"")</f>
        <v>SE2026 - L BLOK II</v>
      </c>
      <c r="F197" s="3" t="str">
        <f>IFERROR(VLOOKUP($C197,'_METADATA_TEMPLATE'!$B$2:$H$826,5,FALSE),"")</f>
        <v>32</v>
      </c>
      <c r="G197" s="3" t="str">
        <f>IFERROR(VLOOKUP($C197,'_METADATA_TEMPLATE'!$B$2:$H$826,6,FALSE),"")</f>
        <v>d. Berapa luas tanah yang dikuasai dan digunakan untuk kegiatan usaha pada akhir bulan yang lalu (m 2 ) ?</v>
      </c>
      <c r="H197" s="3" t="str">
        <f>IFERROR(VLOOKUP($C197,'_METADATA_TEMPLATE'!$B$2:$H$826,7,FALSE),"")</f>
        <v>Number</v>
      </c>
      <c r="I197" s="3" t="str">
        <f>IFERROR(VLOOKUP(C197,'_METADATA_DEFAULT'!$A:$B,2,FALSE),"")</f>
        <v/>
      </c>
    </row>
    <row r="198" ht="15.75" customHeight="1">
      <c r="A198" s="2" t="s">
        <v>373</v>
      </c>
      <c r="B198" s="2" t="s">
        <v>1222</v>
      </c>
      <c r="C198" s="2" t="s">
        <v>1223</v>
      </c>
      <c r="D198" s="2">
        <f>IFERROR(VLOOKUP($C198,'_METADATA_TEMPLATE'!$B$2:$H$826,2,FALSE),"")</f>
        <v>255</v>
      </c>
      <c r="E198" s="2" t="str">
        <f>IFERROR(VLOOKUP($C198,'_METADATA_TEMPLATE'!$B$2:$H$826,4,FALSE),"")</f>
        <v>SE2026 - L BLOK II</v>
      </c>
      <c r="F198" s="2" t="str">
        <f>IFERROR(VLOOKUP($C198,'_METADATA_TEMPLATE'!$B$2:$H$826,5,FALSE),"")</f>
        <v/>
      </c>
      <c r="G198" s="2" t="str">
        <f>IFERROR(VLOOKUP($C198,'_METADATA_TEMPLATE'!$B$2:$H$826,6,FALSE),"")</f>
        <v>Cek Rincian aset pada akhir bulan yang lalu (Diisi oleh PML)</v>
      </c>
      <c r="H198" s="2" t="str">
        <f>IFERROR(VLOOKUP($C198,'_METADATA_TEMPLATE'!$B$2:$H$826,7,FALSE),"")</f>
        <v>Radio Group</v>
      </c>
      <c r="I198" s="2" t="str">
        <f>IFERROR(VLOOKUP(C198,'_METADATA_DEFAULT'!$A:$B,2,FALSE),"")</f>
        <v/>
      </c>
    </row>
    <row r="199" ht="15.75" customHeight="1">
      <c r="A199" s="3" t="s">
        <v>373</v>
      </c>
      <c r="B199" s="3" t="s">
        <v>1232</v>
      </c>
      <c r="C199" s="3" t="s">
        <v>1223</v>
      </c>
      <c r="D199" s="3">
        <f>IFERROR(VLOOKUP($C199,'_METADATA_TEMPLATE'!$B$2:$H$826,2,FALSE),"")</f>
        <v>255</v>
      </c>
      <c r="E199" s="3" t="str">
        <f>IFERROR(VLOOKUP($C199,'_METADATA_TEMPLATE'!$B$2:$H$826,4,FALSE),"")</f>
        <v>SE2026 - L BLOK II</v>
      </c>
      <c r="F199" s="3" t="str">
        <f>IFERROR(VLOOKUP($C199,'_METADATA_TEMPLATE'!$B$2:$H$826,5,FALSE),"")</f>
        <v/>
      </c>
      <c r="G199" s="3" t="str">
        <f>IFERROR(VLOOKUP($C199,'_METADATA_TEMPLATE'!$B$2:$H$826,6,FALSE),"")</f>
        <v>Cek Rincian aset pada akhir bulan yang lalu (Diisi oleh PML)</v>
      </c>
      <c r="H199" s="3" t="str">
        <f>IFERROR(VLOOKUP($C199,'_METADATA_TEMPLATE'!$B$2:$H$826,7,FALSE),"")</f>
        <v>Radio Group</v>
      </c>
      <c r="I199" s="3" t="str">
        <f>IFERROR(VLOOKUP(C199,'_METADATA_DEFAULT'!$A:$B,2,FALSE),"")</f>
        <v/>
      </c>
    </row>
    <row r="200" ht="15.75" customHeight="1">
      <c r="A200" s="2" t="s">
        <v>373</v>
      </c>
      <c r="B200" s="2" t="s">
        <v>1239</v>
      </c>
      <c r="C200" s="2" t="s">
        <v>1239</v>
      </c>
      <c r="D200" s="2">
        <f>IFERROR(VLOOKUP($C200,'_METADATA_TEMPLATE'!$B$2:$H$826,2,FALSE),"")</f>
        <v>256</v>
      </c>
      <c r="E200" s="2" t="str">
        <f>IFERROR(VLOOKUP($C200,'_METADATA_TEMPLATE'!$B$2:$H$826,4,FALSE),"")</f>
        <v>SE2026 - L BLOK II</v>
      </c>
      <c r="F200" s="2" t="str">
        <f>IFERROR(VLOOKUP($C200,'_METADATA_TEMPLATE'!$B$2:$H$826,5,FALSE),"")</f>
        <v>33</v>
      </c>
      <c r="G200" s="2" t="str">
        <f>IFERROR(VLOOKUP($C200,'_METADATA_TEMPLATE'!$B$2:$H$826,6,FALSE),"")</f>
        <v>a. Pribadi/Perorangan</v>
      </c>
      <c r="H200" s="2" t="str">
        <f>IFERROR(VLOOKUP($C200,'_METADATA_TEMPLATE'!$B$2:$H$826,7,FALSE),"")</f>
        <v>DecimalInput</v>
      </c>
      <c r="I200" s="2" t="str">
        <f>IFERROR(VLOOKUP(C200,'_METADATA_DEFAULT'!$A:$B,2,FALSE),"")</f>
        <v/>
      </c>
    </row>
    <row r="201" ht="15.75" customHeight="1">
      <c r="A201" s="3" t="s">
        <v>373</v>
      </c>
      <c r="B201" s="3" t="s">
        <v>1248</v>
      </c>
      <c r="C201" s="3" t="s">
        <v>1248</v>
      </c>
      <c r="D201" s="3">
        <f>IFERROR(VLOOKUP($C201,'_METADATA_TEMPLATE'!$B$2:$H$826,2,FALSE),"")</f>
        <v>257</v>
      </c>
      <c r="E201" s="3" t="str">
        <f>IFERROR(VLOOKUP($C201,'_METADATA_TEMPLATE'!$B$2:$H$826,4,FALSE),"")</f>
        <v>SE2026 - L BLOK II</v>
      </c>
      <c r="F201" s="3" t="str">
        <f>IFERROR(VLOOKUP($C201,'_METADATA_TEMPLATE'!$B$2:$H$826,5,FALSE),"")</f>
        <v>33</v>
      </c>
      <c r="G201" s="3" t="str">
        <f>IFERROR(VLOOKUP($C201,'_METADATA_TEMPLATE'!$B$2:$H$826,6,FALSE),"")</f>
        <v>b. Lembaga Nonprofit yang Melayani Rumah Tangga</v>
      </c>
      <c r="H201" s="3" t="str">
        <f>IFERROR(VLOOKUP($C201,'_METADATA_TEMPLATE'!$B$2:$H$826,7,FALSE),"")</f>
        <v>DecimalInput</v>
      </c>
      <c r="I201" s="3" t="str">
        <f>IFERROR(VLOOKUP(C201,'_METADATA_DEFAULT'!$A:$B,2,FALSE),"")</f>
        <v/>
      </c>
    </row>
    <row r="202" ht="15.75" customHeight="1">
      <c r="A202" s="2" t="s">
        <v>373</v>
      </c>
      <c r="B202" s="2" t="s">
        <v>1255</v>
      </c>
      <c r="C202" s="2" t="s">
        <v>1255</v>
      </c>
      <c r="D202" s="2">
        <f>IFERROR(VLOOKUP($C202,'_METADATA_TEMPLATE'!$B$2:$H$826,2,FALSE),"")</f>
        <v>258</v>
      </c>
      <c r="E202" s="2" t="str">
        <f>IFERROR(VLOOKUP($C202,'_METADATA_TEMPLATE'!$B$2:$H$826,4,FALSE),"")</f>
        <v>SE2026 - L BLOK II</v>
      </c>
      <c r="F202" s="2" t="str">
        <f>IFERROR(VLOOKUP($C202,'_METADATA_TEMPLATE'!$B$2:$H$826,5,FALSE),"")</f>
        <v>33</v>
      </c>
      <c r="G202" s="2" t="str">
        <f>IFERROR(VLOOKUP($C202,'_METADATA_TEMPLATE'!$B$2:$H$826,6,FALSE),"")</f>
        <v>c. Korporasi publik (%)</v>
      </c>
      <c r="H202" s="2" t="str">
        <f>IFERROR(VLOOKUP($C202,'_METADATA_TEMPLATE'!$B$2:$H$826,7,FALSE),"")</f>
        <v>DecimalInput</v>
      </c>
      <c r="I202" s="2" t="str">
        <f>IFERROR(VLOOKUP(C202,'_METADATA_DEFAULT'!$A:$B,2,FALSE),"")</f>
        <v/>
      </c>
    </row>
    <row r="203" ht="15.75" customHeight="1">
      <c r="A203" s="3" t="s">
        <v>373</v>
      </c>
      <c r="B203" s="3" t="s">
        <v>1262</v>
      </c>
      <c r="C203" s="3" t="s">
        <v>1262</v>
      </c>
      <c r="D203" s="3">
        <f>IFERROR(VLOOKUP($C203,'_METADATA_TEMPLATE'!$B$2:$H$826,2,FALSE),"")</f>
        <v>259</v>
      </c>
      <c r="E203" s="3" t="str">
        <f>IFERROR(VLOOKUP($C203,'_METADATA_TEMPLATE'!$B$2:$H$826,4,FALSE),"")</f>
        <v>SE2026 - L BLOK II</v>
      </c>
      <c r="F203" s="3" t="str">
        <f>IFERROR(VLOOKUP($C203,'_METADATA_TEMPLATE'!$B$2:$H$826,5,FALSE),"")</f>
        <v>33</v>
      </c>
      <c r="G203" s="3" t="str">
        <f>IFERROR(VLOOKUP($C203,'_METADATA_TEMPLATE'!$B$2:$H$826,6,FALSE),"")</f>
        <v>d. Korporasi Non Publik</v>
      </c>
      <c r="H203" s="3" t="str">
        <f>IFERROR(VLOOKUP($C203,'_METADATA_TEMPLATE'!$B$2:$H$826,7,FALSE),"")</f>
        <v>DecimalInput</v>
      </c>
      <c r="I203" s="3" t="str">
        <f>IFERROR(VLOOKUP(C203,'_METADATA_DEFAULT'!$A:$B,2,FALSE),"")</f>
        <v/>
      </c>
    </row>
    <row r="204" ht="15.75" customHeight="1">
      <c r="A204" s="2" t="s">
        <v>373</v>
      </c>
      <c r="B204" s="2" t="s">
        <v>1270</v>
      </c>
      <c r="C204" s="2" t="s">
        <v>1270</v>
      </c>
      <c r="D204" s="2">
        <f>IFERROR(VLOOKUP($C204,'_METADATA_TEMPLATE'!$B$2:$H$826,2,FALSE),"")</f>
        <v>260</v>
      </c>
      <c r="E204" s="2" t="str">
        <f>IFERROR(VLOOKUP($C204,'_METADATA_TEMPLATE'!$B$2:$H$826,4,FALSE),"")</f>
        <v>SE2026 - L BLOK II</v>
      </c>
      <c r="F204" s="2" t="str">
        <f>IFERROR(VLOOKUP($C204,'_METADATA_TEMPLATE'!$B$2:$H$826,5,FALSE),"")</f>
        <v>33</v>
      </c>
      <c r="G204" s="2" t="str">
        <f>IFERROR(VLOOKUP($C204,'_METADATA_TEMPLATE'!$B$2:$H$826,6,FALSE),"")</f>
        <v>e. Pemerintah</v>
      </c>
      <c r="H204" s="2" t="str">
        <f>IFERROR(VLOOKUP($C204,'_METADATA_TEMPLATE'!$B$2:$H$826,7,FALSE),"")</f>
        <v>DecimalInput</v>
      </c>
      <c r="I204" s="2" t="str">
        <f>IFERROR(VLOOKUP(C204,'_METADATA_DEFAULT'!$A:$B,2,FALSE),"")</f>
        <v/>
      </c>
    </row>
    <row r="205" ht="15.75" customHeight="1">
      <c r="A205" s="3" t="s">
        <v>373</v>
      </c>
      <c r="B205" s="3" t="s">
        <v>1276</v>
      </c>
      <c r="C205" s="3" t="s">
        <v>1276</v>
      </c>
      <c r="D205" s="3">
        <f>IFERROR(VLOOKUP($C205,'_METADATA_TEMPLATE'!$B$2:$H$826,2,FALSE),"")</f>
        <v>261</v>
      </c>
      <c r="E205" s="3" t="str">
        <f>IFERROR(VLOOKUP($C205,'_METADATA_TEMPLATE'!$B$2:$H$826,4,FALSE),"")</f>
        <v>SE2026 - L BLOK II</v>
      </c>
      <c r="F205" s="3" t="str">
        <f>IFERROR(VLOOKUP($C205,'_METADATA_TEMPLATE'!$B$2:$H$826,5,FALSE),"")</f>
        <v>33</v>
      </c>
      <c r="G205" s="3" t="str">
        <f>IFERROR(VLOOKUP($C205,'_METADATA_TEMPLATE'!$B$2:$H$826,6,FALSE),"")</f>
        <v>f. Asing</v>
      </c>
      <c r="H205" s="3" t="str">
        <f>IFERROR(VLOOKUP($C205,'_METADATA_TEMPLATE'!$B$2:$H$826,7,FALSE),"")</f>
        <v>DecimalInput</v>
      </c>
      <c r="I205" s="3" t="str">
        <f>IFERROR(VLOOKUP(C205,'_METADATA_DEFAULT'!$A:$B,2,FALSE),"")</f>
        <v/>
      </c>
    </row>
    <row r="206" ht="15.75" customHeight="1">
      <c r="A206" s="2" t="s">
        <v>373</v>
      </c>
      <c r="B206" s="2" t="s">
        <v>1278</v>
      </c>
      <c r="C206" s="2" t="s">
        <v>1278</v>
      </c>
      <c r="D206" s="2">
        <f>IFERROR(VLOOKUP($C206,'_METADATA_TEMPLATE'!$B$2:$H$826,2,FALSE),"")</f>
        <v>262</v>
      </c>
      <c r="E206" s="2" t="str">
        <f>IFERROR(VLOOKUP($C206,'_METADATA_TEMPLATE'!$B$2:$H$826,4,FALSE),"")</f>
        <v>SE2026 - L BLOK II</v>
      </c>
      <c r="F206" s="2" t="str">
        <f>IFERROR(VLOOKUP($C206,'_METADATA_TEMPLATE'!$B$2:$H$826,5,FALSE),"")</f>
        <v>33</v>
      </c>
      <c r="G206" s="2" t="str">
        <f>IFERROR(VLOOKUP($C206,'_METADATA_TEMPLATE'!$B$2:$H$826,6,FALSE),"")</f>
        <v>g. Total (a+b+c+d+e+f) = 100 %</v>
      </c>
      <c r="H206" s="2" t="str">
        <f>IFERROR(VLOOKUP($C206,'_METADATA_TEMPLATE'!$B$2:$H$826,7,FALSE),"")</f>
        <v>Number</v>
      </c>
      <c r="I206" s="2" t="str">
        <f>IFERROR(VLOOKUP(C206,'_METADATA_DEFAULT'!$A:$B,2,FALSE),"")</f>
        <v/>
      </c>
    </row>
    <row r="207" ht="15.75" customHeight="1">
      <c r="A207" s="3" t="s">
        <v>373</v>
      </c>
      <c r="B207" s="3" t="s">
        <v>1282</v>
      </c>
      <c r="C207" s="3" t="s">
        <v>1282</v>
      </c>
      <c r="D207" s="3">
        <f>IFERROR(VLOOKUP($C207,'_METADATA_TEMPLATE'!$B$2:$H$826,2,FALSE),"")</f>
        <v>555</v>
      </c>
      <c r="E207" s="3" t="str">
        <f>IFERROR(VLOOKUP($C207,'_METADATA_TEMPLATE'!$B$2:$H$826,4,FALSE),"")</f>
        <v/>
      </c>
      <c r="F207" s="3" t="str">
        <f>IFERROR(VLOOKUP($C207,'_METADATA_TEMPLATE'!$B$2:$H$826,5,FALSE),"")</f>
        <v/>
      </c>
      <c r="G207" s="3" t="str">
        <f>IFERROR(VLOOKUP($C207,'_METADATA_TEMPLATE'!$B$2:$H$826,6,FALSE),"")</f>
        <v>Opsi Pilih UMKM dalam satu SLS yang sama</v>
      </c>
      <c r="H207" s="3" t="str">
        <f>IFERROR(VLOOKUP($C207,'_METADATA_TEMPLATE'!$B$2:$H$826,7,FALSE),"")</f>
        <v>Variable</v>
      </c>
      <c r="I207" s="3" t="str">
        <f>IFERROR(VLOOKUP(C207,'_METADATA_DEFAULT'!$A:$B,2,FALSE),"")</f>
        <v/>
      </c>
    </row>
    <row r="208" ht="15.75" customHeight="1">
      <c r="A208" s="2" t="s">
        <v>373</v>
      </c>
      <c r="B208" s="2" t="s">
        <v>1289</v>
      </c>
      <c r="C208" s="2" t="s">
        <v>1289</v>
      </c>
      <c r="D208" s="2">
        <f>IFERROR(VLOOKUP($C208,'_METADATA_TEMPLATE'!$B$2:$H$826,2,FALSE),"")</f>
        <v>574</v>
      </c>
      <c r="E208" s="2" t="str">
        <f>IFERROR(VLOOKUP($C208,'_METADATA_TEMPLATE'!$B$2:$H$826,4,FALSE),"")</f>
        <v/>
      </c>
      <c r="F208" s="2" t="str">
        <f>IFERROR(VLOOKUP($C208,'_METADATA_TEMPLATE'!$B$2:$H$826,5,FALSE),"")</f>
        <v/>
      </c>
      <c r="G208" s="2" t="str">
        <f>IFERROR(VLOOKUP($C208,'_METADATA_TEMPLATE'!$B$2:$H$826,6,FALSE),"")</f>
        <v>Pilihan untuk keberadaan Usaha</v>
      </c>
      <c r="H208" s="2" t="str">
        <f>IFERROR(VLOOKUP($C208,'_METADATA_TEMPLATE'!$B$2:$H$826,7,FALSE),"")</f>
        <v>Variable</v>
      </c>
      <c r="I208" s="2" t="str">
        <f>IFERROR(VLOOKUP(C208,'_METADATA_DEFAULT'!$A:$B,2,FALSE),"")</f>
        <v/>
      </c>
    </row>
    <row r="209" ht="15.75" customHeight="1">
      <c r="A209" s="3" t="s">
        <v>373</v>
      </c>
      <c r="B209" s="3" t="s">
        <v>1294</v>
      </c>
      <c r="C209" s="3" t="s">
        <v>1294</v>
      </c>
      <c r="D209" s="3">
        <f>IFERROR(VLOOKUP($C209,'_METADATA_TEMPLATE'!$B$2:$H$826,2,FALSE),"")</f>
        <v>576</v>
      </c>
      <c r="E209" s="3" t="str">
        <f>IFERROR(VLOOKUP($C209,'_METADATA_TEMPLATE'!$B$2:$H$826,4,FALSE),"")</f>
        <v/>
      </c>
      <c r="F209" s="3" t="str">
        <f>IFERROR(VLOOKUP($C209,'_METADATA_TEMPLATE'!$B$2:$H$826,5,FALSE),"")</f>
        <v/>
      </c>
      <c r="G209" s="3" t="str">
        <f>IFERROR(VLOOKUP($C209,'_METADATA_TEMPLATE'!$B$2:$H$826,6,FALSE),"")</f>
        <v>skala_usaha</v>
      </c>
      <c r="H209" s="3" t="str">
        <f>IFERROR(VLOOKUP($C209,'_METADATA_TEMPLATE'!$B$2:$H$826,7,FALSE),"")</f>
        <v>Variable</v>
      </c>
      <c r="I209" s="3" t="str">
        <f>IFERROR(VLOOKUP(C209,'_METADATA_DEFAULT'!$A:$B,2,FALSE),"")</f>
        <v/>
      </c>
    </row>
    <row r="210" ht="15.75" customHeight="1">
      <c r="A210" s="2" t="s">
        <v>373</v>
      </c>
      <c r="B210" s="2" t="s">
        <v>1298</v>
      </c>
      <c r="C210" s="2" t="s">
        <v>1298</v>
      </c>
      <c r="D210" s="2">
        <f>IFERROR(VLOOKUP($C210,'_METADATA_TEMPLATE'!$B$2:$H$826,2,FALSE),"")</f>
        <v>577</v>
      </c>
      <c r="E210" s="2" t="str">
        <f>IFERROR(VLOOKUP($C210,'_METADATA_TEMPLATE'!$B$2:$H$826,4,FALSE),"")</f>
        <v/>
      </c>
      <c r="F210" s="2" t="str">
        <f>IFERROR(VLOOKUP($C210,'_METADATA_TEMPLATE'!$B$2:$H$826,5,FALSE),"")</f>
        <v/>
      </c>
      <c r="G210" s="2" t="str">
        <f>IFERROR(VLOOKUP($C210,'_METADATA_TEMPLATE'!$B$2:$H$826,6,FALSE),"")</f>
        <v>Is_Prelist2</v>
      </c>
      <c r="H210" s="2" t="str">
        <f>IFERROR(VLOOKUP($C210,'_METADATA_TEMPLATE'!$B$2:$H$826,7,FALSE),"")</f>
        <v>Variable</v>
      </c>
      <c r="I210" s="2" t="str">
        <f>IFERROR(VLOOKUP(C210,'_METADATA_DEFAULT'!$A:$B,2,FALSE),"")</f>
        <v/>
      </c>
    </row>
    <row r="211" ht="15.75" customHeight="1">
      <c r="A211" s="3" t="s">
        <v>373</v>
      </c>
      <c r="B211" s="3" t="s">
        <v>1299</v>
      </c>
      <c r="C211" s="3" t="s">
        <v>1299</v>
      </c>
      <c r="D211" s="3">
        <f>IFERROR(VLOOKUP($C211,'_METADATA_TEMPLATE'!$B$2:$H$826,2,FALSE),"")</f>
        <v>579</v>
      </c>
      <c r="E211" s="3" t="str">
        <f>IFERROR(VLOOKUP($C211,'_METADATA_TEMPLATE'!$B$2:$H$826,4,FALSE),"")</f>
        <v/>
      </c>
      <c r="F211" s="3" t="str">
        <f>IFERROR(VLOOKUP($C211,'_METADATA_TEMPLATE'!$B$2:$H$826,5,FALSE),"")</f>
        <v/>
      </c>
      <c r="G211" s="3" t="str">
        <f>IFERROR(VLOOKUP($C211,'_METADATA_TEMPLATE'!$B$2:$H$826,6,FALSE),"")</f>
        <v>id_pmss</v>
      </c>
      <c r="H211" s="3" t="str">
        <f>IFERROR(VLOOKUP($C211,'_METADATA_TEMPLATE'!$B$2:$H$826,7,FALSE),"")</f>
        <v>Variable</v>
      </c>
      <c r="I211" s="3" t="str">
        <f>IFERROR(VLOOKUP(C211,'_METADATA_DEFAULT'!$A:$B,2,FALSE),"")</f>
        <v/>
      </c>
    </row>
    <row r="212" ht="15.75" customHeight="1">
      <c r="A212" s="2" t="s">
        <v>373</v>
      </c>
      <c r="B212" s="2" t="s">
        <v>1308</v>
      </c>
      <c r="C212" s="2" t="s">
        <v>1308</v>
      </c>
      <c r="D212" s="2">
        <f>IFERROR(VLOOKUP($C212,'_METADATA_TEMPLATE'!$B$2:$H$826,2,FALSE),"")</f>
        <v>581</v>
      </c>
      <c r="E212" s="2" t="str">
        <f>IFERROR(VLOOKUP($C212,'_METADATA_TEMPLATE'!$B$2:$H$826,4,FALSE),"")</f>
        <v/>
      </c>
      <c r="F212" s="2" t="str">
        <f>IFERROR(VLOOKUP($C212,'_METADATA_TEMPLATE'!$B$2:$H$826,5,FALSE),"")</f>
        <v/>
      </c>
      <c r="G212" s="2" t="str">
        <f>IFERROR(VLOOKUP($C212,'_METADATA_TEMPLATE'!$B$2:$H$826,6,FALSE),"")</f>
        <v>ID SBR</v>
      </c>
      <c r="H212" s="2" t="str">
        <f>IFERROR(VLOOKUP($C212,'_METADATA_TEMPLATE'!$B$2:$H$826,7,FALSE),"")</f>
        <v>Variable</v>
      </c>
      <c r="I212" s="2" t="str">
        <f>IFERROR(VLOOKUP(C212,'_METADATA_DEFAULT'!$A:$B,2,FALSE),"")</f>
        <v/>
      </c>
    </row>
    <row r="213" ht="15.75" customHeight="1">
      <c r="A213" s="3" t="s">
        <v>373</v>
      </c>
      <c r="B213" s="3" t="s">
        <v>1314</v>
      </c>
      <c r="C213" s="3" t="s">
        <v>1314</v>
      </c>
      <c r="D213" s="3">
        <f>IFERROR(VLOOKUP($C213,'_METADATA_TEMPLATE'!$B$2:$H$826,2,FALSE),"")</f>
        <v>582</v>
      </c>
      <c r="E213" s="3" t="str">
        <f>IFERROR(VLOOKUP($C213,'_METADATA_TEMPLATE'!$B$2:$H$826,4,FALSE),"")</f>
        <v/>
      </c>
      <c r="F213" s="3" t="str">
        <f>IFERROR(VLOOKUP($C213,'_METADATA_TEMPLATE'!$B$2:$H$826,5,FALSE),"")</f>
        <v>8</v>
      </c>
      <c r="G213" s="3" t="str">
        <f>IFERROR(VLOOKUP($C213,'_METADATA_TEMPLATE'!$B$2:$H$826,6,FALSE),"")</f>
        <v>c. Alamat usaha/perusahaan</v>
      </c>
      <c r="H213" s="3" t="str">
        <f>IFERROR(VLOOKUP($C213,'_METADATA_TEMPLATE'!$B$2:$H$826,7,FALSE),"")</f>
        <v>Variable</v>
      </c>
      <c r="I213" s="3" t="str">
        <f>IFERROR(VLOOKUP(C213,'_METADATA_DEFAULT'!$A:$B,2,FALSE),"")</f>
        <v/>
      </c>
    </row>
    <row r="214" ht="15.75" customHeight="1">
      <c r="A214" s="2" t="s">
        <v>373</v>
      </c>
      <c r="B214" s="2" t="s">
        <v>1319</v>
      </c>
      <c r="C214" s="2" t="s">
        <v>1319</v>
      </c>
      <c r="D214" s="2">
        <f>IFERROR(VLOOKUP($C214,'_METADATA_TEMPLATE'!$B$2:$H$826,2,FALSE),"")</f>
        <v>583</v>
      </c>
      <c r="E214" s="2" t="str">
        <f>IFERROR(VLOOKUP($C214,'_METADATA_TEMPLATE'!$B$2:$H$826,4,FALSE),"")</f>
        <v/>
      </c>
      <c r="F214" s="2" t="str">
        <f>IFERROR(VLOOKUP($C214,'_METADATA_TEMPLATE'!$B$2:$H$826,5,FALSE),"")</f>
        <v/>
      </c>
      <c r="G214" s="2" t="str">
        <f>IFERROR(VLOOKUP($C214,'_METADATA_TEMPLATE'!$B$2:$H$826,6,FALSE),"")</f>
        <v>alamat_usaha</v>
      </c>
      <c r="H214" s="2" t="str">
        <f>IFERROR(VLOOKUP($C214,'_METADATA_TEMPLATE'!$B$2:$H$826,7,FALSE),"")</f>
        <v>Variable</v>
      </c>
      <c r="I214" s="2" t="str">
        <f>IFERROR(VLOOKUP(C214,'_METADATA_DEFAULT'!$A:$B,2,FALSE),"")</f>
        <v/>
      </c>
    </row>
    <row r="215" ht="15.75" customHeight="1">
      <c r="A215" s="3" t="s">
        <v>373</v>
      </c>
      <c r="B215" s="3" t="s">
        <v>1325</v>
      </c>
      <c r="C215" s="3" t="s">
        <v>1325</v>
      </c>
      <c r="D215" s="3">
        <f>IFERROR(VLOOKUP($C215,'_METADATA_TEMPLATE'!$B$2:$H$826,2,FALSE),"")</f>
        <v>587</v>
      </c>
      <c r="E215" s="3" t="str">
        <f>IFERROR(VLOOKUP($C215,'_METADATA_TEMPLATE'!$B$2:$H$826,4,FALSE),"")</f>
        <v/>
      </c>
      <c r="F215" s="3" t="str">
        <f>IFERROR(VLOOKUP($C215,'_METADATA_TEMPLATE'!$B$2:$H$826,5,FALSE),"")</f>
        <v/>
      </c>
      <c r="G215" s="3" t="str">
        <f>IFERROR(VLOOKUP($C215,'_METADATA_TEMPLATE'!$B$2:$H$826,6,FALSE),"")</f>
        <v>​</v>
      </c>
      <c r="H215" s="3" t="str">
        <f>IFERROR(VLOOKUP($C215,'_METADATA_TEMPLATE'!$B$2:$H$826,7,FALSE),"")</f>
        <v>Variable</v>
      </c>
      <c r="I215" s="3" t="str">
        <f>IFERROR(VLOOKUP(C215,'_METADATA_DEFAULT'!$A:$B,2,FALSE),"")</f>
        <v/>
      </c>
    </row>
    <row r="216" ht="15.75" customHeight="1">
      <c r="A216" s="2" t="s">
        <v>373</v>
      </c>
      <c r="B216" s="2" t="s">
        <v>1334</v>
      </c>
      <c r="C216" s="2" t="s">
        <v>1334</v>
      </c>
      <c r="D216" s="2">
        <f>IFERROR(VLOOKUP($C216,'_METADATA_TEMPLATE'!$B$2:$H$826,2,FALSE),"")</f>
        <v>589</v>
      </c>
      <c r="E216" s="2" t="str">
        <f>IFERROR(VLOOKUP($C216,'_METADATA_TEMPLATE'!$B$2:$H$826,4,FALSE),"")</f>
        <v/>
      </c>
      <c r="F216" s="2" t="str">
        <f>IFERROR(VLOOKUP($C216,'_METADATA_TEMPLATE'!$B$2:$H$826,5,FALSE),"")</f>
        <v/>
      </c>
      <c r="G216" s="2" t="str">
        <f>IFERROR(VLOOKUP($C216,'_METADATA_TEMPLATE'!$B$2:$H$826,6,FALSE),"")</f>
        <v>pengusaha_var_prelist</v>
      </c>
      <c r="H216" s="2" t="str">
        <f>IFERROR(VLOOKUP($C216,'_METADATA_TEMPLATE'!$B$2:$H$826,7,FALSE),"")</f>
        <v>Variable</v>
      </c>
      <c r="I216" s="2" t="str">
        <f>IFERROR(VLOOKUP(C216,'_METADATA_DEFAULT'!$A:$B,2,FALSE),"")</f>
        <v/>
      </c>
    </row>
    <row r="217" ht="15.75" customHeight="1">
      <c r="A217" s="3" t="s">
        <v>373</v>
      </c>
      <c r="B217" s="3" t="s">
        <v>1342</v>
      </c>
      <c r="C217" s="3" t="s">
        <v>1342</v>
      </c>
      <c r="D217" s="3">
        <f>IFERROR(VLOOKUP($C217,'_METADATA_TEMPLATE'!$B$2:$H$826,2,FALSE),"")</f>
        <v>591</v>
      </c>
      <c r="E217" s="3" t="str">
        <f>IFERROR(VLOOKUP($C217,'_METADATA_TEMPLATE'!$B$2:$H$826,4,FALSE),"")</f>
        <v/>
      </c>
      <c r="F217" s="3" t="str">
        <f>IFERROR(VLOOKUP($C217,'_METADATA_TEMPLATE'!$B$2:$H$826,5,FALSE),"")</f>
        <v/>
      </c>
      <c r="G217" s="3" t="str">
        <f>IFERROR(VLOOKUP($C217,'_METADATA_TEMPLATE'!$B$2:$H$826,6,FALSE),"")</f>
        <v>Hasil Pengecekkan NIK</v>
      </c>
      <c r="H217" s="3" t="str">
        <f>IFERROR(VLOOKUP($C217,'_METADATA_TEMPLATE'!$B$2:$H$826,7,FALSE),"")</f>
        <v>Variable</v>
      </c>
      <c r="I217" s="3" t="str">
        <f>IFERROR(VLOOKUP(C217,'_METADATA_DEFAULT'!$A:$B,2,FALSE),"")</f>
        <v/>
      </c>
    </row>
    <row r="218" ht="15.75" customHeight="1">
      <c r="A218" s="2" t="s">
        <v>373</v>
      </c>
      <c r="B218" s="2" t="s">
        <v>1349</v>
      </c>
      <c r="C218" s="2" t="s">
        <v>1349</v>
      </c>
      <c r="D218" s="2">
        <f>IFERROR(VLOOKUP($C218,'_METADATA_TEMPLATE'!$B$2:$H$826,2,FALSE),"")</f>
        <v>594</v>
      </c>
      <c r="E218" s="2" t="str">
        <f>IFERROR(VLOOKUP($C218,'_METADATA_TEMPLATE'!$B$2:$H$826,4,FALSE),"")</f>
        <v/>
      </c>
      <c r="F218" s="2" t="str">
        <f>IFERROR(VLOOKUP($C218,'_METADATA_TEMPLATE'!$B$2:$H$826,5,FALSE),"")</f>
        <v/>
      </c>
      <c r="G218" s="2" t="str">
        <f>IFERROR(VLOOKUP($C218,'_METADATA_TEMPLATE'!$B$2:$H$826,6,FALSE),"")</f>
        <v>jenis_kegiatan</v>
      </c>
      <c r="H218" s="2" t="str">
        <f>IFERROR(VLOOKUP($C218,'_METADATA_TEMPLATE'!$B$2:$H$826,7,FALSE),"")</f>
        <v>Variable</v>
      </c>
      <c r="I218" s="2" t="str">
        <f>IFERROR(VLOOKUP(C218,'_METADATA_DEFAULT'!$A:$B,2,FALSE),"")</f>
        <v/>
      </c>
    </row>
    <row r="219" ht="15.75" customHeight="1">
      <c r="A219" s="3" t="s">
        <v>373</v>
      </c>
      <c r="B219" s="3" t="s">
        <v>1354</v>
      </c>
      <c r="C219" s="3" t="s">
        <v>1354</v>
      </c>
      <c r="D219" s="3">
        <f>IFERROR(VLOOKUP($C219,'_METADATA_TEMPLATE'!$B$2:$H$826,2,FALSE),"")</f>
        <v>597</v>
      </c>
      <c r="E219" s="3" t="str">
        <f>IFERROR(VLOOKUP($C219,'_METADATA_TEMPLATE'!$B$2:$H$826,4,FALSE),"")</f>
        <v/>
      </c>
      <c r="F219" s="3" t="str">
        <f>IFERROR(VLOOKUP($C219,'_METADATA_TEMPLATE'!$B$2:$H$826,5,FALSE),"")</f>
        <v/>
      </c>
      <c r="G219" s="3" t="str">
        <f>IFERROR(VLOOKUP($C219,'_METADATA_TEMPLATE'!$B$2:$H$826,6,FALSE),"")</f>
        <v>kbli_prelist</v>
      </c>
      <c r="H219" s="3" t="str">
        <f>IFERROR(VLOOKUP($C219,'_METADATA_TEMPLATE'!$B$2:$H$826,7,FALSE),"")</f>
        <v>Variable</v>
      </c>
      <c r="I219" s="3" t="str">
        <f>IFERROR(VLOOKUP(C219,'_METADATA_DEFAULT'!$A:$B,2,FALSE),"")</f>
        <v/>
      </c>
    </row>
    <row r="220" ht="15.75" customHeight="1">
      <c r="A220" s="2" t="s">
        <v>373</v>
      </c>
      <c r="B220" s="2" t="s">
        <v>1360</v>
      </c>
      <c r="C220" s="2" t="s">
        <v>1360</v>
      </c>
      <c r="D220" s="2">
        <f>IFERROR(VLOOKUP($C220,'_METADATA_TEMPLATE'!$B$2:$H$826,2,FALSE),"")</f>
        <v>598</v>
      </c>
      <c r="E220" s="2" t="str">
        <f>IFERROR(VLOOKUP($C220,'_METADATA_TEMPLATE'!$B$2:$H$826,4,FALSE),"")</f>
        <v/>
      </c>
      <c r="F220" s="2" t="str">
        <f>IFERROR(VLOOKUP($C220,'_METADATA_TEMPLATE'!$B$2:$H$826,5,FALSE),"")</f>
        <v/>
      </c>
      <c r="G220" s="2" t="str">
        <f>IFERROR(VLOOKUP($C220,'_METADATA_TEMPLATE'!$B$2:$H$826,6,FALSE),"")</f>
        <v>kbli_genai_cawi</v>
      </c>
      <c r="H220" s="2" t="str">
        <f>IFERROR(VLOOKUP($C220,'_METADATA_TEMPLATE'!$B$2:$H$826,7,FALSE),"")</f>
        <v>Variable</v>
      </c>
      <c r="I220" s="2" t="str">
        <f>IFERROR(VLOOKUP(C220,'_METADATA_DEFAULT'!$A:$B,2,FALSE),"")</f>
        <v/>
      </c>
    </row>
    <row r="221" ht="15.75" customHeight="1">
      <c r="A221" s="3" t="s">
        <v>373</v>
      </c>
      <c r="B221" s="3" t="s">
        <v>1365</v>
      </c>
      <c r="C221" s="3" t="s">
        <v>1365</v>
      </c>
      <c r="D221" s="3">
        <f>IFERROR(VLOOKUP($C221,'_METADATA_TEMPLATE'!$B$2:$H$826,2,FALSE),"")</f>
        <v>599</v>
      </c>
      <c r="E221" s="3" t="str">
        <f>IFERROR(VLOOKUP($C221,'_METADATA_TEMPLATE'!$B$2:$H$826,4,FALSE),"")</f>
        <v/>
      </c>
      <c r="F221" s="3" t="str">
        <f>IFERROR(VLOOKUP($C221,'_METADATA_TEMPLATE'!$B$2:$H$826,5,FALSE),"")</f>
        <v/>
      </c>
      <c r="G221" s="3" t="str">
        <f>IFERROR(VLOOKUP($C221,'_METADATA_TEMPLATE'!$B$2:$H$826,6,FALSE),"")</f>
        <v>kbli_cawi</v>
      </c>
      <c r="H221" s="3" t="str">
        <f>IFERROR(VLOOKUP($C221,'_METADATA_TEMPLATE'!$B$2:$H$826,7,FALSE),"")</f>
        <v>Variable</v>
      </c>
      <c r="I221" s="3" t="str">
        <f>IFERROR(VLOOKUP(C221,'_METADATA_DEFAULT'!$A:$B,2,FALSE),"")</f>
        <v/>
      </c>
    </row>
    <row r="222" ht="15.75" customHeight="1">
      <c r="A222" s="2" t="s">
        <v>373</v>
      </c>
      <c r="B222" s="2" t="s">
        <v>1372</v>
      </c>
      <c r="C222" s="2" t="s">
        <v>1372</v>
      </c>
      <c r="D222" s="2">
        <f>IFERROR(VLOOKUP($C222,'_METADATA_TEMPLATE'!$B$2:$H$826,2,FALSE),"")</f>
        <v>601</v>
      </c>
      <c r="E222" s="2" t="str">
        <f>IFERROR(VLOOKUP($C222,'_METADATA_TEMPLATE'!$B$2:$H$826,4,FALSE),"")</f>
        <v/>
      </c>
      <c r="F222" s="2" t="str">
        <f>IFERROR(VLOOKUP($C222,'_METADATA_TEMPLATE'!$B$2:$H$826,5,FALSE),"")</f>
        <v/>
      </c>
      <c r="G222" s="2" t="str">
        <f>IFERROR(VLOOKUP($C222,'_METADATA_TEMPLATE'!$B$2:$H$826,6,FALSE),"")</f>
        <v>KBLI Akhir</v>
      </c>
      <c r="H222" s="2" t="str">
        <f>IFERROR(VLOOKUP($C222,'_METADATA_TEMPLATE'!$B$2:$H$826,7,FALSE),"")</f>
        <v>Variable</v>
      </c>
      <c r="I222" s="2" t="str">
        <f>IFERROR(VLOOKUP(C222,'_METADATA_DEFAULT'!$A:$B,2,FALSE),"")</f>
        <v/>
      </c>
    </row>
    <row r="223" ht="15.75" customHeight="1">
      <c r="A223" s="3" t="s">
        <v>373</v>
      </c>
      <c r="B223" s="3" t="s">
        <v>1382</v>
      </c>
      <c r="C223" s="3" t="s">
        <v>1382</v>
      </c>
      <c r="D223" s="3">
        <f>IFERROR(VLOOKUP($C223,'_METADATA_TEMPLATE'!$B$2:$H$826,2,FALSE),"")</f>
        <v>602</v>
      </c>
      <c r="E223" s="3" t="str">
        <f>IFERROR(VLOOKUP($C223,'_METADATA_TEMPLATE'!$B$2:$H$826,4,FALSE),"")</f>
        <v/>
      </c>
      <c r="F223" s="3" t="str">
        <f>IFERROR(VLOOKUP($C223,'_METADATA_TEMPLATE'!$B$2:$H$826,5,FALSE),"")</f>
        <v/>
      </c>
      <c r="G223" s="3" t="str">
        <f>IFERROR(VLOOKUP($C223,'_METADATA_TEMPLATE'!$B$2:$H$826,6,FALSE),"")</f>
        <v>kategori_2025</v>
      </c>
      <c r="H223" s="3" t="str">
        <f>IFERROR(VLOOKUP($C223,'_METADATA_TEMPLATE'!$B$2:$H$826,7,FALSE),"")</f>
        <v>Variable</v>
      </c>
      <c r="I223" s="3" t="str">
        <f>IFERROR(VLOOKUP(C223,'_METADATA_DEFAULT'!$A:$B,2,FALSE),"")</f>
        <v/>
      </c>
    </row>
    <row r="224" ht="15.75" customHeight="1">
      <c r="A224" s="2" t="s">
        <v>373</v>
      </c>
      <c r="B224" s="2" t="s">
        <v>1391</v>
      </c>
      <c r="C224" s="2" t="s">
        <v>1391</v>
      </c>
      <c r="D224" s="2">
        <f>IFERROR(VLOOKUP($C224,'_METADATA_TEMPLATE'!$B$2:$H$826,2,FALSE),"")</f>
        <v>603</v>
      </c>
      <c r="E224" s="2" t="str">
        <f>IFERROR(VLOOKUP($C224,'_METADATA_TEMPLATE'!$B$2:$H$826,4,FALSE),"")</f>
        <v/>
      </c>
      <c r="F224" s="2" t="str">
        <f>IFERROR(VLOOKUP($C224,'_METADATA_TEMPLATE'!$B$2:$H$826,5,FALSE),"")</f>
        <v/>
      </c>
      <c r="G224" s="2" t="str">
        <f>IFERROR(VLOOKUP($C224,'_METADATA_TEMPLATE'!$B$2:$H$826,6,FALSE),"")</f>
        <v/>
      </c>
      <c r="H224" s="2" t="str">
        <f>IFERROR(VLOOKUP($C224,'_METADATA_TEMPLATE'!$B$2:$H$826,7,FALSE),"")</f>
        <v>Variable</v>
      </c>
      <c r="I224" s="2" t="str">
        <f>IFERROR(VLOOKUP(C224,'_METADATA_DEFAULT'!$A:$B,2,FALSE),"")</f>
        <v/>
      </c>
    </row>
    <row r="225" ht="15.75" customHeight="1">
      <c r="A225" s="3" t="s">
        <v>373</v>
      </c>
      <c r="B225" s="3" t="s">
        <v>1399</v>
      </c>
      <c r="C225" s="3" t="s">
        <v>1399</v>
      </c>
      <c r="D225" s="3">
        <f>IFERROR(VLOOKUP($C225,'_METADATA_TEMPLATE'!$B$2:$H$826,2,FALSE),"")</f>
        <v>610</v>
      </c>
      <c r="E225" s="3" t="str">
        <f>IFERROR(VLOOKUP($C225,'_METADATA_TEMPLATE'!$B$2:$H$826,4,FALSE),"")</f>
        <v/>
      </c>
      <c r="F225" s="3" t="str">
        <f>IFERROR(VLOOKUP($C225,'_METADATA_TEMPLATE'!$B$2:$H$826,5,FALSE),"")</f>
        <v/>
      </c>
      <c r="G225" s="3" t="str">
        <f>IFERROR(VLOOKUP($C225,'_METADATA_TEMPLATE'!$B$2:$H$826,6,FALSE),"")</f>
        <v>total_tk_jk_var</v>
      </c>
      <c r="H225" s="3" t="str">
        <f>IFERROR(VLOOKUP($C225,'_METADATA_TEMPLATE'!$B$2:$H$826,7,FALSE),"")</f>
        <v>Variable</v>
      </c>
      <c r="I225" s="3" t="str">
        <f>IFERROR(VLOOKUP(C225,'_METADATA_DEFAULT'!$A:$B,2,FALSE),"")</f>
        <v/>
      </c>
    </row>
    <row r="226" ht="15.75" customHeight="1">
      <c r="A226" s="2" t="s">
        <v>373</v>
      </c>
      <c r="B226" s="2" t="s">
        <v>1404</v>
      </c>
      <c r="C226" s="2" t="s">
        <v>1404</v>
      </c>
      <c r="D226" s="2">
        <f>IFERROR(VLOOKUP($C226,'_METADATA_TEMPLATE'!$B$2:$H$826,2,FALSE),"")</f>
        <v>611</v>
      </c>
      <c r="E226" s="2" t="str">
        <f>IFERROR(VLOOKUP($C226,'_METADATA_TEMPLATE'!$B$2:$H$826,4,FALSE),"")</f>
        <v/>
      </c>
      <c r="F226" s="2" t="str">
        <f>IFERROR(VLOOKUP($C226,'_METADATA_TEMPLATE'!$B$2:$H$826,5,FALSE),"")</f>
        <v/>
      </c>
      <c r="G226" s="2" t="str">
        <f>IFERROR(VLOOKUP($C226,'_METADATA_TEMPLATE'!$B$2:$H$826,6,FALSE),"")</f>
        <v>total_tk_bayar_var</v>
      </c>
      <c r="H226" s="2" t="str">
        <f>IFERROR(VLOOKUP($C226,'_METADATA_TEMPLATE'!$B$2:$H$826,7,FALSE),"")</f>
        <v>Variable</v>
      </c>
      <c r="I226" s="2" t="str">
        <f>IFERROR(VLOOKUP(C226,'_METADATA_DEFAULT'!$A:$B,2,FALSE),"")</f>
        <v/>
      </c>
    </row>
    <row r="227" ht="15.75" customHeight="1">
      <c r="A227" s="3" t="s">
        <v>373</v>
      </c>
      <c r="B227" s="3" t="s">
        <v>1411</v>
      </c>
      <c r="C227" s="3" t="s">
        <v>1411</v>
      </c>
      <c r="D227" s="3">
        <f>IFERROR(VLOOKUP($C227,'_METADATA_TEMPLATE'!$B$2:$H$826,2,FALSE),"")</f>
        <v>614</v>
      </c>
      <c r="E227" s="3" t="str">
        <f>IFERROR(VLOOKUP($C227,'_METADATA_TEMPLATE'!$B$2:$H$826,4,FALSE),"")</f>
        <v/>
      </c>
      <c r="F227" s="3" t="str">
        <f>IFERROR(VLOOKUP($C227,'_METADATA_TEMPLATE'!$B$2:$H$826,5,FALSE),"")</f>
        <v/>
      </c>
      <c r="G227" s="3" t="str">
        <f>IFERROR(VLOOKUP($C227,'_METADATA_TEMPLATE'!$B$2:$H$826,6,FALSE),"")</f>
        <v>total_pengeluaran_var</v>
      </c>
      <c r="H227" s="3" t="str">
        <f>IFERROR(VLOOKUP($C227,'_METADATA_TEMPLATE'!$B$2:$H$826,7,FALSE),"")</f>
        <v>Variable</v>
      </c>
      <c r="I227" s="3" t="str">
        <f>IFERROR(VLOOKUP(C227,'_METADATA_DEFAULT'!$A:$B,2,FALSE),"")</f>
        <v/>
      </c>
    </row>
    <row r="228" ht="15.75" customHeight="1">
      <c r="A228" s="2" t="s">
        <v>373</v>
      </c>
      <c r="B228" s="2" t="s">
        <v>1417</v>
      </c>
      <c r="C228" s="2" t="s">
        <v>1417</v>
      </c>
      <c r="D228" s="2">
        <f>IFERROR(VLOOKUP($C228,'_METADATA_TEMPLATE'!$B$2:$H$826,2,FALSE),"")</f>
        <v>616</v>
      </c>
      <c r="E228" s="2" t="str">
        <f>IFERROR(VLOOKUP($C228,'_METADATA_TEMPLATE'!$B$2:$H$826,4,FALSE),"")</f>
        <v/>
      </c>
      <c r="F228" s="2" t="str">
        <f>IFERROR(VLOOKUP($C228,'_METADATA_TEMPLATE'!$B$2:$H$826,5,FALSE),"")</f>
        <v/>
      </c>
      <c r="G228" s="2" t="str">
        <f>IFERROR(VLOOKUP($C228,'_METADATA_TEMPLATE'!$B$2:$H$826,6,FALSE),"")</f>
        <v>total_pendapatan_var</v>
      </c>
      <c r="H228" s="2" t="str">
        <f>IFERROR(VLOOKUP($C228,'_METADATA_TEMPLATE'!$B$2:$H$826,7,FALSE),"")</f>
        <v>Variable</v>
      </c>
      <c r="I228" s="2" t="str">
        <f>IFERROR(VLOOKUP(C228,'_METADATA_DEFAULT'!$A:$B,2,FALSE),"")</f>
        <v/>
      </c>
    </row>
    <row r="229" ht="15.75" customHeight="1">
      <c r="A229" s="3" t="s">
        <v>373</v>
      </c>
      <c r="B229" s="3" t="s">
        <v>1424</v>
      </c>
      <c r="C229" s="3" t="s">
        <v>1424</v>
      </c>
      <c r="D229" s="3">
        <f>IFERROR(VLOOKUP($C229,'_METADATA_TEMPLATE'!$B$2:$H$826,2,FALSE),"")</f>
        <v>617</v>
      </c>
      <c r="E229" s="3" t="str">
        <f>IFERROR(VLOOKUP($C229,'_METADATA_TEMPLATE'!$B$2:$H$826,4,FALSE),"")</f>
        <v/>
      </c>
      <c r="F229" s="3" t="str">
        <f>IFERROR(VLOOKUP($C229,'_METADATA_TEMPLATE'!$B$2:$H$826,5,FALSE),"")</f>
        <v/>
      </c>
      <c r="G229" s="3" t="str">
        <f>IFERROR(VLOOKUP($C229,'_METADATA_TEMPLATE'!$B$2:$H$826,6,FALSE),"")</f>
        <v>total_aset_thn_var</v>
      </c>
      <c r="H229" s="3" t="str">
        <f>IFERROR(VLOOKUP($C229,'_METADATA_TEMPLATE'!$B$2:$H$826,7,FALSE),"")</f>
        <v>Variable</v>
      </c>
      <c r="I229" s="3" t="str">
        <f>IFERROR(VLOOKUP(C229,'_METADATA_DEFAULT'!$A:$B,2,FALSE),"")</f>
        <v/>
      </c>
    </row>
    <row r="230" ht="15.75" customHeight="1">
      <c r="A230" s="2" t="s">
        <v>373</v>
      </c>
      <c r="B230" s="2" t="s">
        <v>1430</v>
      </c>
      <c r="C230" s="2" t="s">
        <v>1430</v>
      </c>
      <c r="D230" s="2">
        <f>IFERROR(VLOOKUP($C230,'_METADATA_TEMPLATE'!$B$2:$H$826,2,FALSE),"")</f>
        <v>618</v>
      </c>
      <c r="E230" s="2" t="str">
        <f>IFERROR(VLOOKUP($C230,'_METADATA_TEMPLATE'!$B$2:$H$826,4,FALSE),"")</f>
        <v/>
      </c>
      <c r="F230" s="2" t="str">
        <f>IFERROR(VLOOKUP($C230,'_METADATA_TEMPLATE'!$B$2:$H$826,5,FALSE),"")</f>
        <v/>
      </c>
      <c r="G230" s="2" t="str">
        <f>IFERROR(VLOOKUP($C230,'_METADATA_TEMPLATE'!$B$2:$H$826,6,FALSE),"")</f>
        <v>info_total_var</v>
      </c>
      <c r="H230" s="2" t="str">
        <f>IFERROR(VLOOKUP($C230,'_METADATA_TEMPLATE'!$B$2:$H$826,7,FALSE),"")</f>
        <v>Variable</v>
      </c>
      <c r="I230" s="2" t="str">
        <f>IFERROR(VLOOKUP(C230,'_METADATA_DEFAULT'!$A:$B,2,FALSE),"")</f>
        <v/>
      </c>
    </row>
    <row r="231" ht="15.75" customHeight="1">
      <c r="A231" s="3" t="s">
        <v>373</v>
      </c>
      <c r="B231" s="3" t="s">
        <v>1438</v>
      </c>
      <c r="C231" s="3" t="s">
        <v>1438</v>
      </c>
      <c r="D231" s="3">
        <f>IFERROR(VLOOKUP($C231,'_METADATA_TEMPLATE'!$B$2:$H$826,2,FALSE),"")</f>
        <v>619</v>
      </c>
      <c r="E231" s="3" t="str">
        <f>IFERROR(VLOOKUP($C231,'_METADATA_TEMPLATE'!$B$2:$H$826,4,FALSE),"")</f>
        <v/>
      </c>
      <c r="F231" s="3" t="str">
        <f>IFERROR(VLOOKUP($C231,'_METADATA_TEMPLATE'!$B$2:$H$826,5,FALSE),"")</f>
        <v/>
      </c>
      <c r="G231" s="3" t="str">
        <f>IFERROR(VLOOKUP($C231,'_METADATA_TEMPLATE'!$B$2:$H$826,6,FALSE),"")</f>
        <v>total_pengeluaran_bln</v>
      </c>
      <c r="H231" s="3" t="str">
        <f>IFERROR(VLOOKUP($C231,'_METADATA_TEMPLATE'!$B$2:$H$826,7,FALSE),"")</f>
        <v>Variable</v>
      </c>
      <c r="I231" s="3" t="str">
        <f>IFERROR(VLOOKUP(C231,'_METADATA_DEFAULT'!$A:$B,2,FALSE),"")</f>
        <v/>
      </c>
    </row>
    <row r="232" ht="15.75" customHeight="1">
      <c r="A232" s="2" t="s">
        <v>373</v>
      </c>
      <c r="B232" s="2" t="s">
        <v>1443</v>
      </c>
      <c r="C232" s="2" t="s">
        <v>1443</v>
      </c>
      <c r="D232" s="2">
        <f>IFERROR(VLOOKUP($C232,'_METADATA_TEMPLATE'!$B$2:$H$826,2,FALSE),"")</f>
        <v>620</v>
      </c>
      <c r="E232" s="2" t="str">
        <f>IFERROR(VLOOKUP($C232,'_METADATA_TEMPLATE'!$B$2:$H$826,4,FALSE),"")</f>
        <v/>
      </c>
      <c r="F232" s="2" t="str">
        <f>IFERROR(VLOOKUP($C232,'_METADATA_TEMPLATE'!$B$2:$H$826,5,FALSE),"")</f>
        <v/>
      </c>
      <c r="G232" s="2" t="str">
        <f>IFERROR(VLOOKUP($C232,'_METADATA_TEMPLATE'!$B$2:$H$826,6,FALSE),"")</f>
        <v>total_pendapatan_bln_var</v>
      </c>
      <c r="H232" s="2" t="str">
        <f>IFERROR(VLOOKUP($C232,'_METADATA_TEMPLATE'!$B$2:$H$826,7,FALSE),"")</f>
        <v>Variable</v>
      </c>
      <c r="I232" s="2" t="str">
        <f>IFERROR(VLOOKUP(C232,'_METADATA_DEFAULT'!$A:$B,2,FALSE),"")</f>
        <v/>
      </c>
    </row>
    <row r="233" ht="15.75" customHeight="1">
      <c r="A233" s="3" t="s">
        <v>373</v>
      </c>
      <c r="B233" s="3" t="s">
        <v>1447</v>
      </c>
      <c r="C233" s="3" t="s">
        <v>1447</v>
      </c>
      <c r="D233" s="3">
        <f>IFERROR(VLOOKUP($C233,'_METADATA_TEMPLATE'!$B$2:$H$826,2,FALSE),"")</f>
        <v>621</v>
      </c>
      <c r="E233" s="3" t="str">
        <f>IFERROR(VLOOKUP($C233,'_METADATA_TEMPLATE'!$B$2:$H$826,4,FALSE),"")</f>
        <v/>
      </c>
      <c r="F233" s="3" t="str">
        <f>IFERROR(VLOOKUP($C233,'_METADATA_TEMPLATE'!$B$2:$H$826,5,FALSE),"")</f>
        <v/>
      </c>
      <c r="G233" s="3" t="str">
        <f>IFERROR(VLOOKUP($C233,'_METADATA_TEMPLATE'!$B$2:$H$826,6,FALSE),"")</f>
        <v>New Question</v>
      </c>
      <c r="H233" s="3" t="str">
        <f>IFERROR(VLOOKUP($C233,'_METADATA_TEMPLATE'!$B$2:$H$826,7,FALSE),"")</f>
        <v>Variable</v>
      </c>
      <c r="I233" s="3" t="str">
        <f>IFERROR(VLOOKUP(C233,'_METADATA_DEFAULT'!$A:$B,2,FALSE),"")</f>
        <v/>
      </c>
    </row>
    <row r="234" ht="15.75" customHeight="1">
      <c r="A234" s="2" t="s">
        <v>373</v>
      </c>
      <c r="B234" s="2" t="s">
        <v>1452</v>
      </c>
      <c r="C234" s="2" t="s">
        <v>1452</v>
      </c>
      <c r="D234" s="2">
        <f>IFERROR(VLOOKUP($C234,'_METADATA_TEMPLATE'!$B$2:$H$826,2,FALSE),"")</f>
        <v>622</v>
      </c>
      <c r="E234" s="2" t="str">
        <f>IFERROR(VLOOKUP($C234,'_METADATA_TEMPLATE'!$B$2:$H$826,4,FALSE),"")</f>
        <v/>
      </c>
      <c r="F234" s="2" t="str">
        <f>IFERROR(VLOOKUP($C234,'_METADATA_TEMPLATE'!$B$2:$H$826,5,FALSE),"")</f>
        <v/>
      </c>
      <c r="G234" s="2" t="str">
        <f>IFERROR(VLOOKUP($C234,'_METADATA_TEMPLATE'!$B$2:$H$826,6,FALSE),"")</f>
        <v>info_total_didirikan_var</v>
      </c>
      <c r="H234" s="2" t="str">
        <f>IFERROR(VLOOKUP($C234,'_METADATA_TEMPLATE'!$B$2:$H$826,7,FALSE),"")</f>
        <v>Variable</v>
      </c>
      <c r="I234" s="2" t="str">
        <f>IFERROR(VLOOKUP(C234,'_METADATA_DEFAULT'!$A:$B,2,FALSE),"")</f>
        <v/>
      </c>
    </row>
    <row r="235" ht="15.75" customHeight="1">
      <c r="A235" s="3" t="s">
        <v>373</v>
      </c>
      <c r="B235" s="3" t="s">
        <v>12</v>
      </c>
      <c r="C235" s="3" t="s">
        <v>12</v>
      </c>
      <c r="D235" s="3" t="str">
        <f>IFERROR(VLOOKUP($C235,'_METADATA_TEMPLATE'!$B$2:$H$826,2,FALSE),"")</f>
        <v/>
      </c>
      <c r="E235" s="3" t="str">
        <f>IFERROR(VLOOKUP($C235,'_METADATA_TEMPLATE'!$B$2:$H$826,4,FALSE),"")</f>
        <v/>
      </c>
      <c r="F235" s="3" t="str">
        <f>IFERROR(VLOOKUP($C235,'_METADATA_TEMPLATE'!$B$2:$H$826,5,FALSE),"")</f>
        <v/>
      </c>
      <c r="G235" s="3" t="str">
        <f>IFERROR(VLOOKUP($C235,'_METADATA_TEMPLATE'!$B$2:$H$826,6,FALSE),"")</f>
        <v/>
      </c>
      <c r="H235" s="3" t="str">
        <f>IFERROR(VLOOKUP($C235,'_METADATA_TEMPLATE'!$B$2:$H$826,7,FALSE),"")</f>
        <v/>
      </c>
      <c r="I235" s="3" t="str">
        <f>IFERROR(VLOOKUP(C235,'_METADATA_DEFAULT'!$A:$B,2,FALSE),"")</f>
        <v>ID Assignment</v>
      </c>
    </row>
    <row r="236" ht="15.75" customHeight="1">
      <c r="A236" s="2" t="s">
        <v>373</v>
      </c>
      <c r="B236" s="2" t="s">
        <v>132</v>
      </c>
      <c r="C236" s="2" t="s">
        <v>132</v>
      </c>
      <c r="D236" s="2" t="str">
        <f>IFERROR(VLOOKUP($C236,'_METADATA_TEMPLATE'!$B$2:$H$826,2,FALSE),"")</f>
        <v/>
      </c>
      <c r="E236" s="2" t="str">
        <f>IFERROR(VLOOKUP($C236,'_METADATA_TEMPLATE'!$B$2:$H$826,4,FALSE),"")</f>
        <v/>
      </c>
      <c r="F236" s="2" t="str">
        <f>IFERROR(VLOOKUP($C236,'_METADATA_TEMPLATE'!$B$2:$H$826,5,FALSE),"")</f>
        <v/>
      </c>
      <c r="G236" s="2" t="str">
        <f>IFERROR(VLOOKUP($C236,'_METADATA_TEMPLATE'!$B$2:$H$826,6,FALSE),"")</f>
        <v/>
      </c>
      <c r="H236" s="2" t="str">
        <f>IFERROR(VLOOKUP($C236,'_METADATA_TEMPLATE'!$B$2:$H$826,7,FALSE),"")</f>
        <v/>
      </c>
      <c r="I236" s="2" t="str">
        <f>IFERROR(VLOOKUP(C236,'_METADATA_DEFAULT'!$A:$B,2,FALSE),"")</f>
        <v>ID Roster/Nested Level 1</v>
      </c>
    </row>
    <row r="237" ht="15.75" customHeight="1">
      <c r="A237" s="3" t="s">
        <v>373</v>
      </c>
      <c r="B237" s="3" t="s">
        <v>18</v>
      </c>
      <c r="C237" s="3" t="s">
        <v>18</v>
      </c>
      <c r="D237" s="3" t="str">
        <f>IFERROR(VLOOKUP($C237,'_METADATA_TEMPLATE'!$B$2:$H$826,2,FALSE),"")</f>
        <v/>
      </c>
      <c r="E237" s="3" t="str">
        <f>IFERROR(VLOOKUP($C237,'_METADATA_TEMPLATE'!$B$2:$H$826,4,FALSE),"")</f>
        <v/>
      </c>
      <c r="F237" s="3" t="str">
        <f>IFERROR(VLOOKUP($C237,'_METADATA_TEMPLATE'!$B$2:$H$826,5,FALSE),"")</f>
        <v/>
      </c>
      <c r="G237" s="3" t="str">
        <f>IFERROR(VLOOKUP($C237,'_METADATA_TEMPLATE'!$B$2:$H$826,6,FALSE),"")</f>
        <v/>
      </c>
      <c r="H237" s="3" t="str">
        <f>IFERROR(VLOOKUP($C237,'_METADATA_TEMPLATE'!$B$2:$H$826,7,FALSE),"")</f>
        <v/>
      </c>
      <c r="I237" s="3" t="str">
        <f>IFERROR(VLOOKUP(C237,'_METADATA_DEFAULT'!$A:$B,2,FALSE),"")</f>
        <v>Kode Lengkap Provinsi</v>
      </c>
    </row>
    <row r="238" ht="15.75" customHeight="1">
      <c r="A238" s="2" t="s">
        <v>373</v>
      </c>
      <c r="B238" s="2" t="s">
        <v>20</v>
      </c>
      <c r="C238" s="2" t="s">
        <v>20</v>
      </c>
      <c r="D238" s="2" t="str">
        <f>IFERROR(VLOOKUP($C238,'_METADATA_TEMPLATE'!$B$2:$H$826,2,FALSE),"")</f>
        <v/>
      </c>
      <c r="E238" s="2" t="str">
        <f>IFERROR(VLOOKUP($C238,'_METADATA_TEMPLATE'!$B$2:$H$826,4,FALSE),"")</f>
        <v/>
      </c>
      <c r="F238" s="2" t="str">
        <f>IFERROR(VLOOKUP($C238,'_METADATA_TEMPLATE'!$B$2:$H$826,5,FALSE),"")</f>
        <v/>
      </c>
      <c r="G238" s="2" t="str">
        <f>IFERROR(VLOOKUP($C238,'_METADATA_TEMPLATE'!$B$2:$H$826,6,FALSE),"")</f>
        <v/>
      </c>
      <c r="H238" s="2" t="str">
        <f>IFERROR(VLOOKUP($C238,'_METADATA_TEMPLATE'!$B$2:$H$826,7,FALSE),"")</f>
        <v/>
      </c>
      <c r="I238" s="2" t="str">
        <f>IFERROR(VLOOKUP(C238,'_METADATA_DEFAULT'!$A:$B,2,FALSE),"")</f>
        <v>Kode Lengkap Kabupaten/Kota</v>
      </c>
    </row>
    <row r="239" ht="15.75" customHeight="1">
      <c r="A239" s="3" t="s">
        <v>373</v>
      </c>
      <c r="B239" s="3" t="s">
        <v>1480</v>
      </c>
      <c r="C239" s="3" t="s">
        <v>1480</v>
      </c>
      <c r="D239" s="3" t="str">
        <f>IFERROR(VLOOKUP($C239,'_METADATA_TEMPLATE'!$B$2:$H$826,2,FALSE),"")</f>
        <v/>
      </c>
      <c r="E239" s="3" t="str">
        <f>IFERROR(VLOOKUP($C239,'_METADATA_TEMPLATE'!$B$2:$H$826,4,FALSE),"")</f>
        <v/>
      </c>
      <c r="F239" s="3" t="str">
        <f>IFERROR(VLOOKUP($C239,'_METADATA_TEMPLATE'!$B$2:$H$826,5,FALSE),"")</f>
        <v/>
      </c>
      <c r="G239" s="3" t="str">
        <f>IFERROR(VLOOKUP($C239,'_METADATA_TEMPLATE'!$B$2:$H$826,6,FALSE),"")</f>
        <v/>
      </c>
      <c r="H239" s="3" t="str">
        <f>IFERROR(VLOOKUP($C239,'_METADATA_TEMPLATE'!$B$2:$H$826,7,FALSE),"")</f>
        <v/>
      </c>
      <c r="I239" s="3" t="str">
        <f>IFERROR(VLOOKUP(C239,'_METADATA_DEFAULT'!$A:$B,2,FALSE),"")</f>
        <v/>
      </c>
    </row>
    <row r="240" ht="15.75" customHeight="1">
      <c r="A240" s="2" t="s">
        <v>373</v>
      </c>
      <c r="B240" s="2" t="s">
        <v>43</v>
      </c>
      <c r="C240" s="2" t="s">
        <v>43</v>
      </c>
      <c r="D240" s="2" t="str">
        <f>IFERROR(VLOOKUP($C240,'_METADATA_TEMPLATE'!$B$2:$H$826,2,FALSE),"")</f>
        <v/>
      </c>
      <c r="E240" s="2" t="str">
        <f>IFERROR(VLOOKUP($C240,'_METADATA_TEMPLATE'!$B$2:$H$826,4,FALSE),"")</f>
        <v/>
      </c>
      <c r="F240" s="2" t="str">
        <f>IFERROR(VLOOKUP($C240,'_METADATA_TEMPLATE'!$B$2:$H$826,5,FALSE),"")</f>
        <v/>
      </c>
      <c r="G240" s="2" t="str">
        <f>IFERROR(VLOOKUP($C240,'_METADATA_TEMPLATE'!$B$2:$H$826,6,FALSE),"")</f>
        <v/>
      </c>
      <c r="H240" s="2" t="str">
        <f>IFERROR(VLOOKUP($C240,'_METADATA_TEMPLATE'!$B$2:$H$826,7,FALSE),"")</f>
        <v/>
      </c>
      <c r="I240" s="2" t="str">
        <f>IFERROR(VLOOKUP(C240,'_METADATA_DEFAULT'!$A:$B,2,FALSE),"")</f>
        <v>Tanggal Assignment Terakhir Diubah</v>
      </c>
    </row>
    <row r="241" ht="15.75" customHeight="1">
      <c r="A241" s="3" t="s">
        <v>373</v>
      </c>
      <c r="B241" s="3" t="s">
        <v>21</v>
      </c>
      <c r="C241" s="3" t="s">
        <v>21</v>
      </c>
      <c r="D241" s="3" t="str">
        <f>IFERROR(VLOOKUP($C241,'_METADATA_TEMPLATE'!$B$2:$H$826,2,FALSE),"")</f>
        <v/>
      </c>
      <c r="E241" s="3" t="str">
        <f>IFERROR(VLOOKUP($C241,'_METADATA_TEMPLATE'!$B$2:$H$826,4,FALSE),"")</f>
        <v/>
      </c>
      <c r="F241" s="3" t="str">
        <f>IFERROR(VLOOKUP($C241,'_METADATA_TEMPLATE'!$B$2:$H$826,5,FALSE),"")</f>
        <v/>
      </c>
      <c r="G241" s="3" t="str">
        <f>IFERROR(VLOOKUP($C241,'_METADATA_TEMPLATE'!$B$2:$H$826,6,FALSE),"")</f>
        <v/>
      </c>
      <c r="H241" s="3" t="str">
        <f>IFERROR(VLOOKUP($C241,'_METADATA_TEMPLATE'!$B$2:$H$826,7,FALSE),"")</f>
        <v/>
      </c>
      <c r="I241" s="3" t="str">
        <f>IFERROR(VLOOKUP(C241,'_METADATA_DEFAULT'!$A:$B,2,FALSE),"")</f>
        <v>ID Assignment + Timestamp</v>
      </c>
    </row>
    <row r="242" ht="15.75" customHeight="1">
      <c r="A242" s="2" t="s">
        <v>373</v>
      </c>
      <c r="B242" s="2" t="s">
        <v>153</v>
      </c>
      <c r="C242" s="2" t="s">
        <v>153</v>
      </c>
      <c r="D242" s="2" t="str">
        <f>IFERROR(VLOOKUP($C242,'_METADATA_TEMPLATE'!$B$2:$H$826,2,FALSE),"")</f>
        <v/>
      </c>
      <c r="E242" s="2" t="str">
        <f>IFERROR(VLOOKUP($C242,'_METADATA_TEMPLATE'!$B$2:$H$826,4,FALSE),"")</f>
        <v/>
      </c>
      <c r="F242" s="2" t="str">
        <f>IFERROR(VLOOKUP($C242,'_METADATA_TEMPLATE'!$B$2:$H$826,5,FALSE),"")</f>
        <v/>
      </c>
      <c r="G242" s="2" t="str">
        <f>IFERROR(VLOOKUP($C242,'_METADATA_TEMPLATE'!$B$2:$H$826,6,FALSE),"")</f>
        <v/>
      </c>
      <c r="H242" s="2" t="str">
        <f>IFERROR(VLOOKUP($C242,'_METADATA_TEMPLATE'!$B$2:$H$826,7,FALSE),"")</f>
        <v/>
      </c>
      <c r="I242" s="2" t="str">
        <f>IFERROR(VLOOKUP(C242,'_METADATA_DEFAULT'!$A:$B,2,FALSE),"")</f>
        <v>1 = Assignment Tambahan, 0 = Assignment Prelist</v>
      </c>
    </row>
    <row r="243" ht="15.75" customHeight="1">
      <c r="A243" s="3" t="s">
        <v>373</v>
      </c>
      <c r="B243" s="3" t="s">
        <v>42</v>
      </c>
      <c r="C243" s="3" t="s">
        <v>42</v>
      </c>
      <c r="D243" s="3" t="str">
        <f>IFERROR(VLOOKUP($C243,'_METADATA_TEMPLATE'!$B$2:$H$826,2,FALSE),"")</f>
        <v/>
      </c>
      <c r="E243" s="3" t="str">
        <f>IFERROR(VLOOKUP($C243,'_METADATA_TEMPLATE'!$B$2:$H$826,4,FALSE),"")</f>
        <v/>
      </c>
      <c r="F243" s="3" t="str">
        <f>IFERROR(VLOOKUP($C243,'_METADATA_TEMPLATE'!$B$2:$H$826,5,FALSE),"")</f>
        <v/>
      </c>
      <c r="G243" s="3" t="str">
        <f>IFERROR(VLOOKUP($C243,'_METADATA_TEMPLATE'!$B$2:$H$826,6,FALSE),"")</f>
        <v/>
      </c>
      <c r="H243" s="3" t="str">
        <f>IFERROR(VLOOKUP($C243,'_METADATA_TEMPLATE'!$B$2:$H$826,7,FALSE),"")</f>
        <v/>
      </c>
      <c r="I243" s="3" t="str">
        <f>IFERROR(VLOOKUP(C243,'_METADATA_DEFAULT'!$A:$B,2,FALSE),"")</f>
        <v>Status Assignment</v>
      </c>
    </row>
    <row r="244" ht="15.75" customHeight="1">
      <c r="A244" s="2" t="s">
        <v>373</v>
      </c>
      <c r="B244" s="2" t="s">
        <v>47</v>
      </c>
      <c r="C244" s="2" t="s">
        <v>47</v>
      </c>
      <c r="D244" s="2" t="str">
        <f>IFERROR(VLOOKUP($C244,'_METADATA_TEMPLATE'!$B$2:$H$826,2,FALSE),"")</f>
        <v/>
      </c>
      <c r="E244" s="2" t="str">
        <f>IFERROR(VLOOKUP($C244,'_METADATA_TEMPLATE'!$B$2:$H$826,4,FALSE),"")</f>
        <v/>
      </c>
      <c r="F244" s="2" t="str">
        <f>IFERROR(VLOOKUP($C244,'_METADATA_TEMPLATE'!$B$2:$H$826,5,FALSE),"")</f>
        <v/>
      </c>
      <c r="G244" s="2" t="str">
        <f>IFERROR(VLOOKUP($C244,'_METADATA_TEMPLATE'!$B$2:$H$826,6,FALSE),"")</f>
        <v/>
      </c>
      <c r="H244" s="2" t="str">
        <f>IFERROR(VLOOKUP($C244,'_METADATA_TEMPLATE'!$B$2:$H$826,7,FALSE),"")</f>
        <v/>
      </c>
      <c r="I244" s="2" t="str">
        <f>IFERROR(VLOOKUP(C244,'_METADATA_DEFAULT'!$A:$B,2,FALSE),"")</f>
        <v>ID Status Assignment</v>
      </c>
    </row>
    <row r="245" ht="15.75" customHeight="1">
      <c r="A245" s="3" t="s">
        <v>373</v>
      </c>
      <c r="B245" s="3" t="s">
        <v>1516</v>
      </c>
      <c r="C245" s="3" t="s">
        <v>1516</v>
      </c>
      <c r="D245" s="3" t="str">
        <f>IFERROR(VLOOKUP($C245,'_METADATA_TEMPLATE'!$B$2:$H$826,2,FALSE),"")</f>
        <v/>
      </c>
      <c r="E245" s="3" t="str">
        <f>IFERROR(VLOOKUP($C245,'_METADATA_TEMPLATE'!$B$2:$H$826,4,FALSE),"")</f>
        <v/>
      </c>
      <c r="F245" s="3" t="str">
        <f>IFERROR(VLOOKUP($C245,'_METADATA_TEMPLATE'!$B$2:$H$826,5,FALSE),"")</f>
        <v/>
      </c>
      <c r="G245" s="3" t="str">
        <f>IFERROR(VLOOKUP($C245,'_METADATA_TEMPLATE'!$B$2:$H$826,6,FALSE),"")</f>
        <v/>
      </c>
      <c r="H245" s="3" t="str">
        <f>IFERROR(VLOOKUP($C245,'_METADATA_TEMPLATE'!$B$2:$H$826,7,FALSE),"")</f>
        <v/>
      </c>
      <c r="I245" s="3" t="str">
        <f>IFERROR(VLOOKUP(C245,'_METADATA_DEFAULT'!$A:$B,2,FALSE),"")</f>
        <v/>
      </c>
    </row>
    <row r="246" ht="15.75" customHeight="1">
      <c r="A246" s="2" t="s">
        <v>373</v>
      </c>
      <c r="B246" s="2" t="s">
        <v>26</v>
      </c>
      <c r="C246" s="2" t="s">
        <v>26</v>
      </c>
      <c r="D246" s="2" t="str">
        <f>IFERROR(VLOOKUP($C246,'_METADATA_TEMPLATE'!$B$2:$H$826,2,FALSE),"")</f>
        <v/>
      </c>
      <c r="E246" s="2" t="str">
        <f>IFERROR(VLOOKUP($C246,'_METADATA_TEMPLATE'!$B$2:$H$826,4,FALSE),"")</f>
        <v/>
      </c>
      <c r="F246" s="2" t="str">
        <f>IFERROR(VLOOKUP($C246,'_METADATA_TEMPLATE'!$B$2:$H$826,5,FALSE),"")</f>
        <v/>
      </c>
      <c r="G246" s="2" t="str">
        <f>IFERROR(VLOOKUP($C246,'_METADATA_TEMPLATE'!$B$2:$H$826,6,FALSE),"")</f>
        <v/>
      </c>
      <c r="H246" s="2" t="str">
        <f>IFERROR(VLOOKUP($C246,'_METADATA_TEMPLATE'!$B$2:$H$826,7,FALSE),"")</f>
        <v/>
      </c>
      <c r="I246" s="2" t="str">
        <f>IFERROR(VLOOKUP(C246,'_METADATA_DEFAULT'!$A:$B,2,FALSE),"")</f>
        <v>1 = Aktif, 0 = Dihapus</v>
      </c>
    </row>
    <row r="247" ht="15.75" customHeight="1">
      <c r="A247" s="3" t="s">
        <v>373</v>
      </c>
      <c r="B247" s="3" t="s">
        <v>137</v>
      </c>
      <c r="C247" s="3" t="s">
        <v>137</v>
      </c>
      <c r="D247" s="3" t="str">
        <f>IFERROR(VLOOKUP($C247,'_METADATA_TEMPLATE'!$B$2:$H$826,2,FALSE),"")</f>
        <v/>
      </c>
      <c r="E247" s="3" t="str">
        <f>IFERROR(VLOOKUP($C247,'_METADATA_TEMPLATE'!$B$2:$H$826,4,FALSE),"")</f>
        <v/>
      </c>
      <c r="F247" s="3" t="str">
        <f>IFERROR(VLOOKUP($C247,'_METADATA_TEMPLATE'!$B$2:$H$826,5,FALSE),"")</f>
        <v/>
      </c>
      <c r="G247" s="3" t="str">
        <f>IFERROR(VLOOKUP($C247,'_METADATA_TEMPLATE'!$B$2:$H$826,6,FALSE),"")</f>
        <v/>
      </c>
      <c r="H247" s="3" t="str">
        <f>IFERROR(VLOOKUP($C247,'_METADATA_TEMPLATE'!$B$2:$H$826,7,FALSE),"")</f>
        <v/>
      </c>
      <c r="I247" s="3" t="str">
        <f>IFERROR(VLOOKUP(C247,'_METADATA_DEFAULT'!$A:$B,2,FALSE),"")</f>
        <v>Kode Provinsi</v>
      </c>
    </row>
    <row r="248" ht="15.75" customHeight="1">
      <c r="A248" s="2" t="s">
        <v>373</v>
      </c>
      <c r="B248" s="2" t="s">
        <v>141</v>
      </c>
      <c r="C248" s="2" t="s">
        <v>141</v>
      </c>
      <c r="D248" s="2" t="str">
        <f>IFERROR(VLOOKUP($C248,'_METADATA_TEMPLATE'!$B$2:$H$826,2,FALSE),"")</f>
        <v/>
      </c>
      <c r="E248" s="2" t="str">
        <f>IFERROR(VLOOKUP($C248,'_METADATA_TEMPLATE'!$B$2:$H$826,4,FALSE),"")</f>
        <v/>
      </c>
      <c r="F248" s="2" t="str">
        <f>IFERROR(VLOOKUP($C248,'_METADATA_TEMPLATE'!$B$2:$H$826,5,FALSE),"")</f>
        <v/>
      </c>
      <c r="G248" s="2" t="str">
        <f>IFERROR(VLOOKUP($C248,'_METADATA_TEMPLATE'!$B$2:$H$826,6,FALSE),"")</f>
        <v/>
      </c>
      <c r="H248" s="2" t="str">
        <f>IFERROR(VLOOKUP($C248,'_METADATA_TEMPLATE'!$B$2:$H$826,7,FALSE),"")</f>
        <v/>
      </c>
      <c r="I248" s="2" t="str">
        <f>IFERROR(VLOOKUP(C248,'_METADATA_DEFAULT'!$A:$B,2,FALSE),"")</f>
        <v>Provinsi</v>
      </c>
    </row>
    <row r="249" ht="15.75" customHeight="1">
      <c r="A249" s="3" t="s">
        <v>373</v>
      </c>
      <c r="B249" s="3" t="s">
        <v>145</v>
      </c>
      <c r="C249" s="3" t="s">
        <v>145</v>
      </c>
      <c r="D249" s="3" t="str">
        <f>IFERROR(VLOOKUP($C249,'_METADATA_TEMPLATE'!$B$2:$H$826,2,FALSE),"")</f>
        <v/>
      </c>
      <c r="E249" s="3" t="str">
        <f>IFERROR(VLOOKUP($C249,'_METADATA_TEMPLATE'!$B$2:$H$826,4,FALSE),"")</f>
        <v/>
      </c>
      <c r="F249" s="3" t="str">
        <f>IFERROR(VLOOKUP($C249,'_METADATA_TEMPLATE'!$B$2:$H$826,5,FALSE),"")</f>
        <v/>
      </c>
      <c r="G249" s="3" t="str">
        <f>IFERROR(VLOOKUP($C249,'_METADATA_TEMPLATE'!$B$2:$H$826,6,FALSE),"")</f>
        <v/>
      </c>
      <c r="H249" s="3" t="str">
        <f>IFERROR(VLOOKUP($C249,'_METADATA_TEMPLATE'!$B$2:$H$826,7,FALSE),"")</f>
        <v/>
      </c>
      <c r="I249" s="3" t="str">
        <f>IFERROR(VLOOKUP(C249,'_METADATA_DEFAULT'!$A:$B,2,FALSE),"")</f>
        <v/>
      </c>
    </row>
    <row r="250" ht="15.75" customHeight="1">
      <c r="A250" s="2" t="s">
        <v>373</v>
      </c>
      <c r="B250" s="2" t="s">
        <v>149</v>
      </c>
      <c r="C250" s="2" t="s">
        <v>149</v>
      </c>
      <c r="D250" s="2" t="str">
        <f>IFERROR(VLOOKUP($C250,'_METADATA_TEMPLATE'!$B$2:$H$826,2,FALSE),"")</f>
        <v/>
      </c>
      <c r="E250" s="2" t="str">
        <f>IFERROR(VLOOKUP($C250,'_METADATA_TEMPLATE'!$B$2:$H$826,4,FALSE),"")</f>
        <v/>
      </c>
      <c r="F250" s="2" t="str">
        <f>IFERROR(VLOOKUP($C250,'_METADATA_TEMPLATE'!$B$2:$H$826,5,FALSE),"")</f>
        <v/>
      </c>
      <c r="G250" s="2" t="str">
        <f>IFERROR(VLOOKUP($C250,'_METADATA_TEMPLATE'!$B$2:$H$826,6,FALSE),"")</f>
        <v/>
      </c>
      <c r="H250" s="2" t="str">
        <f>IFERROR(VLOOKUP($C250,'_METADATA_TEMPLATE'!$B$2:$H$826,7,FALSE),"")</f>
        <v/>
      </c>
      <c r="I250" s="2" t="str">
        <f>IFERROR(VLOOKUP(C250,'_METADATA_DEFAULT'!$A:$B,2,FALSE),"")</f>
        <v/>
      </c>
    </row>
    <row r="251" ht="15.75" customHeight="1">
      <c r="A251" s="3" t="s">
        <v>373</v>
      </c>
      <c r="B251" s="3" t="s">
        <v>157</v>
      </c>
      <c r="C251" s="3" t="s">
        <v>157</v>
      </c>
      <c r="D251" s="3" t="str">
        <f>IFERROR(VLOOKUP($C251,'_METADATA_TEMPLATE'!$B$2:$H$826,2,FALSE),"")</f>
        <v/>
      </c>
      <c r="E251" s="3" t="str">
        <f>IFERROR(VLOOKUP($C251,'_METADATA_TEMPLATE'!$B$2:$H$826,4,FALSE),"")</f>
        <v/>
      </c>
      <c r="F251" s="3" t="str">
        <f>IFERROR(VLOOKUP($C251,'_METADATA_TEMPLATE'!$B$2:$H$826,5,FALSE),"")</f>
        <v/>
      </c>
      <c r="G251" s="3" t="str">
        <f>IFERROR(VLOOKUP($C251,'_METADATA_TEMPLATE'!$B$2:$H$826,6,FALSE),"")</f>
        <v/>
      </c>
      <c r="H251" s="3" t="str">
        <f>IFERROR(VLOOKUP($C251,'_METADATA_TEMPLATE'!$B$2:$H$826,7,FALSE),"")</f>
        <v/>
      </c>
      <c r="I251" s="3" t="str">
        <f>IFERROR(VLOOKUP(C251,'_METADATA_DEFAULT'!$A:$B,2,FALSE),"")</f>
        <v/>
      </c>
    </row>
    <row r="252" ht="15.75" customHeight="1">
      <c r="A252" s="2" t="s">
        <v>373</v>
      </c>
      <c r="B252" s="2" t="s">
        <v>161</v>
      </c>
      <c r="C252" s="2" t="s">
        <v>161</v>
      </c>
      <c r="D252" s="2" t="str">
        <f>IFERROR(VLOOKUP($C252,'_METADATA_TEMPLATE'!$B$2:$H$826,2,FALSE),"")</f>
        <v/>
      </c>
      <c r="E252" s="2" t="str">
        <f>IFERROR(VLOOKUP($C252,'_METADATA_TEMPLATE'!$B$2:$H$826,4,FALSE),"")</f>
        <v/>
      </c>
      <c r="F252" s="2" t="str">
        <f>IFERROR(VLOOKUP($C252,'_METADATA_TEMPLATE'!$B$2:$H$826,5,FALSE),"")</f>
        <v/>
      </c>
      <c r="G252" s="2" t="str">
        <f>IFERROR(VLOOKUP($C252,'_METADATA_TEMPLATE'!$B$2:$H$826,6,FALSE),"")</f>
        <v/>
      </c>
      <c r="H252" s="2" t="str">
        <f>IFERROR(VLOOKUP($C252,'_METADATA_TEMPLATE'!$B$2:$H$826,7,FALSE),"")</f>
        <v/>
      </c>
      <c r="I252" s="2" t="str">
        <f>IFERROR(VLOOKUP(C252,'_METADATA_DEFAULT'!$A:$B,2,FALSE),"")</f>
        <v>Kode Kabupaten/Kota</v>
      </c>
    </row>
    <row r="253" ht="15.75" customHeight="1">
      <c r="A253" s="3" t="s">
        <v>373</v>
      </c>
      <c r="B253" s="3" t="s">
        <v>165</v>
      </c>
      <c r="C253" s="3" t="s">
        <v>165</v>
      </c>
      <c r="D253" s="3" t="str">
        <f>IFERROR(VLOOKUP($C253,'_METADATA_TEMPLATE'!$B$2:$H$826,2,FALSE),"")</f>
        <v/>
      </c>
      <c r="E253" s="3" t="str">
        <f>IFERROR(VLOOKUP($C253,'_METADATA_TEMPLATE'!$B$2:$H$826,4,FALSE),"")</f>
        <v/>
      </c>
      <c r="F253" s="3" t="str">
        <f>IFERROR(VLOOKUP($C253,'_METADATA_TEMPLATE'!$B$2:$H$826,5,FALSE),"")</f>
        <v/>
      </c>
      <c r="G253" s="3" t="str">
        <f>IFERROR(VLOOKUP($C253,'_METADATA_TEMPLATE'!$B$2:$H$826,6,FALSE),"")</f>
        <v/>
      </c>
      <c r="H253" s="3" t="str">
        <f>IFERROR(VLOOKUP($C253,'_METADATA_TEMPLATE'!$B$2:$H$826,7,FALSE),"")</f>
        <v/>
      </c>
      <c r="I253" s="3" t="str">
        <f>IFERROR(VLOOKUP(C253,'_METADATA_DEFAULT'!$A:$B,2,FALSE),"")</f>
        <v>Kabupaten/Kota</v>
      </c>
    </row>
    <row r="254" ht="15.75" customHeight="1">
      <c r="A254" s="2" t="s">
        <v>373</v>
      </c>
      <c r="B254" s="2" t="s">
        <v>168</v>
      </c>
      <c r="C254" s="2" t="s">
        <v>168</v>
      </c>
      <c r="D254" s="2" t="str">
        <f>IFERROR(VLOOKUP($C254,'_METADATA_TEMPLATE'!$B$2:$H$826,2,FALSE),"")</f>
        <v/>
      </c>
      <c r="E254" s="2" t="str">
        <f>IFERROR(VLOOKUP($C254,'_METADATA_TEMPLATE'!$B$2:$H$826,4,FALSE),"")</f>
        <v/>
      </c>
      <c r="F254" s="2" t="str">
        <f>IFERROR(VLOOKUP($C254,'_METADATA_TEMPLATE'!$B$2:$H$826,5,FALSE),"")</f>
        <v/>
      </c>
      <c r="G254" s="2" t="str">
        <f>IFERROR(VLOOKUP($C254,'_METADATA_TEMPLATE'!$B$2:$H$826,6,FALSE),"")</f>
        <v/>
      </c>
      <c r="H254" s="2" t="str">
        <f>IFERROR(VLOOKUP($C254,'_METADATA_TEMPLATE'!$B$2:$H$826,7,FALSE),"")</f>
        <v/>
      </c>
      <c r="I254" s="2" t="str">
        <f>IFERROR(VLOOKUP(C254,'_METADATA_DEFAULT'!$A:$B,2,FALSE),"")</f>
        <v>Kode Kecamatan</v>
      </c>
    </row>
    <row r="255" ht="15.75" customHeight="1">
      <c r="A255" s="3" t="s">
        <v>373</v>
      </c>
      <c r="B255" s="3" t="s">
        <v>172</v>
      </c>
      <c r="C255" s="3" t="s">
        <v>172</v>
      </c>
      <c r="D255" s="3" t="str">
        <f>IFERROR(VLOOKUP($C255,'_METADATA_TEMPLATE'!$B$2:$H$826,2,FALSE),"")</f>
        <v/>
      </c>
      <c r="E255" s="3" t="str">
        <f>IFERROR(VLOOKUP($C255,'_METADATA_TEMPLATE'!$B$2:$H$826,4,FALSE),"")</f>
        <v/>
      </c>
      <c r="F255" s="3" t="str">
        <f>IFERROR(VLOOKUP($C255,'_METADATA_TEMPLATE'!$B$2:$H$826,5,FALSE),"")</f>
        <v/>
      </c>
      <c r="G255" s="3" t="str">
        <f>IFERROR(VLOOKUP($C255,'_METADATA_TEMPLATE'!$B$2:$H$826,6,FALSE),"")</f>
        <v/>
      </c>
      <c r="H255" s="3" t="str">
        <f>IFERROR(VLOOKUP($C255,'_METADATA_TEMPLATE'!$B$2:$H$826,7,FALSE),"")</f>
        <v/>
      </c>
      <c r="I255" s="3" t="str">
        <f>IFERROR(VLOOKUP(C255,'_METADATA_DEFAULT'!$A:$B,2,FALSE),"")</f>
        <v>Kode Lengkap Kecamatan</v>
      </c>
    </row>
    <row r="256" ht="15.75" customHeight="1">
      <c r="A256" s="2" t="s">
        <v>373</v>
      </c>
      <c r="B256" s="2" t="s">
        <v>176</v>
      </c>
      <c r="C256" s="2" t="s">
        <v>176</v>
      </c>
      <c r="D256" s="2" t="str">
        <f>IFERROR(VLOOKUP($C256,'_METADATA_TEMPLATE'!$B$2:$H$826,2,FALSE),"")</f>
        <v/>
      </c>
      <c r="E256" s="2" t="str">
        <f>IFERROR(VLOOKUP($C256,'_METADATA_TEMPLATE'!$B$2:$H$826,4,FALSE),"")</f>
        <v/>
      </c>
      <c r="F256" s="2" t="str">
        <f>IFERROR(VLOOKUP($C256,'_METADATA_TEMPLATE'!$B$2:$H$826,5,FALSE),"")</f>
        <v/>
      </c>
      <c r="G256" s="2" t="str">
        <f>IFERROR(VLOOKUP($C256,'_METADATA_TEMPLATE'!$B$2:$H$826,6,FALSE),"")</f>
        <v/>
      </c>
      <c r="H256" s="2" t="str">
        <f>IFERROR(VLOOKUP($C256,'_METADATA_TEMPLATE'!$B$2:$H$826,7,FALSE),"")</f>
        <v/>
      </c>
      <c r="I256" s="2" t="str">
        <f>IFERROR(VLOOKUP(C256,'_METADATA_DEFAULT'!$A:$B,2,FALSE),"")</f>
        <v>Kecamatan</v>
      </c>
    </row>
    <row r="257" ht="15.75" customHeight="1">
      <c r="A257" s="3" t="s">
        <v>373</v>
      </c>
      <c r="B257" s="3" t="s">
        <v>181</v>
      </c>
      <c r="C257" s="3" t="s">
        <v>181</v>
      </c>
      <c r="D257" s="3" t="str">
        <f>IFERROR(VLOOKUP($C257,'_METADATA_TEMPLATE'!$B$2:$H$826,2,FALSE),"")</f>
        <v/>
      </c>
      <c r="E257" s="3" t="str">
        <f>IFERROR(VLOOKUP($C257,'_METADATA_TEMPLATE'!$B$2:$H$826,4,FALSE),"")</f>
        <v/>
      </c>
      <c r="F257" s="3" t="str">
        <f>IFERROR(VLOOKUP($C257,'_METADATA_TEMPLATE'!$B$2:$H$826,5,FALSE),"")</f>
        <v/>
      </c>
      <c r="G257" s="3" t="str">
        <f>IFERROR(VLOOKUP($C257,'_METADATA_TEMPLATE'!$B$2:$H$826,6,FALSE),"")</f>
        <v/>
      </c>
      <c r="H257" s="3" t="str">
        <f>IFERROR(VLOOKUP($C257,'_METADATA_TEMPLATE'!$B$2:$H$826,7,FALSE),"")</f>
        <v/>
      </c>
      <c r="I257" s="3" t="str">
        <f>IFERROR(VLOOKUP(C257,'_METADATA_DEFAULT'!$A:$B,2,FALSE),"")</f>
        <v>Kode Kelurahan/Desa</v>
      </c>
    </row>
    <row r="258" ht="15.75" customHeight="1">
      <c r="A258" s="2" t="s">
        <v>373</v>
      </c>
      <c r="B258" s="2" t="s">
        <v>184</v>
      </c>
      <c r="C258" s="2" t="s">
        <v>184</v>
      </c>
      <c r="D258" s="2" t="str">
        <f>IFERROR(VLOOKUP($C258,'_METADATA_TEMPLATE'!$B$2:$H$826,2,FALSE),"")</f>
        <v/>
      </c>
      <c r="E258" s="2" t="str">
        <f>IFERROR(VLOOKUP($C258,'_METADATA_TEMPLATE'!$B$2:$H$826,4,FALSE),"")</f>
        <v/>
      </c>
      <c r="F258" s="2" t="str">
        <f>IFERROR(VLOOKUP($C258,'_METADATA_TEMPLATE'!$B$2:$H$826,5,FALSE),"")</f>
        <v/>
      </c>
      <c r="G258" s="2" t="str">
        <f>IFERROR(VLOOKUP($C258,'_METADATA_TEMPLATE'!$B$2:$H$826,6,FALSE),"")</f>
        <v/>
      </c>
      <c r="H258" s="2" t="str">
        <f>IFERROR(VLOOKUP($C258,'_METADATA_TEMPLATE'!$B$2:$H$826,7,FALSE),"")</f>
        <v/>
      </c>
      <c r="I258" s="2" t="str">
        <f>IFERROR(VLOOKUP(C258,'_METADATA_DEFAULT'!$A:$B,2,FALSE),"")</f>
        <v>Kode Lengkap Kelurahan/Desa</v>
      </c>
    </row>
    <row r="259" ht="15.75" customHeight="1">
      <c r="A259" s="3" t="s">
        <v>373</v>
      </c>
      <c r="B259" s="3" t="s">
        <v>188</v>
      </c>
      <c r="C259" s="3" t="s">
        <v>188</v>
      </c>
      <c r="D259" s="3" t="str">
        <f>IFERROR(VLOOKUP($C259,'_METADATA_TEMPLATE'!$B$2:$H$826,2,FALSE),"")</f>
        <v/>
      </c>
      <c r="E259" s="3" t="str">
        <f>IFERROR(VLOOKUP($C259,'_METADATA_TEMPLATE'!$B$2:$H$826,4,FALSE),"")</f>
        <v/>
      </c>
      <c r="F259" s="3" t="str">
        <f>IFERROR(VLOOKUP($C259,'_METADATA_TEMPLATE'!$B$2:$H$826,5,FALSE),"")</f>
        <v/>
      </c>
      <c r="G259" s="3" t="str">
        <f>IFERROR(VLOOKUP($C259,'_METADATA_TEMPLATE'!$B$2:$H$826,6,FALSE),"")</f>
        <v/>
      </c>
      <c r="H259" s="3" t="str">
        <f>IFERROR(VLOOKUP($C259,'_METADATA_TEMPLATE'!$B$2:$H$826,7,FALSE),"")</f>
        <v/>
      </c>
      <c r="I259" s="3" t="str">
        <f>IFERROR(VLOOKUP(C259,'_METADATA_DEFAULT'!$A:$B,2,FALSE),"")</f>
        <v>Kelurahan/Desa</v>
      </c>
    </row>
    <row r="260" ht="15.75" customHeight="1">
      <c r="A260" s="2" t="s">
        <v>373</v>
      </c>
      <c r="B260" s="2" t="s">
        <v>191</v>
      </c>
      <c r="C260" s="2" t="s">
        <v>191</v>
      </c>
      <c r="D260" s="2" t="str">
        <f>IFERROR(VLOOKUP($C260,'_METADATA_TEMPLATE'!$B$2:$H$826,2,FALSE),"")</f>
        <v/>
      </c>
      <c r="E260" s="2" t="str">
        <f>IFERROR(VLOOKUP($C260,'_METADATA_TEMPLATE'!$B$2:$H$826,4,FALSE),"")</f>
        <v/>
      </c>
      <c r="F260" s="2" t="str">
        <f>IFERROR(VLOOKUP($C260,'_METADATA_TEMPLATE'!$B$2:$H$826,5,FALSE),"")</f>
        <v/>
      </c>
      <c r="G260" s="2" t="str">
        <f>IFERROR(VLOOKUP($C260,'_METADATA_TEMPLATE'!$B$2:$H$826,6,FALSE),"")</f>
        <v/>
      </c>
      <c r="H260" s="2" t="str">
        <f>IFERROR(VLOOKUP($C260,'_METADATA_TEMPLATE'!$B$2:$H$826,7,FALSE),"")</f>
        <v/>
      </c>
      <c r="I260" s="2" t="str">
        <f>IFERROR(VLOOKUP(C260,'_METADATA_DEFAULT'!$A:$B,2,FALSE),"")</f>
        <v>Kode SLS</v>
      </c>
    </row>
    <row r="261" ht="15.75" customHeight="1">
      <c r="A261" s="3" t="s">
        <v>373</v>
      </c>
      <c r="B261" s="3" t="s">
        <v>194</v>
      </c>
      <c r="C261" s="3" t="s">
        <v>194</v>
      </c>
      <c r="D261" s="3" t="str">
        <f>IFERROR(VLOOKUP($C261,'_METADATA_TEMPLATE'!$B$2:$H$826,2,FALSE),"")</f>
        <v/>
      </c>
      <c r="E261" s="3" t="str">
        <f>IFERROR(VLOOKUP($C261,'_METADATA_TEMPLATE'!$B$2:$H$826,4,FALSE),"")</f>
        <v/>
      </c>
      <c r="F261" s="3" t="str">
        <f>IFERROR(VLOOKUP($C261,'_METADATA_TEMPLATE'!$B$2:$H$826,5,FALSE),"")</f>
        <v/>
      </c>
      <c r="G261" s="3" t="str">
        <f>IFERROR(VLOOKUP($C261,'_METADATA_TEMPLATE'!$B$2:$H$826,6,FALSE),"")</f>
        <v/>
      </c>
      <c r="H261" s="3" t="str">
        <f>IFERROR(VLOOKUP($C261,'_METADATA_TEMPLATE'!$B$2:$H$826,7,FALSE),"")</f>
        <v/>
      </c>
      <c r="I261" s="3" t="str">
        <f>IFERROR(VLOOKUP(C261,'_METADATA_DEFAULT'!$A:$B,2,FALSE),"")</f>
        <v>Kode Lengkap SLS</v>
      </c>
    </row>
    <row r="262" ht="15.75" customHeight="1">
      <c r="A262" s="2" t="s">
        <v>373</v>
      </c>
      <c r="B262" s="2" t="s">
        <v>197</v>
      </c>
      <c r="C262" s="2" t="s">
        <v>197</v>
      </c>
      <c r="D262" s="2" t="str">
        <f>IFERROR(VLOOKUP($C262,'_METADATA_TEMPLATE'!$B$2:$H$826,2,FALSE),"")</f>
        <v/>
      </c>
      <c r="E262" s="2" t="str">
        <f>IFERROR(VLOOKUP($C262,'_METADATA_TEMPLATE'!$B$2:$H$826,4,FALSE),"")</f>
        <v/>
      </c>
      <c r="F262" s="2" t="str">
        <f>IFERROR(VLOOKUP($C262,'_METADATA_TEMPLATE'!$B$2:$H$826,5,FALSE),"")</f>
        <v/>
      </c>
      <c r="G262" s="2" t="str">
        <f>IFERROR(VLOOKUP($C262,'_METADATA_TEMPLATE'!$B$2:$H$826,6,FALSE),"")</f>
        <v/>
      </c>
      <c r="H262" s="2" t="str">
        <f>IFERROR(VLOOKUP($C262,'_METADATA_TEMPLATE'!$B$2:$H$826,7,FALSE),"")</f>
        <v/>
      </c>
      <c r="I262" s="2" t="str">
        <f>IFERROR(VLOOKUP(C262,'_METADATA_DEFAULT'!$A:$B,2,FALSE),"")</f>
        <v>SLS</v>
      </c>
    </row>
    <row r="263" ht="15.75" customHeight="1">
      <c r="A263" s="3" t="s">
        <v>373</v>
      </c>
      <c r="B263" s="3" t="s">
        <v>202</v>
      </c>
      <c r="C263" s="3" t="s">
        <v>202</v>
      </c>
      <c r="D263" s="3" t="str">
        <f>IFERROR(VLOOKUP($C263,'_METADATA_TEMPLATE'!$B$2:$H$826,2,FALSE),"")</f>
        <v/>
      </c>
      <c r="E263" s="3" t="str">
        <f>IFERROR(VLOOKUP($C263,'_METADATA_TEMPLATE'!$B$2:$H$826,4,FALSE),"")</f>
        <v/>
      </c>
      <c r="F263" s="3" t="str">
        <f>IFERROR(VLOOKUP($C263,'_METADATA_TEMPLATE'!$B$2:$H$826,5,FALSE),"")</f>
        <v/>
      </c>
      <c r="G263" s="3" t="str">
        <f>IFERROR(VLOOKUP($C263,'_METADATA_TEMPLATE'!$B$2:$H$826,6,FALSE),"")</f>
        <v/>
      </c>
      <c r="H263" s="3" t="str">
        <f>IFERROR(VLOOKUP($C263,'_METADATA_TEMPLATE'!$B$2:$H$826,7,FALSE),"")</f>
        <v/>
      </c>
      <c r="I263" s="3" t="str">
        <f>IFERROR(VLOOKUP(C263,'_METADATA_DEFAULT'!$A:$B,2,FALSE),"")</f>
        <v>Kode Sub-SLS</v>
      </c>
    </row>
    <row r="264" ht="15.75" customHeight="1">
      <c r="A264" s="2" t="s">
        <v>373</v>
      </c>
      <c r="B264" s="2" t="s">
        <v>206</v>
      </c>
      <c r="C264" s="2" t="s">
        <v>206</v>
      </c>
      <c r="D264" s="2" t="str">
        <f>IFERROR(VLOOKUP($C264,'_METADATA_TEMPLATE'!$B$2:$H$826,2,FALSE),"")</f>
        <v/>
      </c>
      <c r="E264" s="2" t="str">
        <f>IFERROR(VLOOKUP($C264,'_METADATA_TEMPLATE'!$B$2:$H$826,4,FALSE),"")</f>
        <v/>
      </c>
      <c r="F264" s="2" t="str">
        <f>IFERROR(VLOOKUP($C264,'_METADATA_TEMPLATE'!$B$2:$H$826,5,FALSE),"")</f>
        <v/>
      </c>
      <c r="G264" s="2" t="str">
        <f>IFERROR(VLOOKUP($C264,'_METADATA_TEMPLATE'!$B$2:$H$826,6,FALSE),"")</f>
        <v/>
      </c>
      <c r="H264" s="2" t="str">
        <f>IFERROR(VLOOKUP($C264,'_METADATA_TEMPLATE'!$B$2:$H$826,7,FALSE),"")</f>
        <v/>
      </c>
      <c r="I264" s="2" t="str">
        <f>IFERROR(VLOOKUP(C264,'_METADATA_DEFAULT'!$A:$B,2,FALSE),"")</f>
        <v>Kode Lengkap Sub-SLS</v>
      </c>
    </row>
    <row r="265" ht="15.75" customHeight="1">
      <c r="A265" s="3" t="s">
        <v>373</v>
      </c>
      <c r="B265" s="3" t="s">
        <v>209</v>
      </c>
      <c r="C265" s="3" t="s">
        <v>209</v>
      </c>
      <c r="D265" s="3" t="str">
        <f>IFERROR(VLOOKUP($C265,'_METADATA_TEMPLATE'!$B$2:$H$826,2,FALSE),"")</f>
        <v/>
      </c>
      <c r="E265" s="3" t="str">
        <f>IFERROR(VLOOKUP($C265,'_METADATA_TEMPLATE'!$B$2:$H$826,4,FALSE),"")</f>
        <v/>
      </c>
      <c r="F265" s="3" t="str">
        <f>IFERROR(VLOOKUP($C265,'_METADATA_TEMPLATE'!$B$2:$H$826,5,FALSE),"")</f>
        <v/>
      </c>
      <c r="G265" s="3" t="str">
        <f>IFERROR(VLOOKUP($C265,'_METADATA_TEMPLATE'!$B$2:$H$826,6,FALSE),"")</f>
        <v/>
      </c>
      <c r="H265" s="3" t="str">
        <f>IFERROR(VLOOKUP($C265,'_METADATA_TEMPLATE'!$B$2:$H$826,7,FALSE),"")</f>
        <v/>
      </c>
      <c r="I265" s="3" t="str">
        <f>IFERROR(VLOOKUP(C265,'_METADATA_DEFAULT'!$A:$B,2,FALSE),"")</f>
        <v>Sub-SLS</v>
      </c>
    </row>
    <row r="266" ht="15.75" customHeight="1">
      <c r="A266" s="2" t="s">
        <v>373</v>
      </c>
      <c r="B266" s="2" t="s">
        <v>211</v>
      </c>
      <c r="C266" s="2" t="s">
        <v>211</v>
      </c>
      <c r="D266" s="2" t="str">
        <f>IFERROR(VLOOKUP($C266,'_METADATA_TEMPLATE'!$B$2:$H$826,2,FALSE),"")</f>
        <v/>
      </c>
      <c r="E266" s="2" t="str">
        <f>IFERROR(VLOOKUP($C266,'_METADATA_TEMPLATE'!$B$2:$H$826,4,FALSE),"")</f>
        <v/>
      </c>
      <c r="F266" s="2" t="str">
        <f>IFERROR(VLOOKUP($C266,'_METADATA_TEMPLATE'!$B$2:$H$826,5,FALSE),"")</f>
        <v/>
      </c>
      <c r="G266" s="2" t="str">
        <f>IFERROR(VLOOKUP($C266,'_METADATA_TEMPLATE'!$B$2:$H$826,6,FALSE),"")</f>
        <v/>
      </c>
      <c r="H266" s="2" t="str">
        <f>IFERROR(VLOOKUP($C266,'_METADATA_TEMPLATE'!$B$2:$H$826,7,FALSE),"")</f>
        <v/>
      </c>
      <c r="I266" s="2" t="str">
        <f>IFERROR(VLOOKUP(C266,'_METADATA_DEFAULT'!$A:$B,2,FALSE),"")</f>
        <v/>
      </c>
    </row>
    <row r="267" ht="15.75" customHeight="1">
      <c r="A267" s="3" t="s">
        <v>373</v>
      </c>
      <c r="B267" s="3" t="s">
        <v>214</v>
      </c>
      <c r="C267" s="3" t="s">
        <v>214</v>
      </c>
      <c r="D267" s="3" t="str">
        <f>IFERROR(VLOOKUP($C267,'_METADATA_TEMPLATE'!$B$2:$H$826,2,FALSE),"")</f>
        <v/>
      </c>
      <c r="E267" s="3" t="str">
        <f>IFERROR(VLOOKUP($C267,'_METADATA_TEMPLATE'!$B$2:$H$826,4,FALSE),"")</f>
        <v/>
      </c>
      <c r="F267" s="3" t="str">
        <f>IFERROR(VLOOKUP($C267,'_METADATA_TEMPLATE'!$B$2:$H$826,5,FALSE),"")</f>
        <v/>
      </c>
      <c r="G267" s="3" t="str">
        <f>IFERROR(VLOOKUP($C267,'_METADATA_TEMPLATE'!$B$2:$H$826,6,FALSE),"")</f>
        <v/>
      </c>
      <c r="H267" s="3" t="str">
        <f>IFERROR(VLOOKUP($C267,'_METADATA_TEMPLATE'!$B$2:$H$826,7,FALSE),"")</f>
        <v/>
      </c>
      <c r="I267" s="3" t="str">
        <f>IFERROR(VLOOKUP(C267,'_METADATA_DEFAULT'!$A:$B,2,FALSE),"")</f>
        <v/>
      </c>
    </row>
    <row r="268" ht="15.75" customHeight="1">
      <c r="A268" s="2" t="s">
        <v>373</v>
      </c>
      <c r="B268" s="2" t="s">
        <v>216</v>
      </c>
      <c r="C268" s="2" t="s">
        <v>216</v>
      </c>
      <c r="D268" s="2" t="str">
        <f>IFERROR(VLOOKUP($C268,'_METADATA_TEMPLATE'!$B$2:$H$826,2,FALSE),"")</f>
        <v/>
      </c>
      <c r="E268" s="2" t="str">
        <f>IFERROR(VLOOKUP($C268,'_METADATA_TEMPLATE'!$B$2:$H$826,4,FALSE),"")</f>
        <v/>
      </c>
      <c r="F268" s="2" t="str">
        <f>IFERROR(VLOOKUP($C268,'_METADATA_TEMPLATE'!$B$2:$H$826,5,FALSE),"")</f>
        <v/>
      </c>
      <c r="G268" s="2" t="str">
        <f>IFERROR(VLOOKUP($C268,'_METADATA_TEMPLATE'!$B$2:$H$826,6,FALSE),"")</f>
        <v/>
      </c>
      <c r="H268" s="2" t="str">
        <f>IFERROR(VLOOKUP($C268,'_METADATA_TEMPLATE'!$B$2:$H$826,7,FALSE),"")</f>
        <v/>
      </c>
      <c r="I268" s="2" t="str">
        <f>IFERROR(VLOOKUP(C268,'_METADATA_DEFAULT'!$A:$B,2,FALSE),"")</f>
        <v/>
      </c>
    </row>
    <row r="269" ht="15.75" customHeight="1">
      <c r="A269" s="3" t="s">
        <v>373</v>
      </c>
      <c r="B269" s="3" t="s">
        <v>218</v>
      </c>
      <c r="C269" s="3" t="s">
        <v>218</v>
      </c>
      <c r="D269" s="3" t="str">
        <f>IFERROR(VLOOKUP($C269,'_METADATA_TEMPLATE'!$B$2:$H$826,2,FALSE),"")</f>
        <v/>
      </c>
      <c r="E269" s="3" t="str">
        <f>IFERROR(VLOOKUP($C269,'_METADATA_TEMPLATE'!$B$2:$H$826,4,FALSE),"")</f>
        <v/>
      </c>
      <c r="F269" s="3" t="str">
        <f>IFERROR(VLOOKUP($C269,'_METADATA_TEMPLATE'!$B$2:$H$826,5,FALSE),"")</f>
        <v/>
      </c>
      <c r="G269" s="3" t="str">
        <f>IFERROR(VLOOKUP($C269,'_METADATA_TEMPLATE'!$B$2:$H$826,6,FALSE),"")</f>
        <v/>
      </c>
      <c r="H269" s="3" t="str">
        <f>IFERROR(VLOOKUP($C269,'_METADATA_TEMPLATE'!$B$2:$H$826,7,FALSE),"")</f>
        <v/>
      </c>
      <c r="I269" s="3" t="str">
        <f>IFERROR(VLOOKUP(C269,'_METADATA_DEFAULT'!$A:$B,2,FALSE),"")</f>
        <v/>
      </c>
    </row>
    <row r="270" ht="15.75" customHeight="1">
      <c r="A270" s="2" t="s">
        <v>373</v>
      </c>
      <c r="B270" s="2" t="s">
        <v>221</v>
      </c>
      <c r="C270" s="2" t="s">
        <v>221</v>
      </c>
      <c r="D270" s="2" t="str">
        <f>IFERROR(VLOOKUP($C270,'_METADATA_TEMPLATE'!$B$2:$H$826,2,FALSE),"")</f>
        <v/>
      </c>
      <c r="E270" s="2" t="str">
        <f>IFERROR(VLOOKUP($C270,'_METADATA_TEMPLATE'!$B$2:$H$826,4,FALSE),"")</f>
        <v/>
      </c>
      <c r="F270" s="2" t="str">
        <f>IFERROR(VLOOKUP($C270,'_METADATA_TEMPLATE'!$B$2:$H$826,5,FALSE),"")</f>
        <v/>
      </c>
      <c r="G270" s="2" t="str">
        <f>IFERROR(VLOOKUP($C270,'_METADATA_TEMPLATE'!$B$2:$H$826,6,FALSE),"")</f>
        <v/>
      </c>
      <c r="H270" s="2" t="str">
        <f>IFERROR(VLOOKUP($C270,'_METADATA_TEMPLATE'!$B$2:$H$826,7,FALSE),"")</f>
        <v/>
      </c>
      <c r="I270" s="2" t="str">
        <f>IFERROR(VLOOKUP(C270,'_METADATA_DEFAULT'!$A:$B,2,FALSE),"")</f>
        <v/>
      </c>
    </row>
    <row r="271" ht="15.75" customHeight="1">
      <c r="A271" s="3" t="s">
        <v>373</v>
      </c>
      <c r="B271" s="3" t="s">
        <v>225</v>
      </c>
      <c r="C271" s="3" t="s">
        <v>225</v>
      </c>
      <c r="D271" s="3" t="str">
        <f>IFERROR(VLOOKUP($C271,'_METADATA_TEMPLATE'!$B$2:$H$826,2,FALSE),"")</f>
        <v/>
      </c>
      <c r="E271" s="3" t="str">
        <f>IFERROR(VLOOKUP($C271,'_METADATA_TEMPLATE'!$B$2:$H$826,4,FALSE),"")</f>
        <v/>
      </c>
      <c r="F271" s="3" t="str">
        <f>IFERROR(VLOOKUP($C271,'_METADATA_TEMPLATE'!$B$2:$H$826,5,FALSE),"")</f>
        <v/>
      </c>
      <c r="G271" s="3" t="str">
        <f>IFERROR(VLOOKUP($C271,'_METADATA_TEMPLATE'!$B$2:$H$826,6,FALSE),"")</f>
        <v/>
      </c>
      <c r="H271" s="3" t="str">
        <f>IFERROR(VLOOKUP($C271,'_METADATA_TEMPLATE'!$B$2:$H$826,7,FALSE),"")</f>
        <v/>
      </c>
      <c r="I271" s="3" t="str">
        <f>IFERROR(VLOOKUP(C271,'_METADATA_DEFAULT'!$A:$B,2,FALSE),"")</f>
        <v/>
      </c>
    </row>
    <row r="272" ht="15.75" customHeight="1">
      <c r="A272" s="2" t="s">
        <v>373</v>
      </c>
      <c r="B272" s="2" t="s">
        <v>227</v>
      </c>
      <c r="C272" s="2" t="s">
        <v>227</v>
      </c>
      <c r="D272" s="2" t="str">
        <f>IFERROR(VLOOKUP($C272,'_METADATA_TEMPLATE'!$B$2:$H$826,2,FALSE),"")</f>
        <v/>
      </c>
      <c r="E272" s="2" t="str">
        <f>IFERROR(VLOOKUP($C272,'_METADATA_TEMPLATE'!$B$2:$H$826,4,FALSE),"")</f>
        <v/>
      </c>
      <c r="F272" s="2" t="str">
        <f>IFERROR(VLOOKUP($C272,'_METADATA_TEMPLATE'!$B$2:$H$826,5,FALSE),"")</f>
        <v/>
      </c>
      <c r="G272" s="2" t="str">
        <f>IFERROR(VLOOKUP($C272,'_METADATA_TEMPLATE'!$B$2:$H$826,6,FALSE),"")</f>
        <v/>
      </c>
      <c r="H272" s="2" t="str">
        <f>IFERROR(VLOOKUP($C272,'_METADATA_TEMPLATE'!$B$2:$H$826,7,FALSE),"")</f>
        <v/>
      </c>
      <c r="I272" s="2" t="str">
        <f>IFERROR(VLOOKUP(C272,'_METADATA_DEFAULT'!$A:$B,2,FALSE),"")</f>
        <v/>
      </c>
    </row>
    <row r="273" ht="15.75" customHeight="1">
      <c r="A273" s="3" t="s">
        <v>373</v>
      </c>
      <c r="B273" s="3" t="s">
        <v>230</v>
      </c>
      <c r="C273" s="3" t="s">
        <v>230</v>
      </c>
      <c r="D273" s="3" t="str">
        <f>IFERROR(VLOOKUP($C273,'_METADATA_TEMPLATE'!$B$2:$H$826,2,FALSE),"")</f>
        <v/>
      </c>
      <c r="E273" s="3" t="str">
        <f>IFERROR(VLOOKUP($C273,'_METADATA_TEMPLATE'!$B$2:$H$826,4,FALSE),"")</f>
        <v/>
      </c>
      <c r="F273" s="3" t="str">
        <f>IFERROR(VLOOKUP($C273,'_METADATA_TEMPLATE'!$B$2:$H$826,5,FALSE),"")</f>
        <v/>
      </c>
      <c r="G273" s="3" t="str">
        <f>IFERROR(VLOOKUP($C273,'_METADATA_TEMPLATE'!$B$2:$H$826,6,FALSE),"")</f>
        <v/>
      </c>
      <c r="H273" s="3" t="str">
        <f>IFERROR(VLOOKUP($C273,'_METADATA_TEMPLATE'!$B$2:$H$826,7,FALSE),"")</f>
        <v/>
      </c>
      <c r="I273" s="3" t="str">
        <f>IFERROR(VLOOKUP(C273,'_METADATA_DEFAULT'!$A:$B,2,FALSE),"")</f>
        <v/>
      </c>
    </row>
    <row r="274" ht="15.75" customHeight="1">
      <c r="A274" s="2" t="s">
        <v>373</v>
      </c>
      <c r="B274" s="2" t="s">
        <v>234</v>
      </c>
      <c r="C274" s="2" t="s">
        <v>234</v>
      </c>
      <c r="D274" s="2" t="str">
        <f>IFERROR(VLOOKUP($C274,'_METADATA_TEMPLATE'!$B$2:$H$826,2,FALSE),"")</f>
        <v/>
      </c>
      <c r="E274" s="2" t="str">
        <f>IFERROR(VLOOKUP($C274,'_METADATA_TEMPLATE'!$B$2:$H$826,4,FALSE),"")</f>
        <v/>
      </c>
      <c r="F274" s="2" t="str">
        <f>IFERROR(VLOOKUP($C274,'_METADATA_TEMPLATE'!$B$2:$H$826,5,FALSE),"")</f>
        <v/>
      </c>
      <c r="G274" s="2" t="str">
        <f>IFERROR(VLOOKUP($C274,'_METADATA_TEMPLATE'!$B$2:$H$826,6,FALSE),"")</f>
        <v/>
      </c>
      <c r="H274" s="2" t="str">
        <f>IFERROR(VLOOKUP($C274,'_METADATA_TEMPLATE'!$B$2:$H$826,7,FALSE),"")</f>
        <v/>
      </c>
      <c r="I274" s="2" t="str">
        <f>IFERROR(VLOOKUP(C274,'_METADATA_DEFAULT'!$A:$B,2,FALSE),"")</f>
        <v/>
      </c>
    </row>
    <row r="275" ht="15.75" customHeight="1">
      <c r="A275" s="3" t="s">
        <v>373</v>
      </c>
      <c r="B275" s="3" t="s">
        <v>75</v>
      </c>
      <c r="C275" s="3" t="s">
        <v>75</v>
      </c>
      <c r="D275" s="3" t="str">
        <f>IFERROR(VLOOKUP($C275,'_METADATA_TEMPLATE'!$B$2:$H$826,2,FALSE),"")</f>
        <v/>
      </c>
      <c r="E275" s="3" t="str">
        <f>IFERROR(VLOOKUP($C275,'_METADATA_TEMPLATE'!$B$2:$H$826,4,FALSE),"")</f>
        <v/>
      </c>
      <c r="F275" s="3" t="str">
        <f>IFERROR(VLOOKUP($C275,'_METADATA_TEMPLATE'!$B$2:$H$826,5,FALSE),"")</f>
        <v/>
      </c>
      <c r="G275" s="3" t="str">
        <f>IFERROR(VLOOKUP($C275,'_METADATA_TEMPLATE'!$B$2:$H$826,6,FALSE),"")</f>
        <v/>
      </c>
      <c r="H275" s="3" t="str">
        <f>IFERROR(VLOOKUP($C275,'_METADATA_TEMPLATE'!$B$2:$H$826,7,FALSE),"")</f>
        <v/>
      </c>
      <c r="I275" s="3" t="str">
        <f>IFERROR(VLOOKUP(C275,'_METADATA_DEFAULT'!$A:$B,2,FALSE),"")</f>
        <v>ID Periode Survei</v>
      </c>
    </row>
    <row r="276" ht="15.75" customHeight="1">
      <c r="A276" s="2" t="s">
        <v>373</v>
      </c>
      <c r="B276" s="2" t="s">
        <v>240</v>
      </c>
      <c r="C276" s="2" t="s">
        <v>240</v>
      </c>
      <c r="D276" s="2" t="str">
        <f>IFERROR(VLOOKUP($C276,'_METADATA_TEMPLATE'!$B$2:$H$826,2,FALSE),"")</f>
        <v/>
      </c>
      <c r="E276" s="2" t="str">
        <f>IFERROR(VLOOKUP($C276,'_METADATA_TEMPLATE'!$B$2:$H$826,4,FALSE),"")</f>
        <v/>
      </c>
      <c r="F276" s="2" t="str">
        <f>IFERROR(VLOOKUP($C276,'_METADATA_TEMPLATE'!$B$2:$H$826,5,FALSE),"")</f>
        <v/>
      </c>
      <c r="G276" s="2" t="str">
        <f>IFERROR(VLOOKUP($C276,'_METADATA_TEMPLATE'!$B$2:$H$826,6,FALSE),"")</f>
        <v/>
      </c>
      <c r="H276" s="2" t="str">
        <f>IFERROR(VLOOKUP($C276,'_METADATA_TEMPLATE'!$B$2:$H$826,7,FALSE),"")</f>
        <v/>
      </c>
      <c r="I276" s="2" t="str">
        <f>IFERROR(VLOOKUP(C276,'_METADATA_DEFAULT'!$A:$B,2,FALSE),"")</f>
        <v/>
      </c>
    </row>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393</v>
      </c>
      <c r="B2" s="2" t="s">
        <v>10</v>
      </c>
      <c r="C2" s="2" t="s">
        <v>10</v>
      </c>
      <c r="D2" s="2">
        <f>IFERROR(VLOOKUP($C2,'_METADATA_TEMPLATE'!$B$2:$H$826,2,FALSE),"")</f>
        <v>131</v>
      </c>
      <c r="E2" s="2" t="str">
        <f>IFERROR(VLOOKUP($C2,'_METADATA_TEMPLATE'!$B$2:$H$826,4,FALSE),"")</f>
        <v>SE2026 - L BLOK II</v>
      </c>
      <c r="F2" s="2" t="str">
        <f>IFERROR(VLOOKUP($C2,'_METADATA_TEMPLATE'!$B$2:$H$826,5,FALSE),"")</f>
        <v/>
      </c>
      <c r="G2" s="2" t="str">
        <f>IFERROR(VLOOKUP($C2,'_METADATA_TEMPLATE'!$B$2:$H$826,6,FALSE),"")</f>
        <v>• Email</v>
      </c>
      <c r="H2" s="2" t="str">
        <f>IFERROR(VLOOKUP($C2,'_METADATA_TEMPLATE'!$B$2:$H$826,7,FALSE),"")</f>
        <v>Text Input</v>
      </c>
      <c r="I2" s="2" t="str">
        <f>IFERROR(VLOOKUP(C2,'_METADATA_DEFAULT'!$A:$B,2,FALSE),"")</f>
        <v/>
      </c>
    </row>
    <row r="3">
      <c r="A3" s="3" t="s">
        <v>393</v>
      </c>
      <c r="B3" s="3" t="s">
        <v>15</v>
      </c>
      <c r="C3" s="3" t="s">
        <v>15</v>
      </c>
      <c r="D3" s="3">
        <f>IFERROR(VLOOKUP($C3,'_METADATA_TEMPLATE'!$B$2:$H$826,2,FALSE),"")</f>
        <v>483</v>
      </c>
      <c r="E3" s="3" t="str">
        <f>IFERROR(VLOOKUP($C3,'_METADATA_TEMPLATE'!$B$2:$H$826,4,FALSE),"")</f>
        <v/>
      </c>
      <c r="F3" s="3" t="str">
        <f>IFERROR(VLOOKUP($C3,'_METADATA_TEMPLATE'!$B$2:$H$826,5,FALSE),"")</f>
        <v/>
      </c>
      <c r="G3" s="3" t="str">
        <f>IFERROR(VLOOKUP($C3,'_METADATA_TEMPLATE'!$B$2:$H$826,6,FALSE),"")</f>
        <v>Mode</v>
      </c>
      <c r="H3" s="3" t="str">
        <f>IFERROR(VLOOKUP($C3,'_METADATA_TEMPLATE'!$B$2:$H$826,7,FALSE),"")</f>
        <v>Variable</v>
      </c>
      <c r="I3" s="3" t="str">
        <f>IFERROR(VLOOKUP(C3,'_METADATA_DEFAULT'!$A:$B,2,FALSE),"")</f>
        <v>Moda Survei</v>
      </c>
    </row>
    <row r="4">
      <c r="A4" s="2" t="s">
        <v>393</v>
      </c>
      <c r="B4" s="2" t="s">
        <v>12</v>
      </c>
      <c r="C4" s="2" t="s">
        <v>12</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ID Assignment</v>
      </c>
    </row>
    <row r="5">
      <c r="A5" s="3" t="s">
        <v>393</v>
      </c>
      <c r="B5" s="3" t="s">
        <v>18</v>
      </c>
      <c r="C5" s="3" t="s">
        <v>18</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Kode Lengkap Provinsi</v>
      </c>
    </row>
    <row r="6">
      <c r="A6" s="2" t="s">
        <v>393</v>
      </c>
      <c r="B6" s="2" t="s">
        <v>20</v>
      </c>
      <c r="C6" s="2" t="s">
        <v>20</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Kode Lengkap Kabupaten/Kota</v>
      </c>
    </row>
    <row r="7">
      <c r="A7" s="3" t="s">
        <v>393</v>
      </c>
      <c r="B7" s="3" t="s">
        <v>26</v>
      </c>
      <c r="C7" s="3" t="s">
        <v>26</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1 = Aktif, 0 = Dihapus</v>
      </c>
    </row>
    <row r="8">
      <c r="A8" s="2" t="s">
        <v>393</v>
      </c>
      <c r="B8" s="2" t="s">
        <v>29</v>
      </c>
      <c r="C8" s="2" t="s">
        <v>29</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
      </c>
    </row>
    <row r="9">
      <c r="A9" s="3" t="s">
        <v>393</v>
      </c>
      <c r="B9" s="3" t="s">
        <v>34</v>
      </c>
      <c r="C9" s="3" t="s">
        <v>34</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393</v>
      </c>
      <c r="B10" s="2" t="s">
        <v>21</v>
      </c>
      <c r="C10" s="2" t="s">
        <v>21</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ID Assignment + Timestamp</v>
      </c>
    </row>
    <row r="11">
      <c r="A11" s="3" t="s">
        <v>393</v>
      </c>
      <c r="B11" s="3" t="s">
        <v>38</v>
      </c>
      <c r="C11" s="3" t="s">
        <v>38</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
      </c>
    </row>
    <row r="12">
      <c r="A12" s="2" t="s">
        <v>393</v>
      </c>
      <c r="B12" s="2" t="s">
        <v>42</v>
      </c>
      <c r="C12" s="2" t="s">
        <v>42</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Status Assignment</v>
      </c>
    </row>
    <row r="13">
      <c r="A13" s="3" t="s">
        <v>393</v>
      </c>
      <c r="B13" s="3" t="s">
        <v>47</v>
      </c>
      <c r="C13" s="3" t="s">
        <v>47</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ID Status Assignment</v>
      </c>
    </row>
    <row r="14">
      <c r="A14" s="2" t="s">
        <v>393</v>
      </c>
      <c r="B14" s="2" t="s">
        <v>49</v>
      </c>
      <c r="C14" s="2" t="s">
        <v>49</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Kode Identitas</v>
      </c>
    </row>
    <row r="15">
      <c r="A15" s="3" t="s">
        <v>393</v>
      </c>
      <c r="B15" s="3" t="s">
        <v>51</v>
      </c>
      <c r="C15" s="3" t="s">
        <v>51</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393</v>
      </c>
      <c r="B16" s="2" t="s">
        <v>53</v>
      </c>
      <c r="C16" s="2" t="s">
        <v>53</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393</v>
      </c>
      <c r="B17" s="3" t="s">
        <v>55</v>
      </c>
      <c r="C17" s="3" t="s">
        <v>55</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
      </c>
    </row>
    <row r="18">
      <c r="A18" s="2" t="s">
        <v>393</v>
      </c>
      <c r="B18" s="2" t="s">
        <v>57</v>
      </c>
      <c r="C18" s="2" t="s">
        <v>57</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
      </c>
    </row>
    <row r="19">
      <c r="A19" s="3" t="s">
        <v>393</v>
      </c>
      <c r="B19" s="3" t="s">
        <v>60</v>
      </c>
      <c r="C19" s="3" t="s">
        <v>60</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
      </c>
    </row>
    <row r="20">
      <c r="A20" s="2" t="s">
        <v>393</v>
      </c>
      <c r="B20" s="2" t="s">
        <v>63</v>
      </c>
      <c r="C20" s="2" t="s">
        <v>63</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
      </c>
    </row>
    <row r="21" ht="15.75" customHeight="1">
      <c r="A21" s="3" t="s">
        <v>393</v>
      </c>
      <c r="B21" s="3" t="s">
        <v>65</v>
      </c>
      <c r="C21" s="3" t="s">
        <v>65</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
      </c>
    </row>
    <row r="22" ht="15.75" customHeight="1">
      <c r="A22" s="2" t="s">
        <v>393</v>
      </c>
      <c r="B22" s="2" t="s">
        <v>69</v>
      </c>
      <c r="C22" s="2" t="s">
        <v>69</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Data Principal Kolom 1</v>
      </c>
    </row>
    <row r="23" ht="15.75" customHeight="1">
      <c r="A23" s="3" t="s">
        <v>393</v>
      </c>
      <c r="B23" s="3" t="s">
        <v>72</v>
      </c>
      <c r="C23" s="3" t="s">
        <v>72</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Data Principal Kolom 10</v>
      </c>
    </row>
    <row r="24" ht="15.75" customHeight="1">
      <c r="A24" s="2" t="s">
        <v>393</v>
      </c>
      <c r="B24" s="2" t="s">
        <v>74</v>
      </c>
      <c r="C24" s="2" t="s">
        <v>74</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Data Principal Kolom 2</v>
      </c>
    </row>
    <row r="25" ht="15.75" customHeight="1">
      <c r="A25" s="3" t="s">
        <v>393</v>
      </c>
      <c r="B25" s="3" t="s">
        <v>77</v>
      </c>
      <c r="C25" s="3" t="s">
        <v>77</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Data Principal Kolom 3</v>
      </c>
    </row>
    <row r="26" ht="15.75" customHeight="1">
      <c r="A26" s="2" t="s">
        <v>393</v>
      </c>
      <c r="B26" s="2" t="s">
        <v>81</v>
      </c>
      <c r="C26" s="2" t="s">
        <v>81</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Data Principal Kolom 4</v>
      </c>
    </row>
    <row r="27" ht="15.75" customHeight="1">
      <c r="A27" s="3" t="s">
        <v>393</v>
      </c>
      <c r="B27" s="3" t="s">
        <v>85</v>
      </c>
      <c r="C27" s="3" t="s">
        <v>85</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Data Principal Kolom 5</v>
      </c>
    </row>
    <row r="28" ht="15.75" customHeight="1">
      <c r="A28" s="2" t="s">
        <v>393</v>
      </c>
      <c r="B28" s="2" t="s">
        <v>87</v>
      </c>
      <c r="C28" s="2" t="s">
        <v>87</v>
      </c>
      <c r="D28" s="2" t="str">
        <f>IFERROR(VLOOKUP($C28,'_METADATA_TEMPLATE'!$B$2:$H$826,2,FALSE),"")</f>
        <v/>
      </c>
      <c r="E28" s="2" t="str">
        <f>IFERROR(VLOOKUP($C28,'_METADATA_TEMPLATE'!$B$2:$H$826,4,FALSE),"")</f>
        <v/>
      </c>
      <c r="F28" s="2" t="str">
        <f>IFERROR(VLOOKUP($C28,'_METADATA_TEMPLATE'!$B$2:$H$826,5,FALSE),"")</f>
        <v/>
      </c>
      <c r="G28" s="2" t="str">
        <f>IFERROR(VLOOKUP($C28,'_METADATA_TEMPLATE'!$B$2:$H$826,6,FALSE),"")</f>
        <v/>
      </c>
      <c r="H28" s="2" t="str">
        <f>IFERROR(VLOOKUP($C28,'_METADATA_TEMPLATE'!$B$2:$H$826,7,FALSE),"")</f>
        <v/>
      </c>
      <c r="I28" s="2" t="str">
        <f>IFERROR(VLOOKUP(C28,'_METADATA_DEFAULT'!$A:$B,2,FALSE),"")</f>
        <v>Data Principal Kolom 6</v>
      </c>
    </row>
    <row r="29" ht="15.75" customHeight="1">
      <c r="A29" s="3" t="s">
        <v>393</v>
      </c>
      <c r="B29" s="3" t="s">
        <v>91</v>
      </c>
      <c r="C29" s="3" t="s">
        <v>91</v>
      </c>
      <c r="D29" s="3" t="str">
        <f>IFERROR(VLOOKUP($C29,'_METADATA_TEMPLATE'!$B$2:$H$826,2,FALSE),"")</f>
        <v/>
      </c>
      <c r="E29" s="3" t="str">
        <f>IFERROR(VLOOKUP($C29,'_METADATA_TEMPLATE'!$B$2:$H$826,4,FALSE),"")</f>
        <v/>
      </c>
      <c r="F29" s="3" t="str">
        <f>IFERROR(VLOOKUP($C29,'_METADATA_TEMPLATE'!$B$2:$H$826,5,FALSE),"")</f>
        <v/>
      </c>
      <c r="G29" s="3" t="str">
        <f>IFERROR(VLOOKUP($C29,'_METADATA_TEMPLATE'!$B$2:$H$826,6,FALSE),"")</f>
        <v/>
      </c>
      <c r="H29" s="3" t="str">
        <f>IFERROR(VLOOKUP($C29,'_METADATA_TEMPLATE'!$B$2:$H$826,7,FALSE),"")</f>
        <v/>
      </c>
      <c r="I29" s="3" t="str">
        <f>IFERROR(VLOOKUP(C29,'_METADATA_DEFAULT'!$A:$B,2,FALSE),"")</f>
        <v>Data Principal Kolom 7</v>
      </c>
    </row>
    <row r="30" ht="15.75" customHeight="1">
      <c r="A30" s="2" t="s">
        <v>393</v>
      </c>
      <c r="B30" s="2" t="s">
        <v>98</v>
      </c>
      <c r="C30" s="2" t="s">
        <v>98</v>
      </c>
      <c r="D30" s="2" t="str">
        <f>IFERROR(VLOOKUP($C30,'_METADATA_TEMPLATE'!$B$2:$H$826,2,FALSE),"")</f>
        <v/>
      </c>
      <c r="E30" s="2" t="str">
        <f>IFERROR(VLOOKUP($C30,'_METADATA_TEMPLATE'!$B$2:$H$826,4,FALSE),"")</f>
        <v/>
      </c>
      <c r="F30" s="2" t="str">
        <f>IFERROR(VLOOKUP($C30,'_METADATA_TEMPLATE'!$B$2:$H$826,5,FALSE),"")</f>
        <v/>
      </c>
      <c r="G30" s="2" t="str">
        <f>IFERROR(VLOOKUP($C30,'_METADATA_TEMPLATE'!$B$2:$H$826,6,FALSE),"")</f>
        <v/>
      </c>
      <c r="H30" s="2" t="str">
        <f>IFERROR(VLOOKUP($C30,'_METADATA_TEMPLATE'!$B$2:$H$826,7,FALSE),"")</f>
        <v/>
      </c>
      <c r="I30" s="2" t="str">
        <f>IFERROR(VLOOKUP(C30,'_METADATA_DEFAULT'!$A:$B,2,FALSE),"")</f>
        <v>Data Principal Kolom 8</v>
      </c>
    </row>
    <row r="31" ht="15.75" customHeight="1">
      <c r="A31" s="3" t="s">
        <v>393</v>
      </c>
      <c r="B31" s="3" t="s">
        <v>100</v>
      </c>
      <c r="C31" s="3" t="s">
        <v>100</v>
      </c>
      <c r="D31" s="3" t="str">
        <f>IFERROR(VLOOKUP($C31,'_METADATA_TEMPLATE'!$B$2:$H$826,2,FALSE),"")</f>
        <v/>
      </c>
      <c r="E31" s="3" t="str">
        <f>IFERROR(VLOOKUP($C31,'_METADATA_TEMPLATE'!$B$2:$H$826,4,FALSE),"")</f>
        <v/>
      </c>
      <c r="F31" s="3" t="str">
        <f>IFERROR(VLOOKUP($C31,'_METADATA_TEMPLATE'!$B$2:$H$826,5,FALSE),"")</f>
        <v/>
      </c>
      <c r="G31" s="3" t="str">
        <f>IFERROR(VLOOKUP($C31,'_METADATA_TEMPLATE'!$B$2:$H$826,6,FALSE),"")</f>
        <v/>
      </c>
      <c r="H31" s="3" t="str">
        <f>IFERROR(VLOOKUP($C31,'_METADATA_TEMPLATE'!$B$2:$H$826,7,FALSE),"")</f>
        <v/>
      </c>
      <c r="I31" s="3" t="str">
        <f>IFERROR(VLOOKUP(C31,'_METADATA_DEFAULT'!$A:$B,2,FALSE),"")</f>
        <v>Data Principal Kolom 9</v>
      </c>
    </row>
    <row r="32" ht="15.75" customHeight="1">
      <c r="A32" s="2" t="s">
        <v>393</v>
      </c>
      <c r="B32" s="2" t="s">
        <v>19</v>
      </c>
      <c r="C32" s="2" t="s">
        <v>19</v>
      </c>
      <c r="D32" s="2" t="str">
        <f>IFERROR(VLOOKUP($C32,'_METADATA_TEMPLATE'!$B$2:$H$826,2,FALSE),"")</f>
        <v/>
      </c>
      <c r="E32" s="2" t="str">
        <f>IFERROR(VLOOKUP($C32,'_METADATA_TEMPLATE'!$B$2:$H$826,4,FALSE),"")</f>
        <v/>
      </c>
      <c r="F32" s="2" t="str">
        <f>IFERROR(VLOOKUP($C32,'_METADATA_TEMPLATE'!$B$2:$H$826,5,FALSE),"")</f>
        <v/>
      </c>
      <c r="G32" s="2" t="str">
        <f>IFERROR(VLOOKUP($C32,'_METADATA_TEMPLATE'!$B$2:$H$826,6,FALSE),"")</f>
        <v/>
      </c>
      <c r="H32" s="2" t="str">
        <f>IFERROR(VLOOKUP($C32,'_METADATA_TEMPLATE'!$B$2:$H$826,7,FALSE),"")</f>
        <v/>
      </c>
      <c r="I32" s="2" t="str">
        <f>IFERROR(VLOOKUP(C32,'_METADATA_DEFAULT'!$A:$B,2,FALSE),"")</f>
        <v/>
      </c>
    </row>
    <row r="33" ht="15.75" customHeight="1">
      <c r="A33" s="3" t="s">
        <v>393</v>
      </c>
      <c r="B33" s="3" t="s">
        <v>109</v>
      </c>
      <c r="C33" s="3" t="s">
        <v>109</v>
      </c>
      <c r="D33" s="3" t="str">
        <f>IFERROR(VLOOKUP($C33,'_METADATA_TEMPLATE'!$B$2:$H$826,2,FALSE),"")</f>
        <v/>
      </c>
      <c r="E33" s="3" t="str">
        <f>IFERROR(VLOOKUP($C33,'_METADATA_TEMPLATE'!$B$2:$H$826,4,FALSE),"")</f>
        <v/>
      </c>
      <c r="F33" s="3" t="str">
        <f>IFERROR(VLOOKUP($C33,'_METADATA_TEMPLATE'!$B$2:$H$826,5,FALSE),"")</f>
        <v/>
      </c>
      <c r="G33" s="3" t="str">
        <f>IFERROR(VLOOKUP($C33,'_METADATA_TEMPLATE'!$B$2:$H$826,6,FALSE),"")</f>
        <v/>
      </c>
      <c r="H33" s="3" t="str">
        <f>IFERROR(VLOOKUP($C33,'_METADATA_TEMPLATE'!$B$2:$H$826,7,FALSE),"")</f>
        <v/>
      </c>
      <c r="I33" s="3" t="str">
        <f>IFERROR(VLOOKUP(C33,'_METADATA_DEFAULT'!$A:$B,2,FALSE),"")</f>
        <v/>
      </c>
    </row>
    <row r="34" ht="15.75" customHeight="1">
      <c r="A34" s="2" t="s">
        <v>393</v>
      </c>
      <c r="B34" s="2" t="s">
        <v>114</v>
      </c>
      <c r="C34" s="2" t="s">
        <v>114</v>
      </c>
      <c r="D34" s="2" t="str">
        <f>IFERROR(VLOOKUP($C34,'_METADATA_TEMPLATE'!$B$2:$H$826,2,FALSE),"")</f>
        <v/>
      </c>
      <c r="E34" s="2" t="str">
        <f>IFERROR(VLOOKUP($C34,'_METADATA_TEMPLATE'!$B$2:$H$826,4,FALSE),"")</f>
        <v/>
      </c>
      <c r="F34" s="2" t="str">
        <f>IFERROR(VLOOKUP($C34,'_METADATA_TEMPLATE'!$B$2:$H$826,5,FALSE),"")</f>
        <v/>
      </c>
      <c r="G34" s="2" t="str">
        <f>IFERROR(VLOOKUP($C34,'_METADATA_TEMPLATE'!$B$2:$H$826,6,FALSE),"")</f>
        <v/>
      </c>
      <c r="H34" s="2" t="str">
        <f>IFERROR(VLOOKUP($C34,'_METADATA_TEMPLATE'!$B$2:$H$826,7,FALSE),"")</f>
        <v/>
      </c>
      <c r="I34" s="2" t="str">
        <f>IFERROR(VLOOKUP(C34,'_METADATA_DEFAULT'!$A:$B,2,FALSE),"")</f>
        <v/>
      </c>
    </row>
    <row r="35" ht="15.75" customHeight="1">
      <c r="A35" s="3" t="s">
        <v>393</v>
      </c>
      <c r="B35" s="3" t="s">
        <v>119</v>
      </c>
      <c r="C35" s="3" t="s">
        <v>119</v>
      </c>
      <c r="D35" s="3" t="str">
        <f>IFERROR(VLOOKUP($C35,'_METADATA_TEMPLATE'!$B$2:$H$826,2,FALSE),"")</f>
        <v/>
      </c>
      <c r="E35" s="3" t="str">
        <f>IFERROR(VLOOKUP($C35,'_METADATA_TEMPLATE'!$B$2:$H$826,4,FALSE),"")</f>
        <v/>
      </c>
      <c r="F35" s="3" t="str">
        <f>IFERROR(VLOOKUP($C35,'_METADATA_TEMPLATE'!$B$2:$H$826,5,FALSE),"")</f>
        <v/>
      </c>
      <c r="G35" s="3" t="str">
        <f>IFERROR(VLOOKUP($C35,'_METADATA_TEMPLATE'!$B$2:$H$826,6,FALSE),"")</f>
        <v/>
      </c>
      <c r="H35" s="3" t="str">
        <f>IFERROR(VLOOKUP($C35,'_METADATA_TEMPLATE'!$B$2:$H$826,7,FALSE),"")</f>
        <v/>
      </c>
      <c r="I35" s="3" t="str">
        <f>IFERROR(VLOOKUP(C35,'_METADATA_DEFAULT'!$A:$B,2,FALSE),"")</f>
        <v/>
      </c>
    </row>
    <row r="36" ht="15.75" customHeight="1">
      <c r="A36" s="2" t="s">
        <v>393</v>
      </c>
      <c r="B36" s="2" t="s">
        <v>123</v>
      </c>
      <c r="C36" s="2" t="s">
        <v>123</v>
      </c>
      <c r="D36" s="2" t="str">
        <f>IFERROR(VLOOKUP($C36,'_METADATA_TEMPLATE'!$B$2:$H$826,2,FALSE),"")</f>
        <v/>
      </c>
      <c r="E36" s="2" t="str">
        <f>IFERROR(VLOOKUP($C36,'_METADATA_TEMPLATE'!$B$2:$H$826,4,FALSE),"")</f>
        <v/>
      </c>
      <c r="F36" s="2" t="str">
        <f>IFERROR(VLOOKUP($C36,'_METADATA_TEMPLATE'!$B$2:$H$826,5,FALSE),"")</f>
        <v/>
      </c>
      <c r="G36" s="2" t="str">
        <f>IFERROR(VLOOKUP($C36,'_METADATA_TEMPLATE'!$B$2:$H$826,6,FALSE),"")</f>
        <v/>
      </c>
      <c r="H36" s="2" t="str">
        <f>IFERROR(VLOOKUP($C36,'_METADATA_TEMPLATE'!$B$2:$H$826,7,FALSE),"")</f>
        <v/>
      </c>
      <c r="I36" s="2" t="str">
        <f>IFERROR(VLOOKUP(C36,'_METADATA_DEFAULT'!$A:$B,2,FALSE),"")</f>
        <v/>
      </c>
    </row>
    <row r="37" ht="15.75" customHeight="1">
      <c r="A37" s="3" t="s">
        <v>393</v>
      </c>
      <c r="B37" s="3" t="s">
        <v>129</v>
      </c>
      <c r="C37" s="3" t="s">
        <v>129</v>
      </c>
      <c r="D37" s="3" t="str">
        <f>IFERROR(VLOOKUP($C37,'_METADATA_TEMPLATE'!$B$2:$H$826,2,FALSE),"")</f>
        <v/>
      </c>
      <c r="E37" s="3" t="str">
        <f>IFERROR(VLOOKUP($C37,'_METADATA_TEMPLATE'!$B$2:$H$826,4,FALSE),"")</f>
        <v/>
      </c>
      <c r="F37" s="3" t="str">
        <f>IFERROR(VLOOKUP($C37,'_METADATA_TEMPLATE'!$B$2:$H$826,5,FALSE),"")</f>
        <v/>
      </c>
      <c r="G37" s="3" t="str">
        <f>IFERROR(VLOOKUP($C37,'_METADATA_TEMPLATE'!$B$2:$H$826,6,FALSE),"")</f>
        <v/>
      </c>
      <c r="H37" s="3" t="str">
        <f>IFERROR(VLOOKUP($C37,'_METADATA_TEMPLATE'!$B$2:$H$826,7,FALSE),"")</f>
        <v/>
      </c>
      <c r="I37" s="3" t="str">
        <f>IFERROR(VLOOKUP(C37,'_METADATA_DEFAULT'!$A:$B,2,FALSE),"")</f>
        <v/>
      </c>
    </row>
    <row r="38" ht="15.75" customHeight="1">
      <c r="A38" s="2" t="s">
        <v>393</v>
      </c>
      <c r="B38" s="2" t="s">
        <v>36</v>
      </c>
      <c r="C38" s="2" t="s">
        <v>36</v>
      </c>
      <c r="D38" s="2" t="str">
        <f>IFERROR(VLOOKUP($C38,'_METADATA_TEMPLATE'!$B$2:$H$826,2,FALSE),"")</f>
        <v/>
      </c>
      <c r="E38" s="2" t="str">
        <f>IFERROR(VLOOKUP($C38,'_METADATA_TEMPLATE'!$B$2:$H$826,4,FALSE),"")</f>
        <v/>
      </c>
      <c r="F38" s="2" t="str">
        <f>IFERROR(VLOOKUP($C38,'_METADATA_TEMPLATE'!$B$2:$H$826,5,FALSE),"")</f>
        <v/>
      </c>
      <c r="G38" s="2" t="str">
        <f>IFERROR(VLOOKUP($C38,'_METADATA_TEMPLATE'!$B$2:$H$826,6,FALSE),"")</f>
        <v/>
      </c>
      <c r="H38" s="2" t="str">
        <f>IFERROR(VLOOKUP($C38,'_METADATA_TEMPLATE'!$B$2:$H$826,7,FALSE),"")</f>
        <v/>
      </c>
      <c r="I38" s="2" t="str">
        <f>IFERROR(VLOOKUP(C38,'_METADATA_DEFAULT'!$A:$B,2,FALSE),"")</f>
        <v/>
      </c>
    </row>
    <row r="39" ht="15.75" customHeight="1">
      <c r="A39" s="3" t="s">
        <v>393</v>
      </c>
      <c r="B39" s="3" t="s">
        <v>137</v>
      </c>
      <c r="C39" s="3" t="s">
        <v>137</v>
      </c>
      <c r="D39" s="3" t="str">
        <f>IFERROR(VLOOKUP($C39,'_METADATA_TEMPLATE'!$B$2:$H$826,2,FALSE),"")</f>
        <v/>
      </c>
      <c r="E39" s="3" t="str">
        <f>IFERROR(VLOOKUP($C39,'_METADATA_TEMPLATE'!$B$2:$H$826,4,FALSE),"")</f>
        <v/>
      </c>
      <c r="F39" s="3" t="str">
        <f>IFERROR(VLOOKUP($C39,'_METADATA_TEMPLATE'!$B$2:$H$826,5,FALSE),"")</f>
        <v/>
      </c>
      <c r="G39" s="3" t="str">
        <f>IFERROR(VLOOKUP($C39,'_METADATA_TEMPLATE'!$B$2:$H$826,6,FALSE),"")</f>
        <v/>
      </c>
      <c r="H39" s="3" t="str">
        <f>IFERROR(VLOOKUP($C39,'_METADATA_TEMPLATE'!$B$2:$H$826,7,FALSE),"")</f>
        <v/>
      </c>
      <c r="I39" s="3" t="str">
        <f>IFERROR(VLOOKUP(C39,'_METADATA_DEFAULT'!$A:$B,2,FALSE),"")</f>
        <v>Kode Provinsi</v>
      </c>
    </row>
    <row r="40" ht="15.75" customHeight="1">
      <c r="A40" s="2" t="s">
        <v>393</v>
      </c>
      <c r="B40" s="2" t="s">
        <v>141</v>
      </c>
      <c r="C40" s="2" t="s">
        <v>141</v>
      </c>
      <c r="D40" s="2" t="str">
        <f>IFERROR(VLOOKUP($C40,'_METADATA_TEMPLATE'!$B$2:$H$826,2,FALSE),"")</f>
        <v/>
      </c>
      <c r="E40" s="2" t="str">
        <f>IFERROR(VLOOKUP($C40,'_METADATA_TEMPLATE'!$B$2:$H$826,4,FALSE),"")</f>
        <v/>
      </c>
      <c r="F40" s="2" t="str">
        <f>IFERROR(VLOOKUP($C40,'_METADATA_TEMPLATE'!$B$2:$H$826,5,FALSE),"")</f>
        <v/>
      </c>
      <c r="G40" s="2" t="str">
        <f>IFERROR(VLOOKUP($C40,'_METADATA_TEMPLATE'!$B$2:$H$826,6,FALSE),"")</f>
        <v/>
      </c>
      <c r="H40" s="2" t="str">
        <f>IFERROR(VLOOKUP($C40,'_METADATA_TEMPLATE'!$B$2:$H$826,7,FALSE),"")</f>
        <v/>
      </c>
      <c r="I40" s="2" t="str">
        <f>IFERROR(VLOOKUP(C40,'_METADATA_DEFAULT'!$A:$B,2,FALSE),"")</f>
        <v>Provinsi</v>
      </c>
    </row>
    <row r="41" ht="15.75" customHeight="1">
      <c r="A41" s="3" t="s">
        <v>393</v>
      </c>
      <c r="B41" s="3" t="s">
        <v>145</v>
      </c>
      <c r="C41" s="3" t="s">
        <v>145</v>
      </c>
      <c r="D41" s="3" t="str">
        <f>IFERROR(VLOOKUP($C41,'_METADATA_TEMPLATE'!$B$2:$H$826,2,FALSE),"")</f>
        <v/>
      </c>
      <c r="E41" s="3" t="str">
        <f>IFERROR(VLOOKUP($C41,'_METADATA_TEMPLATE'!$B$2:$H$826,4,FALSE),"")</f>
        <v/>
      </c>
      <c r="F41" s="3" t="str">
        <f>IFERROR(VLOOKUP($C41,'_METADATA_TEMPLATE'!$B$2:$H$826,5,FALSE),"")</f>
        <v/>
      </c>
      <c r="G41" s="3" t="str">
        <f>IFERROR(VLOOKUP($C41,'_METADATA_TEMPLATE'!$B$2:$H$826,6,FALSE),"")</f>
        <v/>
      </c>
      <c r="H41" s="3" t="str">
        <f>IFERROR(VLOOKUP($C41,'_METADATA_TEMPLATE'!$B$2:$H$826,7,FALSE),"")</f>
        <v/>
      </c>
      <c r="I41" s="3" t="str">
        <f>IFERROR(VLOOKUP(C41,'_METADATA_DEFAULT'!$A:$B,2,FALSE),"")</f>
        <v/>
      </c>
    </row>
    <row r="42" ht="15.75" customHeight="1">
      <c r="A42" s="2" t="s">
        <v>393</v>
      </c>
      <c r="B42" s="2" t="s">
        <v>149</v>
      </c>
      <c r="C42" s="2" t="s">
        <v>149</v>
      </c>
      <c r="D42" s="2" t="str">
        <f>IFERROR(VLOOKUP($C42,'_METADATA_TEMPLATE'!$B$2:$H$826,2,FALSE),"")</f>
        <v/>
      </c>
      <c r="E42" s="2" t="str">
        <f>IFERROR(VLOOKUP($C42,'_METADATA_TEMPLATE'!$B$2:$H$826,4,FALSE),"")</f>
        <v/>
      </c>
      <c r="F42" s="2" t="str">
        <f>IFERROR(VLOOKUP($C42,'_METADATA_TEMPLATE'!$B$2:$H$826,5,FALSE),"")</f>
        <v/>
      </c>
      <c r="G42" s="2" t="str">
        <f>IFERROR(VLOOKUP($C42,'_METADATA_TEMPLATE'!$B$2:$H$826,6,FALSE),"")</f>
        <v/>
      </c>
      <c r="H42" s="2" t="str">
        <f>IFERROR(VLOOKUP($C42,'_METADATA_TEMPLATE'!$B$2:$H$826,7,FALSE),"")</f>
        <v/>
      </c>
      <c r="I42" s="2" t="str">
        <f>IFERROR(VLOOKUP(C42,'_METADATA_DEFAULT'!$A:$B,2,FALSE),"")</f>
        <v/>
      </c>
    </row>
    <row r="43" ht="15.75" customHeight="1">
      <c r="A43" s="3" t="s">
        <v>393</v>
      </c>
      <c r="B43" s="3" t="s">
        <v>157</v>
      </c>
      <c r="C43" s="3" t="s">
        <v>157</v>
      </c>
      <c r="D43" s="3" t="str">
        <f>IFERROR(VLOOKUP($C43,'_METADATA_TEMPLATE'!$B$2:$H$826,2,FALSE),"")</f>
        <v/>
      </c>
      <c r="E43" s="3" t="str">
        <f>IFERROR(VLOOKUP($C43,'_METADATA_TEMPLATE'!$B$2:$H$826,4,FALSE),"")</f>
        <v/>
      </c>
      <c r="F43" s="3" t="str">
        <f>IFERROR(VLOOKUP($C43,'_METADATA_TEMPLATE'!$B$2:$H$826,5,FALSE),"")</f>
        <v/>
      </c>
      <c r="G43" s="3" t="str">
        <f>IFERROR(VLOOKUP($C43,'_METADATA_TEMPLATE'!$B$2:$H$826,6,FALSE),"")</f>
        <v/>
      </c>
      <c r="H43" s="3" t="str">
        <f>IFERROR(VLOOKUP($C43,'_METADATA_TEMPLATE'!$B$2:$H$826,7,FALSE),"")</f>
        <v/>
      </c>
      <c r="I43" s="3" t="str">
        <f>IFERROR(VLOOKUP(C43,'_METADATA_DEFAULT'!$A:$B,2,FALSE),"")</f>
        <v/>
      </c>
    </row>
    <row r="44" ht="15.75" customHeight="1">
      <c r="A44" s="2" t="s">
        <v>393</v>
      </c>
      <c r="B44" s="2" t="s">
        <v>161</v>
      </c>
      <c r="C44" s="2" t="s">
        <v>161</v>
      </c>
      <c r="D44" s="2" t="str">
        <f>IFERROR(VLOOKUP($C44,'_METADATA_TEMPLATE'!$B$2:$H$826,2,FALSE),"")</f>
        <v/>
      </c>
      <c r="E44" s="2" t="str">
        <f>IFERROR(VLOOKUP($C44,'_METADATA_TEMPLATE'!$B$2:$H$826,4,FALSE),"")</f>
        <v/>
      </c>
      <c r="F44" s="2" t="str">
        <f>IFERROR(VLOOKUP($C44,'_METADATA_TEMPLATE'!$B$2:$H$826,5,FALSE),"")</f>
        <v/>
      </c>
      <c r="G44" s="2" t="str">
        <f>IFERROR(VLOOKUP($C44,'_METADATA_TEMPLATE'!$B$2:$H$826,6,FALSE),"")</f>
        <v/>
      </c>
      <c r="H44" s="2" t="str">
        <f>IFERROR(VLOOKUP($C44,'_METADATA_TEMPLATE'!$B$2:$H$826,7,FALSE),"")</f>
        <v/>
      </c>
      <c r="I44" s="2" t="str">
        <f>IFERROR(VLOOKUP(C44,'_METADATA_DEFAULT'!$A:$B,2,FALSE),"")</f>
        <v>Kode Kabupaten/Kota</v>
      </c>
    </row>
    <row r="45" ht="15.75" customHeight="1">
      <c r="A45" s="3" t="s">
        <v>393</v>
      </c>
      <c r="B45" s="3" t="s">
        <v>165</v>
      </c>
      <c r="C45" s="3" t="s">
        <v>165</v>
      </c>
      <c r="D45" s="3" t="str">
        <f>IFERROR(VLOOKUP($C45,'_METADATA_TEMPLATE'!$B$2:$H$826,2,FALSE),"")</f>
        <v/>
      </c>
      <c r="E45" s="3" t="str">
        <f>IFERROR(VLOOKUP($C45,'_METADATA_TEMPLATE'!$B$2:$H$826,4,FALSE),"")</f>
        <v/>
      </c>
      <c r="F45" s="3" t="str">
        <f>IFERROR(VLOOKUP($C45,'_METADATA_TEMPLATE'!$B$2:$H$826,5,FALSE),"")</f>
        <v/>
      </c>
      <c r="G45" s="3" t="str">
        <f>IFERROR(VLOOKUP($C45,'_METADATA_TEMPLATE'!$B$2:$H$826,6,FALSE),"")</f>
        <v/>
      </c>
      <c r="H45" s="3" t="str">
        <f>IFERROR(VLOOKUP($C45,'_METADATA_TEMPLATE'!$B$2:$H$826,7,FALSE),"")</f>
        <v/>
      </c>
      <c r="I45" s="3" t="str">
        <f>IFERROR(VLOOKUP(C45,'_METADATA_DEFAULT'!$A:$B,2,FALSE),"")</f>
        <v>Kabupaten/Kota</v>
      </c>
    </row>
    <row r="46" ht="15.75" customHeight="1">
      <c r="A46" s="2" t="s">
        <v>393</v>
      </c>
      <c r="B46" s="2" t="s">
        <v>168</v>
      </c>
      <c r="C46" s="2" t="s">
        <v>168</v>
      </c>
      <c r="D46" s="2" t="str">
        <f>IFERROR(VLOOKUP($C46,'_METADATA_TEMPLATE'!$B$2:$H$826,2,FALSE),"")</f>
        <v/>
      </c>
      <c r="E46" s="2" t="str">
        <f>IFERROR(VLOOKUP($C46,'_METADATA_TEMPLATE'!$B$2:$H$826,4,FALSE),"")</f>
        <v/>
      </c>
      <c r="F46" s="2" t="str">
        <f>IFERROR(VLOOKUP($C46,'_METADATA_TEMPLATE'!$B$2:$H$826,5,FALSE),"")</f>
        <v/>
      </c>
      <c r="G46" s="2" t="str">
        <f>IFERROR(VLOOKUP($C46,'_METADATA_TEMPLATE'!$B$2:$H$826,6,FALSE),"")</f>
        <v/>
      </c>
      <c r="H46" s="2" t="str">
        <f>IFERROR(VLOOKUP($C46,'_METADATA_TEMPLATE'!$B$2:$H$826,7,FALSE),"")</f>
        <v/>
      </c>
      <c r="I46" s="2" t="str">
        <f>IFERROR(VLOOKUP(C46,'_METADATA_DEFAULT'!$A:$B,2,FALSE),"")</f>
        <v>Kode Kecamatan</v>
      </c>
    </row>
    <row r="47" ht="15.75" customHeight="1">
      <c r="A47" s="3" t="s">
        <v>393</v>
      </c>
      <c r="B47" s="3" t="s">
        <v>172</v>
      </c>
      <c r="C47" s="3" t="s">
        <v>172</v>
      </c>
      <c r="D47" s="3" t="str">
        <f>IFERROR(VLOOKUP($C47,'_METADATA_TEMPLATE'!$B$2:$H$826,2,FALSE),"")</f>
        <v/>
      </c>
      <c r="E47" s="3" t="str">
        <f>IFERROR(VLOOKUP($C47,'_METADATA_TEMPLATE'!$B$2:$H$826,4,FALSE),"")</f>
        <v/>
      </c>
      <c r="F47" s="3" t="str">
        <f>IFERROR(VLOOKUP($C47,'_METADATA_TEMPLATE'!$B$2:$H$826,5,FALSE),"")</f>
        <v/>
      </c>
      <c r="G47" s="3" t="str">
        <f>IFERROR(VLOOKUP($C47,'_METADATA_TEMPLATE'!$B$2:$H$826,6,FALSE),"")</f>
        <v/>
      </c>
      <c r="H47" s="3" t="str">
        <f>IFERROR(VLOOKUP($C47,'_METADATA_TEMPLATE'!$B$2:$H$826,7,FALSE),"")</f>
        <v/>
      </c>
      <c r="I47" s="3" t="str">
        <f>IFERROR(VLOOKUP(C47,'_METADATA_DEFAULT'!$A:$B,2,FALSE),"")</f>
        <v>Kode Lengkap Kecamatan</v>
      </c>
    </row>
    <row r="48" ht="15.75" customHeight="1">
      <c r="A48" s="2" t="s">
        <v>393</v>
      </c>
      <c r="B48" s="2" t="s">
        <v>176</v>
      </c>
      <c r="C48" s="2" t="s">
        <v>176</v>
      </c>
      <c r="D48" s="2" t="str">
        <f>IFERROR(VLOOKUP($C48,'_METADATA_TEMPLATE'!$B$2:$H$826,2,FALSE),"")</f>
        <v/>
      </c>
      <c r="E48" s="2" t="str">
        <f>IFERROR(VLOOKUP($C48,'_METADATA_TEMPLATE'!$B$2:$H$826,4,FALSE),"")</f>
        <v/>
      </c>
      <c r="F48" s="2" t="str">
        <f>IFERROR(VLOOKUP($C48,'_METADATA_TEMPLATE'!$B$2:$H$826,5,FALSE),"")</f>
        <v/>
      </c>
      <c r="G48" s="2" t="str">
        <f>IFERROR(VLOOKUP($C48,'_METADATA_TEMPLATE'!$B$2:$H$826,6,FALSE),"")</f>
        <v/>
      </c>
      <c r="H48" s="2" t="str">
        <f>IFERROR(VLOOKUP($C48,'_METADATA_TEMPLATE'!$B$2:$H$826,7,FALSE),"")</f>
        <v/>
      </c>
      <c r="I48" s="2" t="str">
        <f>IFERROR(VLOOKUP(C48,'_METADATA_DEFAULT'!$A:$B,2,FALSE),"")</f>
        <v>Kecamatan</v>
      </c>
    </row>
    <row r="49" ht="15.75" customHeight="1">
      <c r="A49" s="3" t="s">
        <v>393</v>
      </c>
      <c r="B49" s="3" t="s">
        <v>181</v>
      </c>
      <c r="C49" s="3" t="s">
        <v>181</v>
      </c>
      <c r="D49" s="3" t="str">
        <f>IFERROR(VLOOKUP($C49,'_METADATA_TEMPLATE'!$B$2:$H$826,2,FALSE),"")</f>
        <v/>
      </c>
      <c r="E49" s="3" t="str">
        <f>IFERROR(VLOOKUP($C49,'_METADATA_TEMPLATE'!$B$2:$H$826,4,FALSE),"")</f>
        <v/>
      </c>
      <c r="F49" s="3" t="str">
        <f>IFERROR(VLOOKUP($C49,'_METADATA_TEMPLATE'!$B$2:$H$826,5,FALSE),"")</f>
        <v/>
      </c>
      <c r="G49" s="3" t="str">
        <f>IFERROR(VLOOKUP($C49,'_METADATA_TEMPLATE'!$B$2:$H$826,6,FALSE),"")</f>
        <v/>
      </c>
      <c r="H49" s="3" t="str">
        <f>IFERROR(VLOOKUP($C49,'_METADATA_TEMPLATE'!$B$2:$H$826,7,FALSE),"")</f>
        <v/>
      </c>
      <c r="I49" s="3" t="str">
        <f>IFERROR(VLOOKUP(C49,'_METADATA_DEFAULT'!$A:$B,2,FALSE),"")</f>
        <v>Kode Kelurahan/Desa</v>
      </c>
    </row>
    <row r="50" ht="15.75" customHeight="1">
      <c r="A50" s="2" t="s">
        <v>393</v>
      </c>
      <c r="B50" s="2" t="s">
        <v>184</v>
      </c>
      <c r="C50" s="2" t="s">
        <v>184</v>
      </c>
      <c r="D50" s="2" t="str">
        <f>IFERROR(VLOOKUP($C50,'_METADATA_TEMPLATE'!$B$2:$H$826,2,FALSE),"")</f>
        <v/>
      </c>
      <c r="E50" s="2" t="str">
        <f>IFERROR(VLOOKUP($C50,'_METADATA_TEMPLATE'!$B$2:$H$826,4,FALSE),"")</f>
        <v/>
      </c>
      <c r="F50" s="2" t="str">
        <f>IFERROR(VLOOKUP($C50,'_METADATA_TEMPLATE'!$B$2:$H$826,5,FALSE),"")</f>
        <v/>
      </c>
      <c r="G50" s="2" t="str">
        <f>IFERROR(VLOOKUP($C50,'_METADATA_TEMPLATE'!$B$2:$H$826,6,FALSE),"")</f>
        <v/>
      </c>
      <c r="H50" s="2" t="str">
        <f>IFERROR(VLOOKUP($C50,'_METADATA_TEMPLATE'!$B$2:$H$826,7,FALSE),"")</f>
        <v/>
      </c>
      <c r="I50" s="2" t="str">
        <f>IFERROR(VLOOKUP(C50,'_METADATA_DEFAULT'!$A:$B,2,FALSE),"")</f>
        <v>Kode Lengkap Kelurahan/Desa</v>
      </c>
    </row>
    <row r="51" ht="15.75" customHeight="1">
      <c r="A51" s="3" t="s">
        <v>393</v>
      </c>
      <c r="B51" s="3" t="s">
        <v>188</v>
      </c>
      <c r="C51" s="3" t="s">
        <v>188</v>
      </c>
      <c r="D51" s="3" t="str">
        <f>IFERROR(VLOOKUP($C51,'_METADATA_TEMPLATE'!$B$2:$H$826,2,FALSE),"")</f>
        <v/>
      </c>
      <c r="E51" s="3" t="str">
        <f>IFERROR(VLOOKUP($C51,'_METADATA_TEMPLATE'!$B$2:$H$826,4,FALSE),"")</f>
        <v/>
      </c>
      <c r="F51" s="3" t="str">
        <f>IFERROR(VLOOKUP($C51,'_METADATA_TEMPLATE'!$B$2:$H$826,5,FALSE),"")</f>
        <v/>
      </c>
      <c r="G51" s="3" t="str">
        <f>IFERROR(VLOOKUP($C51,'_METADATA_TEMPLATE'!$B$2:$H$826,6,FALSE),"")</f>
        <v/>
      </c>
      <c r="H51" s="3" t="str">
        <f>IFERROR(VLOOKUP($C51,'_METADATA_TEMPLATE'!$B$2:$H$826,7,FALSE),"")</f>
        <v/>
      </c>
      <c r="I51" s="3" t="str">
        <f>IFERROR(VLOOKUP(C51,'_METADATA_DEFAULT'!$A:$B,2,FALSE),"")</f>
        <v>Kelurahan/Desa</v>
      </c>
    </row>
    <row r="52" ht="15.75" customHeight="1">
      <c r="A52" s="2" t="s">
        <v>393</v>
      </c>
      <c r="B52" s="2" t="s">
        <v>191</v>
      </c>
      <c r="C52" s="2" t="s">
        <v>191</v>
      </c>
      <c r="D52" s="2" t="str">
        <f>IFERROR(VLOOKUP($C52,'_METADATA_TEMPLATE'!$B$2:$H$826,2,FALSE),"")</f>
        <v/>
      </c>
      <c r="E52" s="2" t="str">
        <f>IFERROR(VLOOKUP($C52,'_METADATA_TEMPLATE'!$B$2:$H$826,4,FALSE),"")</f>
        <v/>
      </c>
      <c r="F52" s="2" t="str">
        <f>IFERROR(VLOOKUP($C52,'_METADATA_TEMPLATE'!$B$2:$H$826,5,FALSE),"")</f>
        <v/>
      </c>
      <c r="G52" s="2" t="str">
        <f>IFERROR(VLOOKUP($C52,'_METADATA_TEMPLATE'!$B$2:$H$826,6,FALSE),"")</f>
        <v/>
      </c>
      <c r="H52" s="2" t="str">
        <f>IFERROR(VLOOKUP($C52,'_METADATA_TEMPLATE'!$B$2:$H$826,7,FALSE),"")</f>
        <v/>
      </c>
      <c r="I52" s="2" t="str">
        <f>IFERROR(VLOOKUP(C52,'_METADATA_DEFAULT'!$A:$B,2,FALSE),"")</f>
        <v>Kode SLS</v>
      </c>
    </row>
    <row r="53" ht="15.75" customHeight="1">
      <c r="A53" s="3" t="s">
        <v>393</v>
      </c>
      <c r="B53" s="3" t="s">
        <v>194</v>
      </c>
      <c r="C53" s="3" t="s">
        <v>194</v>
      </c>
      <c r="D53" s="3" t="str">
        <f>IFERROR(VLOOKUP($C53,'_METADATA_TEMPLATE'!$B$2:$H$826,2,FALSE),"")</f>
        <v/>
      </c>
      <c r="E53" s="3" t="str">
        <f>IFERROR(VLOOKUP($C53,'_METADATA_TEMPLATE'!$B$2:$H$826,4,FALSE),"")</f>
        <v/>
      </c>
      <c r="F53" s="3" t="str">
        <f>IFERROR(VLOOKUP($C53,'_METADATA_TEMPLATE'!$B$2:$H$826,5,FALSE),"")</f>
        <v/>
      </c>
      <c r="G53" s="3" t="str">
        <f>IFERROR(VLOOKUP($C53,'_METADATA_TEMPLATE'!$B$2:$H$826,6,FALSE),"")</f>
        <v/>
      </c>
      <c r="H53" s="3" t="str">
        <f>IFERROR(VLOOKUP($C53,'_METADATA_TEMPLATE'!$B$2:$H$826,7,FALSE),"")</f>
        <v/>
      </c>
      <c r="I53" s="3" t="str">
        <f>IFERROR(VLOOKUP(C53,'_METADATA_DEFAULT'!$A:$B,2,FALSE),"")</f>
        <v>Kode Lengkap SLS</v>
      </c>
    </row>
    <row r="54" ht="15.75" customHeight="1">
      <c r="A54" s="2" t="s">
        <v>393</v>
      </c>
      <c r="B54" s="2" t="s">
        <v>197</v>
      </c>
      <c r="C54" s="2" t="s">
        <v>197</v>
      </c>
      <c r="D54" s="2" t="str">
        <f>IFERROR(VLOOKUP($C54,'_METADATA_TEMPLATE'!$B$2:$H$826,2,FALSE),"")</f>
        <v/>
      </c>
      <c r="E54" s="2" t="str">
        <f>IFERROR(VLOOKUP($C54,'_METADATA_TEMPLATE'!$B$2:$H$826,4,FALSE),"")</f>
        <v/>
      </c>
      <c r="F54" s="2" t="str">
        <f>IFERROR(VLOOKUP($C54,'_METADATA_TEMPLATE'!$B$2:$H$826,5,FALSE),"")</f>
        <v/>
      </c>
      <c r="G54" s="2" t="str">
        <f>IFERROR(VLOOKUP($C54,'_METADATA_TEMPLATE'!$B$2:$H$826,6,FALSE),"")</f>
        <v/>
      </c>
      <c r="H54" s="2" t="str">
        <f>IFERROR(VLOOKUP($C54,'_METADATA_TEMPLATE'!$B$2:$H$826,7,FALSE),"")</f>
        <v/>
      </c>
      <c r="I54" s="2" t="str">
        <f>IFERROR(VLOOKUP(C54,'_METADATA_DEFAULT'!$A:$B,2,FALSE),"")</f>
        <v>SLS</v>
      </c>
    </row>
    <row r="55" ht="15.75" customHeight="1">
      <c r="A55" s="3" t="s">
        <v>393</v>
      </c>
      <c r="B55" s="3" t="s">
        <v>202</v>
      </c>
      <c r="C55" s="3" t="s">
        <v>202</v>
      </c>
      <c r="D55" s="3" t="str">
        <f>IFERROR(VLOOKUP($C55,'_METADATA_TEMPLATE'!$B$2:$H$826,2,FALSE),"")</f>
        <v/>
      </c>
      <c r="E55" s="3" t="str">
        <f>IFERROR(VLOOKUP($C55,'_METADATA_TEMPLATE'!$B$2:$H$826,4,FALSE),"")</f>
        <v/>
      </c>
      <c r="F55" s="3" t="str">
        <f>IFERROR(VLOOKUP($C55,'_METADATA_TEMPLATE'!$B$2:$H$826,5,FALSE),"")</f>
        <v/>
      </c>
      <c r="G55" s="3" t="str">
        <f>IFERROR(VLOOKUP($C55,'_METADATA_TEMPLATE'!$B$2:$H$826,6,FALSE),"")</f>
        <v/>
      </c>
      <c r="H55" s="3" t="str">
        <f>IFERROR(VLOOKUP($C55,'_METADATA_TEMPLATE'!$B$2:$H$826,7,FALSE),"")</f>
        <v/>
      </c>
      <c r="I55" s="3" t="str">
        <f>IFERROR(VLOOKUP(C55,'_METADATA_DEFAULT'!$A:$B,2,FALSE),"")</f>
        <v>Kode Sub-SLS</v>
      </c>
    </row>
    <row r="56" ht="15.75" customHeight="1">
      <c r="A56" s="2" t="s">
        <v>393</v>
      </c>
      <c r="B56" s="2" t="s">
        <v>206</v>
      </c>
      <c r="C56" s="2" t="s">
        <v>206</v>
      </c>
      <c r="D56" s="2" t="str">
        <f>IFERROR(VLOOKUP($C56,'_METADATA_TEMPLATE'!$B$2:$H$826,2,FALSE),"")</f>
        <v/>
      </c>
      <c r="E56" s="2" t="str">
        <f>IFERROR(VLOOKUP($C56,'_METADATA_TEMPLATE'!$B$2:$H$826,4,FALSE),"")</f>
        <v/>
      </c>
      <c r="F56" s="2" t="str">
        <f>IFERROR(VLOOKUP($C56,'_METADATA_TEMPLATE'!$B$2:$H$826,5,FALSE),"")</f>
        <v/>
      </c>
      <c r="G56" s="2" t="str">
        <f>IFERROR(VLOOKUP($C56,'_METADATA_TEMPLATE'!$B$2:$H$826,6,FALSE),"")</f>
        <v/>
      </c>
      <c r="H56" s="2" t="str">
        <f>IFERROR(VLOOKUP($C56,'_METADATA_TEMPLATE'!$B$2:$H$826,7,FALSE),"")</f>
        <v/>
      </c>
      <c r="I56" s="2" t="str">
        <f>IFERROR(VLOOKUP(C56,'_METADATA_DEFAULT'!$A:$B,2,FALSE),"")</f>
        <v>Kode Lengkap Sub-SLS</v>
      </c>
    </row>
    <row r="57" ht="15.75" customHeight="1">
      <c r="A57" s="3" t="s">
        <v>393</v>
      </c>
      <c r="B57" s="3" t="s">
        <v>209</v>
      </c>
      <c r="C57" s="3" t="s">
        <v>209</v>
      </c>
      <c r="D57" s="3" t="str">
        <f>IFERROR(VLOOKUP($C57,'_METADATA_TEMPLATE'!$B$2:$H$826,2,FALSE),"")</f>
        <v/>
      </c>
      <c r="E57" s="3" t="str">
        <f>IFERROR(VLOOKUP($C57,'_METADATA_TEMPLATE'!$B$2:$H$826,4,FALSE),"")</f>
        <v/>
      </c>
      <c r="F57" s="3" t="str">
        <f>IFERROR(VLOOKUP($C57,'_METADATA_TEMPLATE'!$B$2:$H$826,5,FALSE),"")</f>
        <v/>
      </c>
      <c r="G57" s="3" t="str">
        <f>IFERROR(VLOOKUP($C57,'_METADATA_TEMPLATE'!$B$2:$H$826,6,FALSE),"")</f>
        <v/>
      </c>
      <c r="H57" s="3" t="str">
        <f>IFERROR(VLOOKUP($C57,'_METADATA_TEMPLATE'!$B$2:$H$826,7,FALSE),"")</f>
        <v/>
      </c>
      <c r="I57" s="3" t="str">
        <f>IFERROR(VLOOKUP(C57,'_METADATA_DEFAULT'!$A:$B,2,FALSE),"")</f>
        <v>Sub-SLS</v>
      </c>
    </row>
    <row r="58" ht="15.75" customHeight="1">
      <c r="A58" s="2" t="s">
        <v>393</v>
      </c>
      <c r="B58" s="2" t="s">
        <v>211</v>
      </c>
      <c r="C58" s="2" t="s">
        <v>211</v>
      </c>
      <c r="D58" s="2" t="str">
        <f>IFERROR(VLOOKUP($C58,'_METADATA_TEMPLATE'!$B$2:$H$826,2,FALSE),"")</f>
        <v/>
      </c>
      <c r="E58" s="2" t="str">
        <f>IFERROR(VLOOKUP($C58,'_METADATA_TEMPLATE'!$B$2:$H$826,4,FALSE),"")</f>
        <v/>
      </c>
      <c r="F58" s="2" t="str">
        <f>IFERROR(VLOOKUP($C58,'_METADATA_TEMPLATE'!$B$2:$H$826,5,FALSE),"")</f>
        <v/>
      </c>
      <c r="G58" s="2" t="str">
        <f>IFERROR(VLOOKUP($C58,'_METADATA_TEMPLATE'!$B$2:$H$826,6,FALSE),"")</f>
        <v/>
      </c>
      <c r="H58" s="2" t="str">
        <f>IFERROR(VLOOKUP($C58,'_METADATA_TEMPLATE'!$B$2:$H$826,7,FALSE),"")</f>
        <v/>
      </c>
      <c r="I58" s="2" t="str">
        <f>IFERROR(VLOOKUP(C58,'_METADATA_DEFAULT'!$A:$B,2,FALSE),"")</f>
        <v/>
      </c>
    </row>
    <row r="59" ht="15.75" customHeight="1">
      <c r="A59" s="3" t="s">
        <v>393</v>
      </c>
      <c r="B59" s="3" t="s">
        <v>214</v>
      </c>
      <c r="C59" s="3" t="s">
        <v>214</v>
      </c>
      <c r="D59" s="3" t="str">
        <f>IFERROR(VLOOKUP($C59,'_METADATA_TEMPLATE'!$B$2:$H$826,2,FALSE),"")</f>
        <v/>
      </c>
      <c r="E59" s="3" t="str">
        <f>IFERROR(VLOOKUP($C59,'_METADATA_TEMPLATE'!$B$2:$H$826,4,FALSE),"")</f>
        <v/>
      </c>
      <c r="F59" s="3" t="str">
        <f>IFERROR(VLOOKUP($C59,'_METADATA_TEMPLATE'!$B$2:$H$826,5,FALSE),"")</f>
        <v/>
      </c>
      <c r="G59" s="3" t="str">
        <f>IFERROR(VLOOKUP($C59,'_METADATA_TEMPLATE'!$B$2:$H$826,6,FALSE),"")</f>
        <v/>
      </c>
      <c r="H59" s="3" t="str">
        <f>IFERROR(VLOOKUP($C59,'_METADATA_TEMPLATE'!$B$2:$H$826,7,FALSE),"")</f>
        <v/>
      </c>
      <c r="I59" s="3" t="str">
        <f>IFERROR(VLOOKUP(C59,'_METADATA_DEFAULT'!$A:$B,2,FALSE),"")</f>
        <v/>
      </c>
    </row>
    <row r="60" ht="15.75" customHeight="1">
      <c r="A60" s="2" t="s">
        <v>393</v>
      </c>
      <c r="B60" s="2" t="s">
        <v>216</v>
      </c>
      <c r="C60" s="2" t="s">
        <v>216</v>
      </c>
      <c r="D60" s="2" t="str">
        <f>IFERROR(VLOOKUP($C60,'_METADATA_TEMPLATE'!$B$2:$H$826,2,FALSE),"")</f>
        <v/>
      </c>
      <c r="E60" s="2" t="str">
        <f>IFERROR(VLOOKUP($C60,'_METADATA_TEMPLATE'!$B$2:$H$826,4,FALSE),"")</f>
        <v/>
      </c>
      <c r="F60" s="2" t="str">
        <f>IFERROR(VLOOKUP($C60,'_METADATA_TEMPLATE'!$B$2:$H$826,5,FALSE),"")</f>
        <v/>
      </c>
      <c r="G60" s="2" t="str">
        <f>IFERROR(VLOOKUP($C60,'_METADATA_TEMPLATE'!$B$2:$H$826,6,FALSE),"")</f>
        <v/>
      </c>
      <c r="H60" s="2" t="str">
        <f>IFERROR(VLOOKUP($C60,'_METADATA_TEMPLATE'!$B$2:$H$826,7,FALSE),"")</f>
        <v/>
      </c>
      <c r="I60" s="2" t="str">
        <f>IFERROR(VLOOKUP(C60,'_METADATA_DEFAULT'!$A:$B,2,FALSE),"")</f>
        <v/>
      </c>
    </row>
    <row r="61" ht="15.75" customHeight="1">
      <c r="A61" s="3" t="s">
        <v>393</v>
      </c>
      <c r="B61" s="3" t="s">
        <v>218</v>
      </c>
      <c r="C61" s="3" t="s">
        <v>218</v>
      </c>
      <c r="D61" s="3" t="str">
        <f>IFERROR(VLOOKUP($C61,'_METADATA_TEMPLATE'!$B$2:$H$826,2,FALSE),"")</f>
        <v/>
      </c>
      <c r="E61" s="3" t="str">
        <f>IFERROR(VLOOKUP($C61,'_METADATA_TEMPLATE'!$B$2:$H$826,4,FALSE),"")</f>
        <v/>
      </c>
      <c r="F61" s="3" t="str">
        <f>IFERROR(VLOOKUP($C61,'_METADATA_TEMPLATE'!$B$2:$H$826,5,FALSE),"")</f>
        <v/>
      </c>
      <c r="G61" s="3" t="str">
        <f>IFERROR(VLOOKUP($C61,'_METADATA_TEMPLATE'!$B$2:$H$826,6,FALSE),"")</f>
        <v/>
      </c>
      <c r="H61" s="3" t="str">
        <f>IFERROR(VLOOKUP($C61,'_METADATA_TEMPLATE'!$B$2:$H$826,7,FALSE),"")</f>
        <v/>
      </c>
      <c r="I61" s="3" t="str">
        <f>IFERROR(VLOOKUP(C61,'_METADATA_DEFAULT'!$A:$B,2,FALSE),"")</f>
        <v/>
      </c>
    </row>
    <row r="62" ht="15.75" customHeight="1">
      <c r="A62" s="2" t="s">
        <v>393</v>
      </c>
      <c r="B62" s="2" t="s">
        <v>221</v>
      </c>
      <c r="C62" s="2" t="s">
        <v>221</v>
      </c>
      <c r="D62" s="2" t="str">
        <f>IFERROR(VLOOKUP($C62,'_METADATA_TEMPLATE'!$B$2:$H$826,2,FALSE),"")</f>
        <v/>
      </c>
      <c r="E62" s="2" t="str">
        <f>IFERROR(VLOOKUP($C62,'_METADATA_TEMPLATE'!$B$2:$H$826,4,FALSE),"")</f>
        <v/>
      </c>
      <c r="F62" s="2" t="str">
        <f>IFERROR(VLOOKUP($C62,'_METADATA_TEMPLATE'!$B$2:$H$826,5,FALSE),"")</f>
        <v/>
      </c>
      <c r="G62" s="2" t="str">
        <f>IFERROR(VLOOKUP($C62,'_METADATA_TEMPLATE'!$B$2:$H$826,6,FALSE),"")</f>
        <v/>
      </c>
      <c r="H62" s="2" t="str">
        <f>IFERROR(VLOOKUP($C62,'_METADATA_TEMPLATE'!$B$2:$H$826,7,FALSE),"")</f>
        <v/>
      </c>
      <c r="I62" s="2" t="str">
        <f>IFERROR(VLOOKUP(C62,'_METADATA_DEFAULT'!$A:$B,2,FALSE),"")</f>
        <v/>
      </c>
    </row>
    <row r="63" ht="15.75" customHeight="1">
      <c r="A63" s="3" t="s">
        <v>393</v>
      </c>
      <c r="B63" s="3" t="s">
        <v>225</v>
      </c>
      <c r="C63" s="3" t="s">
        <v>225</v>
      </c>
      <c r="D63" s="3" t="str">
        <f>IFERROR(VLOOKUP($C63,'_METADATA_TEMPLATE'!$B$2:$H$826,2,FALSE),"")</f>
        <v/>
      </c>
      <c r="E63" s="3" t="str">
        <f>IFERROR(VLOOKUP($C63,'_METADATA_TEMPLATE'!$B$2:$H$826,4,FALSE),"")</f>
        <v/>
      </c>
      <c r="F63" s="3" t="str">
        <f>IFERROR(VLOOKUP($C63,'_METADATA_TEMPLATE'!$B$2:$H$826,5,FALSE),"")</f>
        <v/>
      </c>
      <c r="G63" s="3" t="str">
        <f>IFERROR(VLOOKUP($C63,'_METADATA_TEMPLATE'!$B$2:$H$826,6,FALSE),"")</f>
        <v/>
      </c>
      <c r="H63" s="3" t="str">
        <f>IFERROR(VLOOKUP($C63,'_METADATA_TEMPLATE'!$B$2:$H$826,7,FALSE),"")</f>
        <v/>
      </c>
      <c r="I63" s="3" t="str">
        <f>IFERROR(VLOOKUP(C63,'_METADATA_DEFAULT'!$A:$B,2,FALSE),"")</f>
        <v/>
      </c>
    </row>
    <row r="64" ht="15.75" customHeight="1">
      <c r="A64" s="2" t="s">
        <v>393</v>
      </c>
      <c r="B64" s="2" t="s">
        <v>227</v>
      </c>
      <c r="C64" s="2" t="s">
        <v>227</v>
      </c>
      <c r="D64" s="2" t="str">
        <f>IFERROR(VLOOKUP($C64,'_METADATA_TEMPLATE'!$B$2:$H$826,2,FALSE),"")</f>
        <v/>
      </c>
      <c r="E64" s="2" t="str">
        <f>IFERROR(VLOOKUP($C64,'_METADATA_TEMPLATE'!$B$2:$H$826,4,FALSE),"")</f>
        <v/>
      </c>
      <c r="F64" s="2" t="str">
        <f>IFERROR(VLOOKUP($C64,'_METADATA_TEMPLATE'!$B$2:$H$826,5,FALSE),"")</f>
        <v/>
      </c>
      <c r="G64" s="2" t="str">
        <f>IFERROR(VLOOKUP($C64,'_METADATA_TEMPLATE'!$B$2:$H$826,6,FALSE),"")</f>
        <v/>
      </c>
      <c r="H64" s="2" t="str">
        <f>IFERROR(VLOOKUP($C64,'_METADATA_TEMPLATE'!$B$2:$H$826,7,FALSE),"")</f>
        <v/>
      </c>
      <c r="I64" s="2" t="str">
        <f>IFERROR(VLOOKUP(C64,'_METADATA_DEFAULT'!$A:$B,2,FALSE),"")</f>
        <v/>
      </c>
    </row>
    <row r="65" ht="15.75" customHeight="1">
      <c r="A65" s="3" t="s">
        <v>393</v>
      </c>
      <c r="B65" s="3" t="s">
        <v>230</v>
      </c>
      <c r="C65" s="3" t="s">
        <v>230</v>
      </c>
      <c r="D65" s="3" t="str">
        <f>IFERROR(VLOOKUP($C65,'_METADATA_TEMPLATE'!$B$2:$H$826,2,FALSE),"")</f>
        <v/>
      </c>
      <c r="E65" s="3" t="str">
        <f>IFERROR(VLOOKUP($C65,'_METADATA_TEMPLATE'!$B$2:$H$826,4,FALSE),"")</f>
        <v/>
      </c>
      <c r="F65" s="3" t="str">
        <f>IFERROR(VLOOKUP($C65,'_METADATA_TEMPLATE'!$B$2:$H$826,5,FALSE),"")</f>
        <v/>
      </c>
      <c r="G65" s="3" t="str">
        <f>IFERROR(VLOOKUP($C65,'_METADATA_TEMPLATE'!$B$2:$H$826,6,FALSE),"")</f>
        <v/>
      </c>
      <c r="H65" s="3" t="str">
        <f>IFERROR(VLOOKUP($C65,'_METADATA_TEMPLATE'!$B$2:$H$826,7,FALSE),"")</f>
        <v/>
      </c>
      <c r="I65" s="3" t="str">
        <f>IFERROR(VLOOKUP(C65,'_METADATA_DEFAULT'!$A:$B,2,FALSE),"")</f>
        <v/>
      </c>
    </row>
    <row r="66" ht="15.75" customHeight="1">
      <c r="A66" s="2" t="s">
        <v>393</v>
      </c>
      <c r="B66" s="2" t="s">
        <v>234</v>
      </c>
      <c r="C66" s="2" t="s">
        <v>234</v>
      </c>
      <c r="D66" s="2" t="str">
        <f>IFERROR(VLOOKUP($C66,'_METADATA_TEMPLATE'!$B$2:$H$826,2,FALSE),"")</f>
        <v/>
      </c>
      <c r="E66" s="2" t="str">
        <f>IFERROR(VLOOKUP($C66,'_METADATA_TEMPLATE'!$B$2:$H$826,4,FALSE),"")</f>
        <v/>
      </c>
      <c r="F66" s="2" t="str">
        <f>IFERROR(VLOOKUP($C66,'_METADATA_TEMPLATE'!$B$2:$H$826,5,FALSE),"")</f>
        <v/>
      </c>
      <c r="G66" s="2" t="str">
        <f>IFERROR(VLOOKUP($C66,'_METADATA_TEMPLATE'!$B$2:$H$826,6,FALSE),"")</f>
        <v/>
      </c>
      <c r="H66" s="2" t="str">
        <f>IFERROR(VLOOKUP($C66,'_METADATA_TEMPLATE'!$B$2:$H$826,7,FALSE),"")</f>
        <v/>
      </c>
      <c r="I66" s="2" t="str">
        <f>IFERROR(VLOOKUP(C66,'_METADATA_DEFAULT'!$A:$B,2,FALSE),"")</f>
        <v/>
      </c>
    </row>
    <row r="67" ht="15.75" customHeight="1">
      <c r="A67" s="3" t="s">
        <v>393</v>
      </c>
      <c r="B67" s="3" t="s">
        <v>235</v>
      </c>
      <c r="C67" s="3" t="s">
        <v>235</v>
      </c>
      <c r="D67" s="3" t="str">
        <f>IFERROR(VLOOKUP($C67,'_METADATA_TEMPLATE'!$B$2:$H$826,2,FALSE),"")</f>
        <v/>
      </c>
      <c r="E67" s="3" t="str">
        <f>IFERROR(VLOOKUP($C67,'_METADATA_TEMPLATE'!$B$2:$H$826,4,FALSE),"")</f>
        <v/>
      </c>
      <c r="F67" s="3" t="str">
        <f>IFERROR(VLOOKUP($C67,'_METADATA_TEMPLATE'!$B$2:$H$826,5,FALSE),"")</f>
        <v/>
      </c>
      <c r="G67" s="3" t="str">
        <f>IFERROR(VLOOKUP($C67,'_METADATA_TEMPLATE'!$B$2:$H$826,6,FALSE),"")</f>
        <v/>
      </c>
      <c r="H67" s="3" t="str">
        <f>IFERROR(VLOOKUP($C67,'_METADATA_TEMPLATE'!$B$2:$H$826,7,FALSE),"")</f>
        <v/>
      </c>
      <c r="I67" s="3" t="str">
        <f>IFERROR(VLOOKUP(C67,'_METADATA_DEFAULT'!$A:$B,2,FALSE),"")</f>
        <v/>
      </c>
    </row>
    <row r="68" ht="15.75" customHeight="1">
      <c r="A68" s="2" t="s">
        <v>393</v>
      </c>
      <c r="B68" s="2" t="s">
        <v>39</v>
      </c>
      <c r="C68" s="2" t="s">
        <v>39</v>
      </c>
      <c r="D68" s="2" t="str">
        <f>IFERROR(VLOOKUP($C68,'_METADATA_TEMPLATE'!$B$2:$H$826,2,FALSE),"")</f>
        <v/>
      </c>
      <c r="E68" s="2" t="str">
        <f>IFERROR(VLOOKUP($C68,'_METADATA_TEMPLATE'!$B$2:$H$826,4,FALSE),"")</f>
        <v/>
      </c>
      <c r="F68" s="2" t="str">
        <f>IFERROR(VLOOKUP($C68,'_METADATA_TEMPLATE'!$B$2:$H$826,5,FALSE),"")</f>
        <v/>
      </c>
      <c r="G68" s="2" t="str">
        <f>IFERROR(VLOOKUP($C68,'_METADATA_TEMPLATE'!$B$2:$H$826,6,FALSE),"")</f>
        <v/>
      </c>
      <c r="H68" s="2" t="str">
        <f>IFERROR(VLOOKUP($C68,'_METADATA_TEMPLATE'!$B$2:$H$826,7,FALSE),"")</f>
        <v/>
      </c>
      <c r="I68" s="2" t="str">
        <f>IFERROR(VLOOKUP(C68,'_METADATA_DEFAULT'!$A:$B,2,FALSE),"")</f>
        <v/>
      </c>
    </row>
    <row r="69" ht="15.75" customHeight="1">
      <c r="A69" s="3" t="s">
        <v>393</v>
      </c>
      <c r="B69" s="3" t="s">
        <v>239</v>
      </c>
      <c r="C69" s="3" t="s">
        <v>239</v>
      </c>
      <c r="D69" s="3" t="str">
        <f>IFERROR(VLOOKUP($C69,'_METADATA_TEMPLATE'!$B$2:$H$826,2,FALSE),"")</f>
        <v/>
      </c>
      <c r="E69" s="3" t="str">
        <f>IFERROR(VLOOKUP($C69,'_METADATA_TEMPLATE'!$B$2:$H$826,4,FALSE),"")</f>
        <v/>
      </c>
      <c r="F69" s="3" t="str">
        <f>IFERROR(VLOOKUP($C69,'_METADATA_TEMPLATE'!$B$2:$H$826,5,FALSE),"")</f>
        <v/>
      </c>
      <c r="G69" s="3" t="str">
        <f>IFERROR(VLOOKUP($C69,'_METADATA_TEMPLATE'!$B$2:$H$826,6,FALSE),"")</f>
        <v/>
      </c>
      <c r="H69" s="3" t="str">
        <f>IFERROR(VLOOKUP($C69,'_METADATA_TEMPLATE'!$B$2:$H$826,7,FALSE),"")</f>
        <v/>
      </c>
      <c r="I69" s="3" t="str">
        <f>IFERROR(VLOOKUP(C69,'_METADATA_DEFAULT'!$A:$B,2,FALSE),"")</f>
        <v/>
      </c>
    </row>
    <row r="70" ht="15.75" customHeight="1">
      <c r="A70" s="2" t="s">
        <v>393</v>
      </c>
      <c r="B70" s="2" t="s">
        <v>242</v>
      </c>
      <c r="C70" s="2" t="s">
        <v>242</v>
      </c>
      <c r="D70" s="2" t="str">
        <f>IFERROR(VLOOKUP($C70,'_METADATA_TEMPLATE'!$B$2:$H$826,2,FALSE),"")</f>
        <v/>
      </c>
      <c r="E70" s="2" t="str">
        <f>IFERROR(VLOOKUP($C70,'_METADATA_TEMPLATE'!$B$2:$H$826,4,FALSE),"")</f>
        <v/>
      </c>
      <c r="F70" s="2" t="str">
        <f>IFERROR(VLOOKUP($C70,'_METADATA_TEMPLATE'!$B$2:$H$826,5,FALSE),"")</f>
        <v/>
      </c>
      <c r="G70" s="2" t="str">
        <f>IFERROR(VLOOKUP($C70,'_METADATA_TEMPLATE'!$B$2:$H$826,6,FALSE),"")</f>
        <v/>
      </c>
      <c r="H70" s="2" t="str">
        <f>IFERROR(VLOOKUP($C70,'_METADATA_TEMPLATE'!$B$2:$H$826,7,FALSE),"")</f>
        <v/>
      </c>
      <c r="I70" s="2" t="str">
        <f>IFERROR(VLOOKUP(C70,'_METADATA_DEFAULT'!$A:$B,2,FALSE),"")</f>
        <v/>
      </c>
    </row>
    <row r="71" ht="15.75" customHeight="1">
      <c r="A71" s="3" t="s">
        <v>393</v>
      </c>
      <c r="B71" s="3" t="s">
        <v>245</v>
      </c>
      <c r="C71" s="3" t="s">
        <v>245</v>
      </c>
      <c r="D71" s="3" t="str">
        <f>IFERROR(VLOOKUP($C71,'_METADATA_TEMPLATE'!$B$2:$H$826,2,FALSE),"")</f>
        <v/>
      </c>
      <c r="E71" s="3" t="str">
        <f>IFERROR(VLOOKUP($C71,'_METADATA_TEMPLATE'!$B$2:$H$826,4,FALSE),"")</f>
        <v/>
      </c>
      <c r="F71" s="3" t="str">
        <f>IFERROR(VLOOKUP($C71,'_METADATA_TEMPLATE'!$B$2:$H$826,5,FALSE),"")</f>
        <v/>
      </c>
      <c r="G71" s="3" t="str">
        <f>IFERROR(VLOOKUP($C71,'_METADATA_TEMPLATE'!$B$2:$H$826,6,FALSE),"")</f>
        <v/>
      </c>
      <c r="H71" s="3" t="str">
        <f>IFERROR(VLOOKUP($C71,'_METADATA_TEMPLATE'!$B$2:$H$826,7,FALSE),"")</f>
        <v/>
      </c>
      <c r="I71" s="3" t="str">
        <f>IFERROR(VLOOKUP(C71,'_METADATA_DEFAULT'!$A:$B,2,FALSE),"")</f>
        <v/>
      </c>
    </row>
    <row r="72" ht="15.75" customHeight="1">
      <c r="A72" s="2" t="s">
        <v>393</v>
      </c>
      <c r="B72" s="2" t="s">
        <v>246</v>
      </c>
      <c r="C72" s="2" t="s">
        <v>246</v>
      </c>
      <c r="D72" s="2" t="str">
        <f>IFERROR(VLOOKUP($C72,'_METADATA_TEMPLATE'!$B$2:$H$826,2,FALSE),"")</f>
        <v/>
      </c>
      <c r="E72" s="2" t="str">
        <f>IFERROR(VLOOKUP($C72,'_METADATA_TEMPLATE'!$B$2:$H$826,4,FALSE),"")</f>
        <v/>
      </c>
      <c r="F72" s="2" t="str">
        <f>IFERROR(VLOOKUP($C72,'_METADATA_TEMPLATE'!$B$2:$H$826,5,FALSE),"")</f>
        <v/>
      </c>
      <c r="G72" s="2" t="str">
        <f>IFERROR(VLOOKUP($C72,'_METADATA_TEMPLATE'!$B$2:$H$826,6,FALSE),"")</f>
        <v/>
      </c>
      <c r="H72" s="2" t="str">
        <f>IFERROR(VLOOKUP($C72,'_METADATA_TEMPLATE'!$B$2:$H$826,7,FALSE),"")</f>
        <v/>
      </c>
      <c r="I72" s="2" t="str">
        <f>IFERROR(VLOOKUP(C72,'_METADATA_DEFAULT'!$A:$B,2,FALSE),"")</f>
        <v>-</v>
      </c>
    </row>
    <row r="73" ht="15.75" customHeight="1">
      <c r="A73" s="3" t="s">
        <v>393</v>
      </c>
      <c r="B73" s="3" t="s">
        <v>248</v>
      </c>
      <c r="C73" s="3" t="s">
        <v>248</v>
      </c>
      <c r="D73" s="3" t="str">
        <f>IFERROR(VLOOKUP($C73,'_METADATA_TEMPLATE'!$B$2:$H$826,2,FALSE),"")</f>
        <v/>
      </c>
      <c r="E73" s="3" t="str">
        <f>IFERROR(VLOOKUP($C73,'_METADATA_TEMPLATE'!$B$2:$H$826,4,FALSE),"")</f>
        <v/>
      </c>
      <c r="F73" s="3" t="str">
        <f>IFERROR(VLOOKUP($C73,'_METADATA_TEMPLATE'!$B$2:$H$826,5,FALSE),"")</f>
        <v/>
      </c>
      <c r="G73" s="3" t="str">
        <f>IFERROR(VLOOKUP($C73,'_METADATA_TEMPLATE'!$B$2:$H$826,6,FALSE),"")</f>
        <v/>
      </c>
      <c r="H73" s="3" t="str">
        <f>IFERROR(VLOOKUP($C73,'_METADATA_TEMPLATE'!$B$2:$H$826,7,FALSE),"")</f>
        <v/>
      </c>
      <c r="I73" s="3" t="str">
        <f>IFERROR(VLOOKUP(C73,'_METADATA_DEFAULT'!$A:$B,2,FALSE),"")</f>
        <v/>
      </c>
    </row>
    <row r="74" ht="15.75" customHeight="1">
      <c r="A74" s="2" t="s">
        <v>393</v>
      </c>
      <c r="B74" s="2" t="s">
        <v>253</v>
      </c>
      <c r="C74" s="2" t="s">
        <v>253</v>
      </c>
      <c r="D74" s="2" t="str">
        <f>IFERROR(VLOOKUP($C74,'_METADATA_TEMPLATE'!$B$2:$H$826,2,FALSE),"")</f>
        <v/>
      </c>
      <c r="E74" s="2" t="str">
        <f>IFERROR(VLOOKUP($C74,'_METADATA_TEMPLATE'!$B$2:$H$826,4,FALSE),"")</f>
        <v/>
      </c>
      <c r="F74" s="2" t="str">
        <f>IFERROR(VLOOKUP($C74,'_METADATA_TEMPLATE'!$B$2:$H$826,5,FALSE),"")</f>
        <v/>
      </c>
      <c r="G74" s="2" t="str">
        <f>IFERROR(VLOOKUP($C74,'_METADATA_TEMPLATE'!$B$2:$H$826,6,FALSE),"")</f>
        <v/>
      </c>
      <c r="H74" s="2" t="str">
        <f>IFERROR(VLOOKUP($C74,'_METADATA_TEMPLATE'!$B$2:$H$826,7,FALSE),"")</f>
        <v/>
      </c>
      <c r="I74" s="2" t="str">
        <f>IFERROR(VLOOKUP(C74,'_METADATA_DEFAULT'!$A:$B,2,FALSE),"")</f>
        <v/>
      </c>
    </row>
    <row r="75" ht="15.75" customHeight="1">
      <c r="A75" s="3" t="s">
        <v>393</v>
      </c>
      <c r="B75" s="3" t="s">
        <v>255</v>
      </c>
      <c r="C75" s="3" t="s">
        <v>255</v>
      </c>
      <c r="D75" s="3" t="str">
        <f>IFERROR(VLOOKUP($C75,'_METADATA_TEMPLATE'!$B$2:$H$826,2,FALSE),"")</f>
        <v/>
      </c>
      <c r="E75" s="3" t="str">
        <f>IFERROR(VLOOKUP($C75,'_METADATA_TEMPLATE'!$B$2:$H$826,4,FALSE),"")</f>
        <v/>
      </c>
      <c r="F75" s="3" t="str">
        <f>IFERROR(VLOOKUP($C75,'_METADATA_TEMPLATE'!$B$2:$H$826,5,FALSE),"")</f>
        <v/>
      </c>
      <c r="G75" s="3" t="str">
        <f>IFERROR(VLOOKUP($C75,'_METADATA_TEMPLATE'!$B$2:$H$826,6,FALSE),"")</f>
        <v/>
      </c>
      <c r="H75" s="3" t="str">
        <f>IFERROR(VLOOKUP($C75,'_METADATA_TEMPLATE'!$B$2:$H$826,7,FALSE),"")</f>
        <v/>
      </c>
      <c r="I75" s="3" t="str">
        <f>IFERROR(VLOOKUP(C75,'_METADATA_DEFAULT'!$A:$B,2,FALSE),"")</f>
        <v/>
      </c>
    </row>
    <row r="76" ht="15.75" customHeight="1">
      <c r="A76" s="2" t="s">
        <v>393</v>
      </c>
      <c r="B76" s="2" t="s">
        <v>261</v>
      </c>
      <c r="C76" s="2" t="s">
        <v>261</v>
      </c>
      <c r="D76" s="2" t="str">
        <f>IFERROR(VLOOKUP($C76,'_METADATA_TEMPLATE'!$B$2:$H$826,2,FALSE),"")</f>
        <v/>
      </c>
      <c r="E76" s="2" t="str">
        <f>IFERROR(VLOOKUP($C76,'_METADATA_TEMPLATE'!$B$2:$H$826,4,FALSE),"")</f>
        <v/>
      </c>
      <c r="F76" s="2" t="str">
        <f>IFERROR(VLOOKUP($C76,'_METADATA_TEMPLATE'!$B$2:$H$826,5,FALSE),"")</f>
        <v/>
      </c>
      <c r="G76" s="2" t="str">
        <f>IFERROR(VLOOKUP($C76,'_METADATA_TEMPLATE'!$B$2:$H$826,6,FALSE),"")</f>
        <v/>
      </c>
      <c r="H76" s="2" t="str">
        <f>IFERROR(VLOOKUP($C76,'_METADATA_TEMPLATE'!$B$2:$H$826,7,FALSE),"")</f>
        <v/>
      </c>
      <c r="I76" s="2" t="str">
        <f>IFERROR(VLOOKUP(C76,'_METADATA_DEFAULT'!$A:$B,2,FALSE),"")</f>
        <v/>
      </c>
    </row>
    <row r="77" ht="15.75" customHeight="1">
      <c r="A77" s="3" t="s">
        <v>393</v>
      </c>
      <c r="B77" s="3" t="s">
        <v>265</v>
      </c>
      <c r="C77" s="3" t="s">
        <v>265</v>
      </c>
      <c r="D77" s="3" t="str">
        <f>IFERROR(VLOOKUP($C77,'_METADATA_TEMPLATE'!$B$2:$H$826,2,FALSE),"")</f>
        <v/>
      </c>
      <c r="E77" s="3" t="str">
        <f>IFERROR(VLOOKUP($C77,'_METADATA_TEMPLATE'!$B$2:$H$826,4,FALSE),"")</f>
        <v/>
      </c>
      <c r="F77" s="3" t="str">
        <f>IFERROR(VLOOKUP($C77,'_METADATA_TEMPLATE'!$B$2:$H$826,5,FALSE),"")</f>
        <v/>
      </c>
      <c r="G77" s="3" t="str">
        <f>IFERROR(VLOOKUP($C77,'_METADATA_TEMPLATE'!$B$2:$H$826,6,FALSE),"")</f>
        <v/>
      </c>
      <c r="H77" s="3" t="str">
        <f>IFERROR(VLOOKUP($C77,'_METADATA_TEMPLATE'!$B$2:$H$826,7,FALSE),"")</f>
        <v/>
      </c>
      <c r="I77" s="3" t="str">
        <f>IFERROR(VLOOKUP(C77,'_METADATA_DEFAULT'!$A:$B,2,FALSE),"")</f>
        <v/>
      </c>
    </row>
    <row r="78" ht="15.75" customHeight="1">
      <c r="A78" s="2" t="s">
        <v>393</v>
      </c>
      <c r="B78" s="2" t="s">
        <v>269</v>
      </c>
      <c r="C78" s="2" t="s">
        <v>269</v>
      </c>
      <c r="D78" s="2" t="str">
        <f>IFERROR(VLOOKUP($C78,'_METADATA_TEMPLATE'!$B$2:$H$826,2,FALSE),"")</f>
        <v/>
      </c>
      <c r="E78" s="2" t="str">
        <f>IFERROR(VLOOKUP($C78,'_METADATA_TEMPLATE'!$B$2:$H$826,4,FALSE),"")</f>
        <v/>
      </c>
      <c r="F78" s="2" t="str">
        <f>IFERROR(VLOOKUP($C78,'_METADATA_TEMPLATE'!$B$2:$H$826,5,FALSE),"")</f>
        <v/>
      </c>
      <c r="G78" s="2" t="str">
        <f>IFERROR(VLOOKUP($C78,'_METADATA_TEMPLATE'!$B$2:$H$826,6,FALSE),"")</f>
        <v/>
      </c>
      <c r="H78" s="2" t="str">
        <f>IFERROR(VLOOKUP($C78,'_METADATA_TEMPLATE'!$B$2:$H$826,7,FALSE),"")</f>
        <v/>
      </c>
      <c r="I78" s="2" t="str">
        <f>IFERROR(VLOOKUP(C78,'_METADATA_DEFAULT'!$A:$B,2,FALSE),"")</f>
        <v/>
      </c>
    </row>
    <row r="79" ht="15.75" customHeight="1">
      <c r="A79" s="3" t="s">
        <v>393</v>
      </c>
      <c r="B79" s="3" t="s">
        <v>272</v>
      </c>
      <c r="C79" s="3" t="s">
        <v>272</v>
      </c>
      <c r="D79" s="3" t="str">
        <f>IFERROR(VLOOKUP($C79,'_METADATA_TEMPLATE'!$B$2:$H$826,2,FALSE),"")</f>
        <v/>
      </c>
      <c r="E79" s="3" t="str">
        <f>IFERROR(VLOOKUP($C79,'_METADATA_TEMPLATE'!$B$2:$H$826,4,FALSE),"")</f>
        <v/>
      </c>
      <c r="F79" s="3" t="str">
        <f>IFERROR(VLOOKUP($C79,'_METADATA_TEMPLATE'!$B$2:$H$826,5,FALSE),"")</f>
        <v/>
      </c>
      <c r="G79" s="3" t="str">
        <f>IFERROR(VLOOKUP($C79,'_METADATA_TEMPLATE'!$B$2:$H$826,6,FALSE),"")</f>
        <v/>
      </c>
      <c r="H79" s="3" t="str">
        <f>IFERROR(VLOOKUP($C79,'_METADATA_TEMPLATE'!$B$2:$H$826,7,FALSE),"")</f>
        <v/>
      </c>
      <c r="I79" s="3" t="str">
        <f>IFERROR(VLOOKUP(C79,'_METADATA_DEFAULT'!$A:$B,2,FALSE),"")</f>
        <v/>
      </c>
    </row>
    <row r="80" ht="15.75" customHeight="1">
      <c r="A80" s="2" t="s">
        <v>393</v>
      </c>
      <c r="B80" s="2" t="s">
        <v>75</v>
      </c>
      <c r="C80" s="2" t="s">
        <v>75</v>
      </c>
      <c r="D80" s="2" t="str">
        <f>IFERROR(VLOOKUP($C80,'_METADATA_TEMPLATE'!$B$2:$H$826,2,FALSE),"")</f>
        <v/>
      </c>
      <c r="E80" s="2" t="str">
        <f>IFERROR(VLOOKUP($C80,'_METADATA_TEMPLATE'!$B$2:$H$826,4,FALSE),"")</f>
        <v/>
      </c>
      <c r="F80" s="2" t="str">
        <f>IFERROR(VLOOKUP($C80,'_METADATA_TEMPLATE'!$B$2:$H$826,5,FALSE),"")</f>
        <v/>
      </c>
      <c r="G80" s="2" t="str">
        <f>IFERROR(VLOOKUP($C80,'_METADATA_TEMPLATE'!$B$2:$H$826,6,FALSE),"")</f>
        <v/>
      </c>
      <c r="H80" s="2" t="str">
        <f>IFERROR(VLOOKUP($C80,'_METADATA_TEMPLATE'!$B$2:$H$826,7,FALSE),"")</f>
        <v/>
      </c>
      <c r="I80" s="2" t="str">
        <f>IFERROR(VLOOKUP(C80,'_METADATA_DEFAULT'!$A:$B,2,FALSE),"")</f>
        <v>ID Periode Survei</v>
      </c>
    </row>
    <row r="81" ht="15.75" customHeight="1">
      <c r="A81" s="3" t="s">
        <v>393</v>
      </c>
      <c r="B81" s="3" t="s">
        <v>240</v>
      </c>
      <c r="C81" s="3" t="s">
        <v>240</v>
      </c>
      <c r="D81" s="3" t="str">
        <f>IFERROR(VLOOKUP($C81,'_METADATA_TEMPLATE'!$B$2:$H$826,2,FALSE),"")</f>
        <v/>
      </c>
      <c r="E81" s="3" t="str">
        <f>IFERROR(VLOOKUP($C81,'_METADATA_TEMPLATE'!$B$2:$H$826,4,FALSE),"")</f>
        <v/>
      </c>
      <c r="F81" s="3" t="str">
        <f>IFERROR(VLOOKUP($C81,'_METADATA_TEMPLATE'!$B$2:$H$826,5,FALSE),"")</f>
        <v/>
      </c>
      <c r="G81" s="3" t="str">
        <f>IFERROR(VLOOKUP($C81,'_METADATA_TEMPLATE'!$B$2:$H$826,6,FALSE),"")</f>
        <v/>
      </c>
      <c r="H81" s="3" t="str">
        <f>IFERROR(VLOOKUP($C81,'_METADATA_TEMPLATE'!$B$2:$H$826,7,FALSE),"")</f>
        <v/>
      </c>
      <c r="I81" s="3" t="str">
        <f>IFERROR(VLOOKUP(C81,'_METADATA_DEFAULT'!$A:$B,2,FALSE),"")</f>
        <v/>
      </c>
    </row>
    <row r="82" ht="15.75" customHeight="1">
      <c r="A82" s="2" t="s">
        <v>393</v>
      </c>
      <c r="B82" s="2" t="s">
        <v>284</v>
      </c>
      <c r="C82" s="2" t="s">
        <v>284</v>
      </c>
      <c r="D82" s="2" t="str">
        <f>IFERROR(VLOOKUP($C82,'_METADATA_TEMPLATE'!$B$2:$H$826,2,FALSE),"")</f>
        <v/>
      </c>
      <c r="E82" s="2" t="str">
        <f>IFERROR(VLOOKUP($C82,'_METADATA_TEMPLATE'!$B$2:$H$826,4,FALSE),"")</f>
        <v/>
      </c>
      <c r="F82" s="2" t="str">
        <f>IFERROR(VLOOKUP($C82,'_METADATA_TEMPLATE'!$B$2:$H$826,5,FALSE),"")</f>
        <v/>
      </c>
      <c r="G82" s="2" t="str">
        <f>IFERROR(VLOOKUP($C82,'_METADATA_TEMPLATE'!$B$2:$H$826,6,FALSE),"")</f>
        <v/>
      </c>
      <c r="H82" s="2" t="str">
        <f>IFERROR(VLOOKUP($C82,'_METADATA_TEMPLATE'!$B$2:$H$826,7,FALSE),"")</f>
        <v/>
      </c>
      <c r="I82" s="2" t="str">
        <f>IFERROR(VLOOKUP(C82,'_METADATA_DEFAULT'!$A:$B,2,FALSE),"")</f>
        <v/>
      </c>
    </row>
    <row r="83" ht="15.75" customHeight="1">
      <c r="A83" s="3" t="s">
        <v>393</v>
      </c>
      <c r="B83" s="3" t="s">
        <v>43</v>
      </c>
      <c r="C83" s="3" t="s">
        <v>43</v>
      </c>
      <c r="D83" s="3" t="str">
        <f>IFERROR(VLOOKUP($C83,'_METADATA_TEMPLATE'!$B$2:$H$826,2,FALSE),"")</f>
        <v/>
      </c>
      <c r="E83" s="3" t="str">
        <f>IFERROR(VLOOKUP($C83,'_METADATA_TEMPLATE'!$B$2:$H$826,4,FALSE),"")</f>
        <v/>
      </c>
      <c r="F83" s="3" t="str">
        <f>IFERROR(VLOOKUP($C83,'_METADATA_TEMPLATE'!$B$2:$H$826,5,FALSE),"")</f>
        <v/>
      </c>
      <c r="G83" s="3" t="str">
        <f>IFERROR(VLOOKUP($C83,'_METADATA_TEMPLATE'!$B$2:$H$826,6,FALSE),"")</f>
        <v/>
      </c>
      <c r="H83" s="3" t="str">
        <f>IFERROR(VLOOKUP($C83,'_METADATA_TEMPLATE'!$B$2:$H$826,7,FALSE),"")</f>
        <v/>
      </c>
      <c r="I83" s="3" t="str">
        <f>IFERROR(VLOOKUP(C83,'_METADATA_DEFAULT'!$A:$B,2,FALSE),"")</f>
        <v>Tanggal Assignment Terakhir Diubah</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398</v>
      </c>
      <c r="B2" s="2" t="s">
        <v>15</v>
      </c>
      <c r="C2" s="2" t="s">
        <v>15</v>
      </c>
      <c r="D2" s="2">
        <f>IFERROR(VLOOKUP($C2,'_METADATA_TEMPLATE'!$B$2:$H$826,2,FALSE),"")</f>
        <v>483</v>
      </c>
      <c r="E2" s="2" t="str">
        <f>IFERROR(VLOOKUP($C2,'_METADATA_TEMPLATE'!$B$2:$H$826,4,FALSE),"")</f>
        <v/>
      </c>
      <c r="F2" s="2" t="str">
        <f>IFERROR(VLOOKUP($C2,'_METADATA_TEMPLATE'!$B$2:$H$826,5,FALSE),"")</f>
        <v/>
      </c>
      <c r="G2" s="2" t="str">
        <f>IFERROR(VLOOKUP($C2,'_METADATA_TEMPLATE'!$B$2:$H$826,6,FALSE),"")</f>
        <v>Mode</v>
      </c>
      <c r="H2" s="2" t="str">
        <f>IFERROR(VLOOKUP($C2,'_METADATA_TEMPLATE'!$B$2:$H$826,7,FALSE),"")</f>
        <v>Variable</v>
      </c>
      <c r="I2" s="2" t="str">
        <f>IFERROR(VLOOKUP(C2,'_METADATA_DEFAULT'!$A:$B,2,FALSE),"")</f>
        <v>Moda Survei</v>
      </c>
    </row>
    <row r="3">
      <c r="A3" s="3" t="s">
        <v>398</v>
      </c>
      <c r="B3" s="3" t="s">
        <v>12</v>
      </c>
      <c r="C3" s="3" t="s">
        <v>12</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ID Assignment</v>
      </c>
    </row>
    <row r="4">
      <c r="A4" s="2" t="s">
        <v>398</v>
      </c>
      <c r="B4" s="2" t="s">
        <v>19</v>
      </c>
      <c r="C4" s="2" t="s">
        <v>19</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
      </c>
    </row>
    <row r="5">
      <c r="A5" s="3" t="s">
        <v>398</v>
      </c>
      <c r="B5" s="3" t="s">
        <v>18</v>
      </c>
      <c r="C5" s="3" t="s">
        <v>18</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Kode Lengkap Provinsi</v>
      </c>
    </row>
    <row r="6">
      <c r="A6" s="2" t="s">
        <v>398</v>
      </c>
      <c r="B6" s="2" t="s">
        <v>20</v>
      </c>
      <c r="C6" s="2" t="s">
        <v>20</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Kode Lengkap Kabupaten/Kota</v>
      </c>
    </row>
    <row r="7">
      <c r="A7" s="3" t="s">
        <v>398</v>
      </c>
      <c r="B7" s="3" t="s">
        <v>24</v>
      </c>
      <c r="C7" s="3" t="s">
        <v>24</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
      </c>
    </row>
    <row r="8">
      <c r="A8" s="2" t="s">
        <v>398</v>
      </c>
      <c r="B8" s="2" t="s">
        <v>21</v>
      </c>
      <c r="C8" s="2" t="s">
        <v>21</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ID Assignment + Timestamp</v>
      </c>
    </row>
    <row r="9">
      <c r="A9" s="3" t="s">
        <v>398</v>
      </c>
      <c r="B9" s="3" t="s">
        <v>31</v>
      </c>
      <c r="C9" s="3" t="s">
        <v>31</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398</v>
      </c>
      <c r="B10" s="2" t="s">
        <v>35</v>
      </c>
      <c r="C10" s="2" t="s">
        <v>35</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398</v>
      </c>
      <c r="B11" s="3" t="s">
        <v>37</v>
      </c>
      <c r="C11" s="3" t="s">
        <v>37</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
      </c>
    </row>
    <row r="12">
      <c r="A12" s="2" t="s">
        <v>398</v>
      </c>
      <c r="B12" s="2" t="s">
        <v>40</v>
      </c>
      <c r="C12" s="2" t="s">
        <v>40</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
      </c>
    </row>
    <row r="13">
      <c r="A13" s="3" t="s">
        <v>398</v>
      </c>
      <c r="B13" s="3" t="s">
        <v>43</v>
      </c>
      <c r="C13" s="3" t="s">
        <v>43</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Tanggal Assignment Terakhir Diubah</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440</v>
      </c>
      <c r="B2" s="2" t="s">
        <v>12</v>
      </c>
      <c r="C2" s="2" t="s">
        <v>12</v>
      </c>
      <c r="D2" s="2" t="str">
        <f>IFERROR(VLOOKUP($C2,'_METADATA_TEMPLATE'!$B$2:$H$826,2,FALSE),"")</f>
        <v/>
      </c>
      <c r="E2" s="2" t="str">
        <f>IFERROR(VLOOKUP($C2,'_METADATA_TEMPLATE'!$B$2:$H$826,4,FALSE),"")</f>
        <v/>
      </c>
      <c r="F2" s="2" t="str">
        <f>IFERROR(VLOOKUP($C2,'_METADATA_TEMPLATE'!$B$2:$H$826,5,FALSE),"")</f>
        <v/>
      </c>
      <c r="G2" s="2" t="str">
        <f>IFERROR(VLOOKUP($C2,'_METADATA_TEMPLATE'!$B$2:$H$826,6,FALSE),"")</f>
        <v/>
      </c>
      <c r="H2" s="2" t="str">
        <f>IFERROR(VLOOKUP($C2,'_METADATA_TEMPLATE'!$B$2:$H$826,7,FALSE),"")</f>
        <v/>
      </c>
      <c r="I2" s="2" t="str">
        <f>IFERROR(VLOOKUP(C2,'_METADATA_DEFAULT'!$A:$B,2,FALSE),"")</f>
        <v>ID Assignment</v>
      </c>
    </row>
    <row r="3">
      <c r="A3" s="3" t="s">
        <v>440</v>
      </c>
      <c r="B3" s="3" t="s">
        <v>17</v>
      </c>
      <c r="C3" s="3" t="s">
        <v>17</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
      </c>
    </row>
    <row r="4">
      <c r="A4" s="2" t="s">
        <v>440</v>
      </c>
      <c r="B4" s="2" t="s">
        <v>18</v>
      </c>
      <c r="C4" s="2" t="s">
        <v>18</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Kode Lengkap Provinsi</v>
      </c>
    </row>
    <row r="5">
      <c r="A5" s="3" t="s">
        <v>440</v>
      </c>
      <c r="B5" s="3" t="s">
        <v>20</v>
      </c>
      <c r="C5" s="3" t="s">
        <v>20</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Kode Lengkap Kabupaten/Kota</v>
      </c>
    </row>
    <row r="6">
      <c r="A6" s="2" t="s">
        <v>440</v>
      </c>
      <c r="B6" s="2" t="s">
        <v>21</v>
      </c>
      <c r="C6" s="2" t="s">
        <v>21</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ID Assignment + Timestamp</v>
      </c>
    </row>
    <row r="7">
      <c r="A7" s="3" t="s">
        <v>440</v>
      </c>
      <c r="B7" s="3" t="s">
        <v>25</v>
      </c>
      <c r="C7" s="3" t="s">
        <v>25</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
      </c>
    </row>
    <row r="8">
      <c r="A8" s="2" t="s">
        <v>440</v>
      </c>
      <c r="B8" s="2" t="s">
        <v>28</v>
      </c>
      <c r="C8" s="2" t="s">
        <v>28</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
      </c>
    </row>
    <row r="9">
      <c r="A9" s="3" t="s">
        <v>440</v>
      </c>
      <c r="B9" s="3" t="s">
        <v>32</v>
      </c>
      <c r="C9" s="3" t="s">
        <v>32</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440</v>
      </c>
      <c r="B10" s="2" t="s">
        <v>19</v>
      </c>
      <c r="C10" s="2" t="s">
        <v>19</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440</v>
      </c>
      <c r="B11" s="3" t="s">
        <v>26</v>
      </c>
      <c r="C11" s="3" t="s">
        <v>26</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1 = Aktif, 0 = Dihapus</v>
      </c>
    </row>
    <row r="12">
      <c r="A12" s="2" t="s">
        <v>440</v>
      </c>
      <c r="B12" s="2" t="s">
        <v>41</v>
      </c>
      <c r="C12" s="2" t="s">
        <v>41</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
      </c>
    </row>
    <row r="13">
      <c r="A13" s="3" t="s">
        <v>440</v>
      </c>
      <c r="B13" s="3" t="s">
        <v>44</v>
      </c>
      <c r="C13" s="3" t="s">
        <v>44</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
      </c>
    </row>
    <row r="14">
      <c r="A14" s="2" t="s">
        <v>440</v>
      </c>
      <c r="B14" s="2" t="s">
        <v>46</v>
      </c>
      <c r="C14" s="2" t="s">
        <v>46</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
      </c>
    </row>
    <row r="15">
      <c r="A15" s="3" t="s">
        <v>440</v>
      </c>
      <c r="B15" s="3" t="s">
        <v>48</v>
      </c>
      <c r="C15" s="3" t="s">
        <v>48</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440</v>
      </c>
      <c r="B16" s="2" t="s">
        <v>50</v>
      </c>
      <c r="C16" s="2" t="s">
        <v>50</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440</v>
      </c>
      <c r="B17" s="3" t="s">
        <v>52</v>
      </c>
      <c r="C17" s="3" t="s">
        <v>52</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
      </c>
    </row>
    <row r="18">
      <c r="A18" s="2" t="s">
        <v>440</v>
      </c>
      <c r="B18" s="2" t="s">
        <v>54</v>
      </c>
      <c r="C18" s="2" t="s">
        <v>54</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
      </c>
    </row>
    <row r="19">
      <c r="A19" s="3" t="s">
        <v>440</v>
      </c>
      <c r="B19" s="3" t="s">
        <v>53</v>
      </c>
      <c r="C19" s="3" t="s">
        <v>53</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
      </c>
    </row>
    <row r="20">
      <c r="A20" s="2" t="s">
        <v>440</v>
      </c>
      <c r="B20" s="2" t="s">
        <v>59</v>
      </c>
      <c r="C20" s="2" t="s">
        <v>59</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
      </c>
    </row>
    <row r="21" ht="15.75" customHeight="1">
      <c r="A21" s="3" t="s">
        <v>440</v>
      </c>
      <c r="B21" s="3" t="s">
        <v>62</v>
      </c>
      <c r="C21" s="3" t="s">
        <v>62</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
      </c>
    </row>
    <row r="22" ht="15.75" customHeight="1">
      <c r="A22" s="2" t="s">
        <v>440</v>
      </c>
      <c r="B22" s="2" t="s">
        <v>64</v>
      </c>
      <c r="C22" s="2" t="s">
        <v>64</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
      </c>
    </row>
    <row r="23" ht="15.75" customHeight="1">
      <c r="A23" s="3" t="s">
        <v>440</v>
      </c>
      <c r="B23" s="3" t="s">
        <v>68</v>
      </c>
      <c r="C23" s="3" t="s">
        <v>68</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
      </c>
    </row>
    <row r="24" ht="15.75" customHeight="1">
      <c r="A24" s="2" t="s">
        <v>440</v>
      </c>
      <c r="B24" s="2" t="s">
        <v>71</v>
      </c>
      <c r="C24" s="2" t="s">
        <v>71</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
      </c>
    </row>
    <row r="25" ht="15.75" customHeight="1">
      <c r="A25" s="3" t="s">
        <v>440</v>
      </c>
      <c r="B25" s="3" t="s">
        <v>73</v>
      </c>
      <c r="C25" s="3" t="s">
        <v>73</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
      </c>
    </row>
    <row r="26" ht="15.75" customHeight="1">
      <c r="A26" s="2" t="s">
        <v>440</v>
      </c>
      <c r="B26" s="2" t="s">
        <v>75</v>
      </c>
      <c r="C26" s="2" t="s">
        <v>75</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ID Periode Survei</v>
      </c>
    </row>
    <row r="27" ht="15.75" customHeight="1">
      <c r="A27" s="3" t="s">
        <v>440</v>
      </c>
      <c r="B27" s="3" t="s">
        <v>43</v>
      </c>
      <c r="C27" s="3" t="s">
        <v>43</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Tanggal Assignment Terakhir Diubah</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528</v>
      </c>
      <c r="B2" s="2" t="s">
        <v>12</v>
      </c>
      <c r="C2" s="2" t="s">
        <v>12</v>
      </c>
      <c r="D2" s="2" t="str">
        <f>IFERROR(VLOOKUP($C2,'_METADATA_TEMPLATE'!$B$2:$H$826,2,FALSE),"")</f>
        <v/>
      </c>
      <c r="E2" s="2" t="str">
        <f>IFERROR(VLOOKUP($C2,'_METADATA_TEMPLATE'!$B$2:$H$826,4,FALSE),"")</f>
        <v/>
      </c>
      <c r="F2" s="2" t="str">
        <f>IFERROR(VLOOKUP($C2,'_METADATA_TEMPLATE'!$B$2:$H$826,5,FALSE),"")</f>
        <v/>
      </c>
      <c r="G2" s="2" t="str">
        <f>IFERROR(VLOOKUP($C2,'_METADATA_TEMPLATE'!$B$2:$H$826,6,FALSE),"")</f>
        <v/>
      </c>
      <c r="H2" s="2" t="str">
        <f>IFERROR(VLOOKUP($C2,'_METADATA_TEMPLATE'!$B$2:$H$826,7,FALSE),"")</f>
        <v/>
      </c>
      <c r="I2" s="2" t="str">
        <f>IFERROR(VLOOKUP(C2,'_METADATA_DEFAULT'!$A:$B,2,FALSE),"")</f>
        <v>ID Assignment</v>
      </c>
    </row>
    <row r="3">
      <c r="A3" s="3" t="s">
        <v>528</v>
      </c>
      <c r="B3" s="3" t="s">
        <v>16</v>
      </c>
      <c r="C3" s="3" t="s">
        <v>16</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
      </c>
    </row>
    <row r="4">
      <c r="A4" s="2" t="s">
        <v>528</v>
      </c>
      <c r="B4" s="2" t="s">
        <v>18</v>
      </c>
      <c r="C4" s="2" t="s">
        <v>18</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Kode Lengkap Provinsi</v>
      </c>
    </row>
    <row r="5">
      <c r="A5" s="3" t="s">
        <v>528</v>
      </c>
      <c r="B5" s="3" t="s">
        <v>20</v>
      </c>
      <c r="C5" s="3" t="s">
        <v>20</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Kode Lengkap Kabupaten/Kota</v>
      </c>
    </row>
    <row r="6">
      <c r="A6" s="2" t="s">
        <v>528</v>
      </c>
      <c r="B6" s="2" t="s">
        <v>21</v>
      </c>
      <c r="C6" s="2" t="s">
        <v>21</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ID Assignment + Timestamp</v>
      </c>
    </row>
    <row r="7">
      <c r="A7" s="3" t="s">
        <v>528</v>
      </c>
      <c r="B7" s="3" t="s">
        <v>22</v>
      </c>
      <c r="C7" s="3" t="s">
        <v>22</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
      </c>
    </row>
    <row r="8">
      <c r="A8" s="2" t="s">
        <v>528</v>
      </c>
      <c r="B8" s="2" t="s">
        <v>23</v>
      </c>
      <c r="C8" s="2" t="s">
        <v>23</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
      </c>
    </row>
    <row r="9">
      <c r="A9" s="3" t="s">
        <v>528</v>
      </c>
      <c r="B9" s="3" t="s">
        <v>27</v>
      </c>
      <c r="C9" s="3" t="s">
        <v>27</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528</v>
      </c>
      <c r="B10" s="2" t="s">
        <v>30</v>
      </c>
      <c r="C10" s="2" t="s">
        <v>30</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528</v>
      </c>
      <c r="B11" s="3" t="s">
        <v>33</v>
      </c>
      <c r="C11" s="3" t="s">
        <v>33</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
      </c>
    </row>
    <row r="12">
      <c r="A12" s="2" t="s">
        <v>528</v>
      </c>
      <c r="B12" s="2" t="s">
        <v>36</v>
      </c>
      <c r="C12" s="2" t="s">
        <v>36</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
      </c>
    </row>
    <row r="13">
      <c r="A13" s="3" t="s">
        <v>528</v>
      </c>
      <c r="B13" s="3" t="s">
        <v>39</v>
      </c>
      <c r="C13" s="3" t="s">
        <v>39</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
      </c>
    </row>
    <row r="14">
      <c r="A14" s="2" t="s">
        <v>528</v>
      </c>
      <c r="B14" s="2" t="s">
        <v>35</v>
      </c>
      <c r="C14" s="2" t="s">
        <v>35</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
      </c>
    </row>
    <row r="15">
      <c r="A15" s="3" t="s">
        <v>528</v>
      </c>
      <c r="B15" s="3" t="s">
        <v>45</v>
      </c>
      <c r="C15" s="3" t="s">
        <v>45</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528</v>
      </c>
      <c r="B16" s="2" t="s">
        <v>43</v>
      </c>
      <c r="C16" s="2" t="s">
        <v>43</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Tanggal Assignment Terakhir Diubah</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578</v>
      </c>
      <c r="B2" s="2" t="s">
        <v>10</v>
      </c>
      <c r="C2" s="2" t="s">
        <v>10</v>
      </c>
      <c r="D2" s="2">
        <f>IFERROR(VLOOKUP($C2,'_METADATA_TEMPLATE'!$B$2:$H$826,2,FALSE),"")</f>
        <v>131</v>
      </c>
      <c r="E2" s="2" t="str">
        <f>IFERROR(VLOOKUP($C2,'_METADATA_TEMPLATE'!$B$2:$H$826,4,FALSE),"")</f>
        <v>SE2026 - L BLOK II</v>
      </c>
      <c r="F2" s="2" t="str">
        <f>IFERROR(VLOOKUP($C2,'_METADATA_TEMPLATE'!$B$2:$H$826,5,FALSE),"")</f>
        <v/>
      </c>
      <c r="G2" s="2" t="str">
        <f>IFERROR(VLOOKUP($C2,'_METADATA_TEMPLATE'!$B$2:$H$826,6,FALSE),"")</f>
        <v>• Email</v>
      </c>
      <c r="H2" s="2" t="str">
        <f>IFERROR(VLOOKUP($C2,'_METADATA_TEMPLATE'!$B$2:$H$826,7,FALSE),"")</f>
        <v>Text Input</v>
      </c>
      <c r="I2" s="2" t="str">
        <f>IFERROR(VLOOKUP(C2,'_METADATA_DEFAULT'!$A:$B,2,FALSE),"")</f>
        <v/>
      </c>
    </row>
    <row r="3">
      <c r="A3" s="3" t="s">
        <v>578</v>
      </c>
      <c r="B3" s="3" t="s">
        <v>17</v>
      </c>
      <c r="C3" s="3" t="s">
        <v>17</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
      </c>
    </row>
    <row r="4">
      <c r="A4" s="2" t="s">
        <v>578</v>
      </c>
      <c r="B4" s="2" t="s">
        <v>61</v>
      </c>
      <c r="C4" s="2" t="s">
        <v>61</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
      </c>
    </row>
    <row r="5">
      <c r="A5" s="3" t="s">
        <v>578</v>
      </c>
      <c r="B5" s="3" t="s">
        <v>21</v>
      </c>
      <c r="C5" s="3" t="s">
        <v>21</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ID Assignment + Timestamp</v>
      </c>
    </row>
    <row r="6">
      <c r="A6" s="2" t="s">
        <v>578</v>
      </c>
      <c r="B6" s="2" t="s">
        <v>67</v>
      </c>
      <c r="C6" s="2" t="s">
        <v>67</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
      </c>
    </row>
    <row r="7">
      <c r="A7" s="3" t="s">
        <v>578</v>
      </c>
      <c r="B7" s="3" t="s">
        <v>70</v>
      </c>
      <c r="C7" s="3" t="s">
        <v>70</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
      </c>
    </row>
    <row r="8">
      <c r="A8" s="2" t="s">
        <v>578</v>
      </c>
      <c r="B8" s="2" t="s">
        <v>66</v>
      </c>
      <c r="C8" s="2" t="s">
        <v>66</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
      </c>
    </row>
    <row r="9">
      <c r="A9" s="3" t="s">
        <v>578</v>
      </c>
      <c r="B9" s="3" t="s">
        <v>76</v>
      </c>
      <c r="C9" s="3" t="s">
        <v>76</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
      </c>
    </row>
    <row r="10">
      <c r="A10" s="2" t="s">
        <v>578</v>
      </c>
      <c r="B10" s="2" t="s">
        <v>80</v>
      </c>
      <c r="C10" s="2" t="s">
        <v>80</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578</v>
      </c>
      <c r="B11" s="3" t="s">
        <v>84</v>
      </c>
      <c r="C11" s="3" t="s">
        <v>84</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
      </c>
    </row>
    <row r="12">
      <c r="A12" s="2" t="s">
        <v>578</v>
      </c>
      <c r="B12" s="2" t="s">
        <v>75</v>
      </c>
      <c r="C12" s="2" t="s">
        <v>75</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ID Periode Survei</v>
      </c>
    </row>
    <row r="13">
      <c r="A13" s="3" t="s">
        <v>578</v>
      </c>
      <c r="B13" s="3" t="s">
        <v>90</v>
      </c>
      <c r="C13" s="3" t="s">
        <v>90</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
      </c>
    </row>
    <row r="14">
      <c r="A14" s="2" t="s">
        <v>578</v>
      </c>
      <c r="B14" s="2" t="s">
        <v>93</v>
      </c>
      <c r="C14" s="2" t="s">
        <v>93</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
      </c>
    </row>
    <row r="15">
      <c r="A15" s="3" t="s">
        <v>578</v>
      </c>
      <c r="B15" s="3" t="s">
        <v>35</v>
      </c>
      <c r="C15" s="3" t="s">
        <v>35</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578</v>
      </c>
      <c r="B16" s="2" t="s">
        <v>102</v>
      </c>
      <c r="C16" s="2" t="s">
        <v>102</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578</v>
      </c>
      <c r="B17" s="3" t="s">
        <v>108</v>
      </c>
      <c r="C17" s="3" t="s">
        <v>108</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
      </c>
    </row>
    <row r="18">
      <c r="A18" s="2" t="s">
        <v>578</v>
      </c>
      <c r="B18" s="2" t="s">
        <v>26</v>
      </c>
      <c r="C18" s="2" t="s">
        <v>26</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1 = Aktif, 0 = Dihapus</v>
      </c>
    </row>
    <row r="19">
      <c r="A19" s="3" t="s">
        <v>578</v>
      </c>
      <c r="B19" s="3" t="s">
        <v>117</v>
      </c>
      <c r="C19" s="3" t="s">
        <v>117</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
      </c>
    </row>
    <row r="20">
      <c r="A20" s="2" t="s">
        <v>578</v>
      </c>
      <c r="B20" s="2" t="s">
        <v>121</v>
      </c>
      <c r="C20" s="2" t="s">
        <v>121</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644</v>
      </c>
      <c r="B2" s="2" t="s">
        <v>10</v>
      </c>
      <c r="C2" s="2" t="s">
        <v>10</v>
      </c>
      <c r="D2" s="2">
        <f>IFERROR(VLOOKUP($C2,'_METADATA_TEMPLATE'!$B$2:$H$826,2,FALSE),"")</f>
        <v>131</v>
      </c>
      <c r="E2" s="2" t="str">
        <f>IFERROR(VLOOKUP($C2,'_METADATA_TEMPLATE'!$B$2:$H$826,4,FALSE),"")</f>
        <v>SE2026 - L BLOK II</v>
      </c>
      <c r="F2" s="2" t="str">
        <f>IFERROR(VLOOKUP($C2,'_METADATA_TEMPLATE'!$B$2:$H$826,5,FALSE),"")</f>
        <v/>
      </c>
      <c r="G2" s="2" t="str">
        <f>IFERROR(VLOOKUP($C2,'_METADATA_TEMPLATE'!$B$2:$H$826,6,FALSE),"")</f>
        <v>• Email</v>
      </c>
      <c r="H2" s="2" t="str">
        <f>IFERROR(VLOOKUP($C2,'_METADATA_TEMPLATE'!$B$2:$H$826,7,FALSE),"")</f>
        <v>Text Input</v>
      </c>
      <c r="I2" s="2" t="str">
        <f>IFERROR(VLOOKUP(C2,'_METADATA_DEFAULT'!$A:$B,2,FALSE),"")</f>
        <v/>
      </c>
    </row>
    <row r="3">
      <c r="A3" s="3" t="s">
        <v>644</v>
      </c>
      <c r="B3" s="3" t="s">
        <v>18</v>
      </c>
      <c r="C3" s="3" t="s">
        <v>18</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Kode Lengkap Provinsi</v>
      </c>
    </row>
    <row r="4">
      <c r="A4" s="2" t="s">
        <v>644</v>
      </c>
      <c r="B4" s="2" t="s">
        <v>20</v>
      </c>
      <c r="C4" s="2" t="s">
        <v>20</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Kode Lengkap Kabupaten/Kota</v>
      </c>
    </row>
    <row r="5">
      <c r="A5" s="3" t="s">
        <v>644</v>
      </c>
      <c r="B5" s="3" t="s">
        <v>35</v>
      </c>
      <c r="C5" s="3" t="s">
        <v>35</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
      </c>
    </row>
    <row r="6">
      <c r="A6" s="2" t="s">
        <v>644</v>
      </c>
      <c r="B6" s="2" t="s">
        <v>66</v>
      </c>
      <c r="C6" s="2" t="s">
        <v>66</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645</v>
      </c>
      <c r="B2" s="2" t="s">
        <v>12</v>
      </c>
      <c r="C2" s="2" t="s">
        <v>12</v>
      </c>
      <c r="D2" s="2" t="str">
        <f>IFERROR(VLOOKUP($C2,'_METADATA_TEMPLATE'!$B$2:$H$826,2,FALSE),"")</f>
        <v/>
      </c>
      <c r="E2" s="2" t="str">
        <f>IFERROR(VLOOKUP($C2,'_METADATA_TEMPLATE'!$B$2:$H$826,4,FALSE),"")</f>
        <v/>
      </c>
      <c r="F2" s="2" t="str">
        <f>IFERROR(VLOOKUP($C2,'_METADATA_TEMPLATE'!$B$2:$H$826,5,FALSE),"")</f>
        <v/>
      </c>
      <c r="G2" s="2" t="str">
        <f>IFERROR(VLOOKUP($C2,'_METADATA_TEMPLATE'!$B$2:$H$826,6,FALSE),"")</f>
        <v/>
      </c>
      <c r="H2" s="2" t="str">
        <f>IFERROR(VLOOKUP($C2,'_METADATA_TEMPLATE'!$B$2:$H$826,7,FALSE),"")</f>
        <v/>
      </c>
      <c r="I2" s="2" t="str">
        <f>IFERROR(VLOOKUP(C2,'_METADATA_DEFAULT'!$A:$B,2,FALSE),"")</f>
        <v>ID Assignment</v>
      </c>
    </row>
    <row r="3">
      <c r="A3" s="3" t="s">
        <v>645</v>
      </c>
      <c r="B3" s="3" t="s">
        <v>18</v>
      </c>
      <c r="C3" s="3" t="s">
        <v>18</v>
      </c>
      <c r="D3" s="3" t="str">
        <f>IFERROR(VLOOKUP($C3,'_METADATA_TEMPLATE'!$B$2:$H$826,2,FALSE),"")</f>
        <v/>
      </c>
      <c r="E3" s="3" t="str">
        <f>IFERROR(VLOOKUP($C3,'_METADATA_TEMPLATE'!$B$2:$H$826,4,FALSE),"")</f>
        <v/>
      </c>
      <c r="F3" s="3" t="str">
        <f>IFERROR(VLOOKUP($C3,'_METADATA_TEMPLATE'!$B$2:$H$826,5,FALSE),"")</f>
        <v/>
      </c>
      <c r="G3" s="3" t="str">
        <f>IFERROR(VLOOKUP($C3,'_METADATA_TEMPLATE'!$B$2:$H$826,6,FALSE),"")</f>
        <v/>
      </c>
      <c r="H3" s="3" t="str">
        <f>IFERROR(VLOOKUP($C3,'_METADATA_TEMPLATE'!$B$2:$H$826,7,FALSE),"")</f>
        <v/>
      </c>
      <c r="I3" s="3" t="str">
        <f>IFERROR(VLOOKUP(C3,'_METADATA_DEFAULT'!$A:$B,2,FALSE),"")</f>
        <v>Kode Lengkap Provinsi</v>
      </c>
    </row>
    <row r="4">
      <c r="A4" s="2" t="s">
        <v>645</v>
      </c>
      <c r="B4" s="2" t="s">
        <v>20</v>
      </c>
      <c r="C4" s="2" t="s">
        <v>20</v>
      </c>
      <c r="D4" s="2" t="str">
        <f>IFERROR(VLOOKUP($C4,'_METADATA_TEMPLATE'!$B$2:$H$826,2,FALSE),"")</f>
        <v/>
      </c>
      <c r="E4" s="2" t="str">
        <f>IFERROR(VLOOKUP($C4,'_METADATA_TEMPLATE'!$B$2:$H$826,4,FALSE),"")</f>
        <v/>
      </c>
      <c r="F4" s="2" t="str">
        <f>IFERROR(VLOOKUP($C4,'_METADATA_TEMPLATE'!$B$2:$H$826,5,FALSE),"")</f>
        <v/>
      </c>
      <c r="G4" s="2" t="str">
        <f>IFERROR(VLOOKUP($C4,'_METADATA_TEMPLATE'!$B$2:$H$826,6,FALSE),"")</f>
        <v/>
      </c>
      <c r="H4" s="2" t="str">
        <f>IFERROR(VLOOKUP($C4,'_METADATA_TEMPLATE'!$B$2:$H$826,7,FALSE),"")</f>
        <v/>
      </c>
      <c r="I4" s="2" t="str">
        <f>IFERROR(VLOOKUP(C4,'_METADATA_DEFAULT'!$A:$B,2,FALSE),"")</f>
        <v>Kode Lengkap Kabupaten/Kota</v>
      </c>
    </row>
    <row r="5">
      <c r="A5" s="3" t="s">
        <v>645</v>
      </c>
      <c r="B5" s="3" t="s">
        <v>43</v>
      </c>
      <c r="C5" s="3" t="s">
        <v>43</v>
      </c>
      <c r="D5" s="3" t="str">
        <f>IFERROR(VLOOKUP($C5,'_METADATA_TEMPLATE'!$B$2:$H$826,2,FALSE),"")</f>
        <v/>
      </c>
      <c r="E5" s="3" t="str">
        <f>IFERROR(VLOOKUP($C5,'_METADATA_TEMPLATE'!$B$2:$H$826,4,FALSE),"")</f>
        <v/>
      </c>
      <c r="F5" s="3" t="str">
        <f>IFERROR(VLOOKUP($C5,'_METADATA_TEMPLATE'!$B$2:$H$826,5,FALSE),"")</f>
        <v/>
      </c>
      <c r="G5" s="3" t="str">
        <f>IFERROR(VLOOKUP($C5,'_METADATA_TEMPLATE'!$B$2:$H$826,6,FALSE),"")</f>
        <v/>
      </c>
      <c r="H5" s="3" t="str">
        <f>IFERROR(VLOOKUP($C5,'_METADATA_TEMPLATE'!$B$2:$H$826,7,FALSE),"")</f>
        <v/>
      </c>
      <c r="I5" s="3" t="str">
        <f>IFERROR(VLOOKUP(C5,'_METADATA_DEFAULT'!$A:$B,2,FALSE),"")</f>
        <v>Tanggal Assignment Terakhir Diubah</v>
      </c>
    </row>
    <row r="6">
      <c r="A6" s="2" t="s">
        <v>645</v>
      </c>
      <c r="B6" s="2" t="s">
        <v>21</v>
      </c>
      <c r="C6" s="2" t="s">
        <v>21</v>
      </c>
      <c r="D6" s="2" t="str">
        <f>IFERROR(VLOOKUP($C6,'_METADATA_TEMPLATE'!$B$2:$H$826,2,FALSE),"")</f>
        <v/>
      </c>
      <c r="E6" s="2" t="str">
        <f>IFERROR(VLOOKUP($C6,'_METADATA_TEMPLATE'!$B$2:$H$826,4,FALSE),"")</f>
        <v/>
      </c>
      <c r="F6" s="2" t="str">
        <f>IFERROR(VLOOKUP($C6,'_METADATA_TEMPLATE'!$B$2:$H$826,5,FALSE),"")</f>
        <v/>
      </c>
      <c r="G6" s="2" t="str">
        <f>IFERROR(VLOOKUP($C6,'_METADATA_TEMPLATE'!$B$2:$H$826,6,FALSE),"")</f>
        <v/>
      </c>
      <c r="H6" s="2" t="str">
        <f>IFERROR(VLOOKUP($C6,'_METADATA_TEMPLATE'!$B$2:$H$826,7,FALSE),"")</f>
        <v/>
      </c>
      <c r="I6" s="2" t="str">
        <f>IFERROR(VLOOKUP(C6,'_METADATA_DEFAULT'!$A:$B,2,FALSE),"")</f>
        <v>ID Assignment + Timestamp</v>
      </c>
    </row>
    <row r="7">
      <c r="A7" s="3" t="s">
        <v>645</v>
      </c>
      <c r="B7" s="3" t="s">
        <v>153</v>
      </c>
      <c r="C7" s="3" t="s">
        <v>153</v>
      </c>
      <c r="D7" s="3" t="str">
        <f>IFERROR(VLOOKUP($C7,'_METADATA_TEMPLATE'!$B$2:$H$826,2,FALSE),"")</f>
        <v/>
      </c>
      <c r="E7" s="3" t="str">
        <f>IFERROR(VLOOKUP($C7,'_METADATA_TEMPLATE'!$B$2:$H$826,4,FALSE),"")</f>
        <v/>
      </c>
      <c r="F7" s="3" t="str">
        <f>IFERROR(VLOOKUP($C7,'_METADATA_TEMPLATE'!$B$2:$H$826,5,FALSE),"")</f>
        <v/>
      </c>
      <c r="G7" s="3" t="str">
        <f>IFERROR(VLOOKUP($C7,'_METADATA_TEMPLATE'!$B$2:$H$826,6,FALSE),"")</f>
        <v/>
      </c>
      <c r="H7" s="3" t="str">
        <f>IFERROR(VLOOKUP($C7,'_METADATA_TEMPLATE'!$B$2:$H$826,7,FALSE),"")</f>
        <v/>
      </c>
      <c r="I7" s="3" t="str">
        <f>IFERROR(VLOOKUP(C7,'_METADATA_DEFAULT'!$A:$B,2,FALSE),"")</f>
        <v>1 = Assignment Tambahan, 0 = Assignment Prelist</v>
      </c>
    </row>
    <row r="8">
      <c r="A8" s="2" t="s">
        <v>645</v>
      </c>
      <c r="B8" s="2" t="s">
        <v>42</v>
      </c>
      <c r="C8" s="2" t="s">
        <v>42</v>
      </c>
      <c r="D8" s="2" t="str">
        <f>IFERROR(VLOOKUP($C8,'_METADATA_TEMPLATE'!$B$2:$H$826,2,FALSE),"")</f>
        <v/>
      </c>
      <c r="E8" s="2" t="str">
        <f>IFERROR(VLOOKUP($C8,'_METADATA_TEMPLATE'!$B$2:$H$826,4,FALSE),"")</f>
        <v/>
      </c>
      <c r="F8" s="2" t="str">
        <f>IFERROR(VLOOKUP($C8,'_METADATA_TEMPLATE'!$B$2:$H$826,5,FALSE),"")</f>
        <v/>
      </c>
      <c r="G8" s="2" t="str">
        <f>IFERROR(VLOOKUP($C8,'_METADATA_TEMPLATE'!$B$2:$H$826,6,FALSE),"")</f>
        <v/>
      </c>
      <c r="H8" s="2" t="str">
        <f>IFERROR(VLOOKUP($C8,'_METADATA_TEMPLATE'!$B$2:$H$826,7,FALSE),"")</f>
        <v/>
      </c>
      <c r="I8" s="2" t="str">
        <f>IFERROR(VLOOKUP(C8,'_METADATA_DEFAULT'!$A:$B,2,FALSE),"")</f>
        <v>Status Assignment</v>
      </c>
    </row>
    <row r="9">
      <c r="A9" s="3" t="s">
        <v>645</v>
      </c>
      <c r="B9" s="3" t="s">
        <v>47</v>
      </c>
      <c r="C9" s="3" t="s">
        <v>47</v>
      </c>
      <c r="D9" s="3" t="str">
        <f>IFERROR(VLOOKUP($C9,'_METADATA_TEMPLATE'!$B$2:$H$826,2,FALSE),"")</f>
        <v/>
      </c>
      <c r="E9" s="3" t="str">
        <f>IFERROR(VLOOKUP($C9,'_METADATA_TEMPLATE'!$B$2:$H$826,4,FALSE),"")</f>
        <v/>
      </c>
      <c r="F9" s="3" t="str">
        <f>IFERROR(VLOOKUP($C9,'_METADATA_TEMPLATE'!$B$2:$H$826,5,FALSE),"")</f>
        <v/>
      </c>
      <c r="G9" s="3" t="str">
        <f>IFERROR(VLOOKUP($C9,'_METADATA_TEMPLATE'!$B$2:$H$826,6,FALSE),"")</f>
        <v/>
      </c>
      <c r="H9" s="3" t="str">
        <f>IFERROR(VLOOKUP($C9,'_METADATA_TEMPLATE'!$B$2:$H$826,7,FALSE),"")</f>
        <v/>
      </c>
      <c r="I9" s="3" t="str">
        <f>IFERROR(VLOOKUP(C9,'_METADATA_DEFAULT'!$A:$B,2,FALSE),"")</f>
        <v>ID Status Assignment</v>
      </c>
    </row>
    <row r="10">
      <c r="A10" s="2" t="s">
        <v>645</v>
      </c>
      <c r="B10" s="2" t="s">
        <v>317</v>
      </c>
      <c r="C10" s="2" t="s">
        <v>317</v>
      </c>
      <c r="D10" s="2" t="str">
        <f>IFERROR(VLOOKUP($C10,'_METADATA_TEMPLATE'!$B$2:$H$826,2,FALSE),"")</f>
        <v/>
      </c>
      <c r="E10" s="2" t="str">
        <f>IFERROR(VLOOKUP($C10,'_METADATA_TEMPLATE'!$B$2:$H$826,4,FALSE),"")</f>
        <v/>
      </c>
      <c r="F10" s="2" t="str">
        <f>IFERROR(VLOOKUP($C10,'_METADATA_TEMPLATE'!$B$2:$H$826,5,FALSE),"")</f>
        <v/>
      </c>
      <c r="G10" s="2" t="str">
        <f>IFERROR(VLOOKUP($C10,'_METADATA_TEMPLATE'!$B$2:$H$826,6,FALSE),"")</f>
        <v/>
      </c>
      <c r="H10" s="2" t="str">
        <f>IFERROR(VLOOKUP($C10,'_METADATA_TEMPLATE'!$B$2:$H$826,7,FALSE),"")</f>
        <v/>
      </c>
      <c r="I10" s="2" t="str">
        <f>IFERROR(VLOOKUP(C10,'_METADATA_DEFAULT'!$A:$B,2,FALSE),"")</f>
        <v/>
      </c>
    </row>
    <row r="11">
      <c r="A11" s="3" t="s">
        <v>645</v>
      </c>
      <c r="B11" s="3" t="s">
        <v>26</v>
      </c>
      <c r="C11" s="3" t="s">
        <v>26</v>
      </c>
      <c r="D11" s="3" t="str">
        <f>IFERROR(VLOOKUP($C11,'_METADATA_TEMPLATE'!$B$2:$H$826,2,FALSE),"")</f>
        <v/>
      </c>
      <c r="E11" s="3" t="str">
        <f>IFERROR(VLOOKUP($C11,'_METADATA_TEMPLATE'!$B$2:$H$826,4,FALSE),"")</f>
        <v/>
      </c>
      <c r="F11" s="3" t="str">
        <f>IFERROR(VLOOKUP($C11,'_METADATA_TEMPLATE'!$B$2:$H$826,5,FALSE),"")</f>
        <v/>
      </c>
      <c r="G11" s="3" t="str">
        <f>IFERROR(VLOOKUP($C11,'_METADATA_TEMPLATE'!$B$2:$H$826,6,FALSE),"")</f>
        <v/>
      </c>
      <c r="H11" s="3" t="str">
        <f>IFERROR(VLOOKUP($C11,'_METADATA_TEMPLATE'!$B$2:$H$826,7,FALSE),"")</f>
        <v/>
      </c>
      <c r="I11" s="3" t="str">
        <f>IFERROR(VLOOKUP(C11,'_METADATA_DEFAULT'!$A:$B,2,FALSE),"")</f>
        <v>1 = Aktif, 0 = Dihapus</v>
      </c>
    </row>
    <row r="12">
      <c r="A12" s="2" t="s">
        <v>645</v>
      </c>
      <c r="B12" s="2" t="s">
        <v>137</v>
      </c>
      <c r="C12" s="2" t="s">
        <v>137</v>
      </c>
      <c r="D12" s="2" t="str">
        <f>IFERROR(VLOOKUP($C12,'_METADATA_TEMPLATE'!$B$2:$H$826,2,FALSE),"")</f>
        <v/>
      </c>
      <c r="E12" s="2" t="str">
        <f>IFERROR(VLOOKUP($C12,'_METADATA_TEMPLATE'!$B$2:$H$826,4,FALSE),"")</f>
        <v/>
      </c>
      <c r="F12" s="2" t="str">
        <f>IFERROR(VLOOKUP($C12,'_METADATA_TEMPLATE'!$B$2:$H$826,5,FALSE),"")</f>
        <v/>
      </c>
      <c r="G12" s="2" t="str">
        <f>IFERROR(VLOOKUP($C12,'_METADATA_TEMPLATE'!$B$2:$H$826,6,FALSE),"")</f>
        <v/>
      </c>
      <c r="H12" s="2" t="str">
        <f>IFERROR(VLOOKUP($C12,'_METADATA_TEMPLATE'!$B$2:$H$826,7,FALSE),"")</f>
        <v/>
      </c>
      <c r="I12" s="2" t="str">
        <f>IFERROR(VLOOKUP(C12,'_METADATA_DEFAULT'!$A:$B,2,FALSE),"")</f>
        <v>Kode Provinsi</v>
      </c>
    </row>
    <row r="13">
      <c r="A13" s="3" t="s">
        <v>645</v>
      </c>
      <c r="B13" s="3" t="s">
        <v>141</v>
      </c>
      <c r="C13" s="3" t="s">
        <v>141</v>
      </c>
      <c r="D13" s="3" t="str">
        <f>IFERROR(VLOOKUP($C13,'_METADATA_TEMPLATE'!$B$2:$H$826,2,FALSE),"")</f>
        <v/>
      </c>
      <c r="E13" s="3" t="str">
        <f>IFERROR(VLOOKUP($C13,'_METADATA_TEMPLATE'!$B$2:$H$826,4,FALSE),"")</f>
        <v/>
      </c>
      <c r="F13" s="3" t="str">
        <f>IFERROR(VLOOKUP($C13,'_METADATA_TEMPLATE'!$B$2:$H$826,5,FALSE),"")</f>
        <v/>
      </c>
      <c r="G13" s="3" t="str">
        <f>IFERROR(VLOOKUP($C13,'_METADATA_TEMPLATE'!$B$2:$H$826,6,FALSE),"")</f>
        <v/>
      </c>
      <c r="H13" s="3" t="str">
        <f>IFERROR(VLOOKUP($C13,'_METADATA_TEMPLATE'!$B$2:$H$826,7,FALSE),"")</f>
        <v/>
      </c>
      <c r="I13" s="3" t="str">
        <f>IFERROR(VLOOKUP(C13,'_METADATA_DEFAULT'!$A:$B,2,FALSE),"")</f>
        <v>Provinsi</v>
      </c>
    </row>
    <row r="14">
      <c r="A14" s="2" t="s">
        <v>645</v>
      </c>
      <c r="B14" s="2" t="s">
        <v>145</v>
      </c>
      <c r="C14" s="2" t="s">
        <v>145</v>
      </c>
      <c r="D14" s="2" t="str">
        <f>IFERROR(VLOOKUP($C14,'_METADATA_TEMPLATE'!$B$2:$H$826,2,FALSE),"")</f>
        <v/>
      </c>
      <c r="E14" s="2" t="str">
        <f>IFERROR(VLOOKUP($C14,'_METADATA_TEMPLATE'!$B$2:$H$826,4,FALSE),"")</f>
        <v/>
      </c>
      <c r="F14" s="2" t="str">
        <f>IFERROR(VLOOKUP($C14,'_METADATA_TEMPLATE'!$B$2:$H$826,5,FALSE),"")</f>
        <v/>
      </c>
      <c r="G14" s="2" t="str">
        <f>IFERROR(VLOOKUP($C14,'_METADATA_TEMPLATE'!$B$2:$H$826,6,FALSE),"")</f>
        <v/>
      </c>
      <c r="H14" s="2" t="str">
        <f>IFERROR(VLOOKUP($C14,'_METADATA_TEMPLATE'!$B$2:$H$826,7,FALSE),"")</f>
        <v/>
      </c>
      <c r="I14" s="2" t="str">
        <f>IFERROR(VLOOKUP(C14,'_METADATA_DEFAULT'!$A:$B,2,FALSE),"")</f>
        <v/>
      </c>
    </row>
    <row r="15">
      <c r="A15" s="3" t="s">
        <v>645</v>
      </c>
      <c r="B15" s="3" t="s">
        <v>149</v>
      </c>
      <c r="C15" s="3" t="s">
        <v>149</v>
      </c>
      <c r="D15" s="3" t="str">
        <f>IFERROR(VLOOKUP($C15,'_METADATA_TEMPLATE'!$B$2:$H$826,2,FALSE),"")</f>
        <v/>
      </c>
      <c r="E15" s="3" t="str">
        <f>IFERROR(VLOOKUP($C15,'_METADATA_TEMPLATE'!$B$2:$H$826,4,FALSE),"")</f>
        <v/>
      </c>
      <c r="F15" s="3" t="str">
        <f>IFERROR(VLOOKUP($C15,'_METADATA_TEMPLATE'!$B$2:$H$826,5,FALSE),"")</f>
        <v/>
      </c>
      <c r="G15" s="3" t="str">
        <f>IFERROR(VLOOKUP($C15,'_METADATA_TEMPLATE'!$B$2:$H$826,6,FALSE),"")</f>
        <v/>
      </c>
      <c r="H15" s="3" t="str">
        <f>IFERROR(VLOOKUP($C15,'_METADATA_TEMPLATE'!$B$2:$H$826,7,FALSE),"")</f>
        <v/>
      </c>
      <c r="I15" s="3" t="str">
        <f>IFERROR(VLOOKUP(C15,'_METADATA_DEFAULT'!$A:$B,2,FALSE),"")</f>
        <v/>
      </c>
    </row>
    <row r="16">
      <c r="A16" s="2" t="s">
        <v>645</v>
      </c>
      <c r="B16" s="2" t="s">
        <v>157</v>
      </c>
      <c r="C16" s="2" t="s">
        <v>157</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645</v>
      </c>
      <c r="B17" s="3" t="s">
        <v>161</v>
      </c>
      <c r="C17" s="3" t="s">
        <v>161</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Kode Kabupaten/Kota</v>
      </c>
    </row>
    <row r="18">
      <c r="A18" s="2" t="s">
        <v>645</v>
      </c>
      <c r="B18" s="2" t="s">
        <v>165</v>
      </c>
      <c r="C18" s="2" t="s">
        <v>165</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Kabupaten/Kota</v>
      </c>
    </row>
    <row r="19">
      <c r="A19" s="3" t="s">
        <v>645</v>
      </c>
      <c r="B19" s="3" t="s">
        <v>168</v>
      </c>
      <c r="C19" s="3" t="s">
        <v>168</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Kode Kecamatan</v>
      </c>
    </row>
    <row r="20">
      <c r="A20" s="2" t="s">
        <v>645</v>
      </c>
      <c r="B20" s="2" t="s">
        <v>172</v>
      </c>
      <c r="C20" s="2" t="s">
        <v>172</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Kode Lengkap Kecamatan</v>
      </c>
    </row>
    <row r="21" ht="15.75" customHeight="1">
      <c r="A21" s="3" t="s">
        <v>645</v>
      </c>
      <c r="B21" s="3" t="s">
        <v>176</v>
      </c>
      <c r="C21" s="3" t="s">
        <v>176</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Kecamatan</v>
      </c>
    </row>
    <row r="22" ht="15.75" customHeight="1">
      <c r="A22" s="2" t="s">
        <v>645</v>
      </c>
      <c r="B22" s="2" t="s">
        <v>181</v>
      </c>
      <c r="C22" s="2" t="s">
        <v>181</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Kode Kelurahan/Desa</v>
      </c>
    </row>
    <row r="23" ht="15.75" customHeight="1">
      <c r="A23" s="3" t="s">
        <v>645</v>
      </c>
      <c r="B23" s="3" t="s">
        <v>184</v>
      </c>
      <c r="C23" s="3" t="s">
        <v>184</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Kode Lengkap Kelurahan/Desa</v>
      </c>
    </row>
    <row r="24" ht="15.75" customHeight="1">
      <c r="A24" s="2" t="s">
        <v>645</v>
      </c>
      <c r="B24" s="2" t="s">
        <v>188</v>
      </c>
      <c r="C24" s="2" t="s">
        <v>188</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Kelurahan/Desa</v>
      </c>
    </row>
    <row r="25" ht="15.75" customHeight="1">
      <c r="A25" s="3" t="s">
        <v>645</v>
      </c>
      <c r="B25" s="3" t="s">
        <v>191</v>
      </c>
      <c r="C25" s="3" t="s">
        <v>191</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Kode SLS</v>
      </c>
    </row>
    <row r="26" ht="15.75" customHeight="1">
      <c r="A26" s="2" t="s">
        <v>645</v>
      </c>
      <c r="B26" s="2" t="s">
        <v>194</v>
      </c>
      <c r="C26" s="2" t="s">
        <v>194</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Kode Lengkap SLS</v>
      </c>
    </row>
    <row r="27" ht="15.75" customHeight="1">
      <c r="A27" s="3" t="s">
        <v>645</v>
      </c>
      <c r="B27" s="3" t="s">
        <v>197</v>
      </c>
      <c r="C27" s="3" t="s">
        <v>197</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SLS</v>
      </c>
    </row>
    <row r="28" ht="15.75" customHeight="1">
      <c r="A28" s="2" t="s">
        <v>645</v>
      </c>
      <c r="B28" s="2" t="s">
        <v>202</v>
      </c>
      <c r="C28" s="2" t="s">
        <v>202</v>
      </c>
      <c r="D28" s="2" t="str">
        <f>IFERROR(VLOOKUP($C28,'_METADATA_TEMPLATE'!$B$2:$H$826,2,FALSE),"")</f>
        <v/>
      </c>
      <c r="E28" s="2" t="str">
        <f>IFERROR(VLOOKUP($C28,'_METADATA_TEMPLATE'!$B$2:$H$826,4,FALSE),"")</f>
        <v/>
      </c>
      <c r="F28" s="2" t="str">
        <f>IFERROR(VLOOKUP($C28,'_METADATA_TEMPLATE'!$B$2:$H$826,5,FALSE),"")</f>
        <v/>
      </c>
      <c r="G28" s="2" t="str">
        <f>IFERROR(VLOOKUP($C28,'_METADATA_TEMPLATE'!$B$2:$H$826,6,FALSE),"")</f>
        <v/>
      </c>
      <c r="H28" s="2" t="str">
        <f>IFERROR(VLOOKUP($C28,'_METADATA_TEMPLATE'!$B$2:$H$826,7,FALSE),"")</f>
        <v/>
      </c>
      <c r="I28" s="2" t="str">
        <f>IFERROR(VLOOKUP(C28,'_METADATA_DEFAULT'!$A:$B,2,FALSE),"")</f>
        <v>Kode Sub-SLS</v>
      </c>
    </row>
    <row r="29" ht="15.75" customHeight="1">
      <c r="A29" s="3" t="s">
        <v>645</v>
      </c>
      <c r="B29" s="3" t="s">
        <v>206</v>
      </c>
      <c r="C29" s="3" t="s">
        <v>206</v>
      </c>
      <c r="D29" s="3" t="str">
        <f>IFERROR(VLOOKUP($C29,'_METADATA_TEMPLATE'!$B$2:$H$826,2,FALSE),"")</f>
        <v/>
      </c>
      <c r="E29" s="3" t="str">
        <f>IFERROR(VLOOKUP($C29,'_METADATA_TEMPLATE'!$B$2:$H$826,4,FALSE),"")</f>
        <v/>
      </c>
      <c r="F29" s="3" t="str">
        <f>IFERROR(VLOOKUP($C29,'_METADATA_TEMPLATE'!$B$2:$H$826,5,FALSE),"")</f>
        <v/>
      </c>
      <c r="G29" s="3" t="str">
        <f>IFERROR(VLOOKUP($C29,'_METADATA_TEMPLATE'!$B$2:$H$826,6,FALSE),"")</f>
        <v/>
      </c>
      <c r="H29" s="3" t="str">
        <f>IFERROR(VLOOKUP($C29,'_METADATA_TEMPLATE'!$B$2:$H$826,7,FALSE),"")</f>
        <v/>
      </c>
      <c r="I29" s="3" t="str">
        <f>IFERROR(VLOOKUP(C29,'_METADATA_DEFAULT'!$A:$B,2,FALSE),"")</f>
        <v>Kode Lengkap Sub-SLS</v>
      </c>
    </row>
    <row r="30" ht="15.75" customHeight="1">
      <c r="A30" s="2" t="s">
        <v>645</v>
      </c>
      <c r="B30" s="2" t="s">
        <v>209</v>
      </c>
      <c r="C30" s="2" t="s">
        <v>209</v>
      </c>
      <c r="D30" s="2" t="str">
        <f>IFERROR(VLOOKUP($C30,'_METADATA_TEMPLATE'!$B$2:$H$826,2,FALSE),"")</f>
        <v/>
      </c>
      <c r="E30" s="2" t="str">
        <f>IFERROR(VLOOKUP($C30,'_METADATA_TEMPLATE'!$B$2:$H$826,4,FALSE),"")</f>
        <v/>
      </c>
      <c r="F30" s="2" t="str">
        <f>IFERROR(VLOOKUP($C30,'_METADATA_TEMPLATE'!$B$2:$H$826,5,FALSE),"")</f>
        <v/>
      </c>
      <c r="G30" s="2" t="str">
        <f>IFERROR(VLOOKUP($C30,'_METADATA_TEMPLATE'!$B$2:$H$826,6,FALSE),"")</f>
        <v/>
      </c>
      <c r="H30" s="2" t="str">
        <f>IFERROR(VLOOKUP($C30,'_METADATA_TEMPLATE'!$B$2:$H$826,7,FALSE),"")</f>
        <v/>
      </c>
      <c r="I30" s="2" t="str">
        <f>IFERROR(VLOOKUP(C30,'_METADATA_DEFAULT'!$A:$B,2,FALSE),"")</f>
        <v>Sub-SLS</v>
      </c>
    </row>
    <row r="31" ht="15.75" customHeight="1">
      <c r="A31" s="3" t="s">
        <v>645</v>
      </c>
      <c r="B31" s="3" t="s">
        <v>211</v>
      </c>
      <c r="C31" s="3" t="s">
        <v>211</v>
      </c>
      <c r="D31" s="3" t="str">
        <f>IFERROR(VLOOKUP($C31,'_METADATA_TEMPLATE'!$B$2:$H$826,2,FALSE),"")</f>
        <v/>
      </c>
      <c r="E31" s="3" t="str">
        <f>IFERROR(VLOOKUP($C31,'_METADATA_TEMPLATE'!$B$2:$H$826,4,FALSE),"")</f>
        <v/>
      </c>
      <c r="F31" s="3" t="str">
        <f>IFERROR(VLOOKUP($C31,'_METADATA_TEMPLATE'!$B$2:$H$826,5,FALSE),"")</f>
        <v/>
      </c>
      <c r="G31" s="3" t="str">
        <f>IFERROR(VLOOKUP($C31,'_METADATA_TEMPLATE'!$B$2:$H$826,6,FALSE),"")</f>
        <v/>
      </c>
      <c r="H31" s="3" t="str">
        <f>IFERROR(VLOOKUP($C31,'_METADATA_TEMPLATE'!$B$2:$H$826,7,FALSE),"")</f>
        <v/>
      </c>
      <c r="I31" s="3" t="str">
        <f>IFERROR(VLOOKUP(C31,'_METADATA_DEFAULT'!$A:$B,2,FALSE),"")</f>
        <v/>
      </c>
    </row>
    <row r="32" ht="15.75" customHeight="1">
      <c r="A32" s="2" t="s">
        <v>645</v>
      </c>
      <c r="B32" s="2" t="s">
        <v>214</v>
      </c>
      <c r="C32" s="2" t="s">
        <v>214</v>
      </c>
      <c r="D32" s="2" t="str">
        <f>IFERROR(VLOOKUP($C32,'_METADATA_TEMPLATE'!$B$2:$H$826,2,FALSE),"")</f>
        <v/>
      </c>
      <c r="E32" s="2" t="str">
        <f>IFERROR(VLOOKUP($C32,'_METADATA_TEMPLATE'!$B$2:$H$826,4,FALSE),"")</f>
        <v/>
      </c>
      <c r="F32" s="2" t="str">
        <f>IFERROR(VLOOKUP($C32,'_METADATA_TEMPLATE'!$B$2:$H$826,5,FALSE),"")</f>
        <v/>
      </c>
      <c r="G32" s="2" t="str">
        <f>IFERROR(VLOOKUP($C32,'_METADATA_TEMPLATE'!$B$2:$H$826,6,FALSE),"")</f>
        <v/>
      </c>
      <c r="H32" s="2" t="str">
        <f>IFERROR(VLOOKUP($C32,'_METADATA_TEMPLATE'!$B$2:$H$826,7,FALSE),"")</f>
        <v/>
      </c>
      <c r="I32" s="2" t="str">
        <f>IFERROR(VLOOKUP(C32,'_METADATA_DEFAULT'!$A:$B,2,FALSE),"")</f>
        <v/>
      </c>
    </row>
    <row r="33" ht="15.75" customHeight="1">
      <c r="A33" s="3" t="s">
        <v>645</v>
      </c>
      <c r="B33" s="3" t="s">
        <v>216</v>
      </c>
      <c r="C33" s="3" t="s">
        <v>216</v>
      </c>
      <c r="D33" s="3" t="str">
        <f>IFERROR(VLOOKUP($C33,'_METADATA_TEMPLATE'!$B$2:$H$826,2,FALSE),"")</f>
        <v/>
      </c>
      <c r="E33" s="3" t="str">
        <f>IFERROR(VLOOKUP($C33,'_METADATA_TEMPLATE'!$B$2:$H$826,4,FALSE),"")</f>
        <v/>
      </c>
      <c r="F33" s="3" t="str">
        <f>IFERROR(VLOOKUP($C33,'_METADATA_TEMPLATE'!$B$2:$H$826,5,FALSE),"")</f>
        <v/>
      </c>
      <c r="G33" s="3" t="str">
        <f>IFERROR(VLOOKUP($C33,'_METADATA_TEMPLATE'!$B$2:$H$826,6,FALSE),"")</f>
        <v/>
      </c>
      <c r="H33" s="3" t="str">
        <f>IFERROR(VLOOKUP($C33,'_METADATA_TEMPLATE'!$B$2:$H$826,7,FALSE),"")</f>
        <v/>
      </c>
      <c r="I33" s="3" t="str">
        <f>IFERROR(VLOOKUP(C33,'_METADATA_DEFAULT'!$A:$B,2,FALSE),"")</f>
        <v/>
      </c>
    </row>
    <row r="34" ht="15.75" customHeight="1">
      <c r="A34" s="2" t="s">
        <v>645</v>
      </c>
      <c r="B34" s="2" t="s">
        <v>218</v>
      </c>
      <c r="C34" s="2" t="s">
        <v>218</v>
      </c>
      <c r="D34" s="2" t="str">
        <f>IFERROR(VLOOKUP($C34,'_METADATA_TEMPLATE'!$B$2:$H$826,2,FALSE),"")</f>
        <v/>
      </c>
      <c r="E34" s="2" t="str">
        <f>IFERROR(VLOOKUP($C34,'_METADATA_TEMPLATE'!$B$2:$H$826,4,FALSE),"")</f>
        <v/>
      </c>
      <c r="F34" s="2" t="str">
        <f>IFERROR(VLOOKUP($C34,'_METADATA_TEMPLATE'!$B$2:$H$826,5,FALSE),"")</f>
        <v/>
      </c>
      <c r="G34" s="2" t="str">
        <f>IFERROR(VLOOKUP($C34,'_METADATA_TEMPLATE'!$B$2:$H$826,6,FALSE),"")</f>
        <v/>
      </c>
      <c r="H34" s="2" t="str">
        <f>IFERROR(VLOOKUP($C34,'_METADATA_TEMPLATE'!$B$2:$H$826,7,FALSE),"")</f>
        <v/>
      </c>
      <c r="I34" s="2" t="str">
        <f>IFERROR(VLOOKUP(C34,'_METADATA_DEFAULT'!$A:$B,2,FALSE),"")</f>
        <v/>
      </c>
    </row>
    <row r="35" ht="15.75" customHeight="1">
      <c r="A35" s="3" t="s">
        <v>645</v>
      </c>
      <c r="B35" s="3" t="s">
        <v>221</v>
      </c>
      <c r="C35" s="3" t="s">
        <v>221</v>
      </c>
      <c r="D35" s="3" t="str">
        <f>IFERROR(VLOOKUP($C35,'_METADATA_TEMPLATE'!$B$2:$H$826,2,FALSE),"")</f>
        <v/>
      </c>
      <c r="E35" s="3" t="str">
        <f>IFERROR(VLOOKUP($C35,'_METADATA_TEMPLATE'!$B$2:$H$826,4,FALSE),"")</f>
        <v/>
      </c>
      <c r="F35" s="3" t="str">
        <f>IFERROR(VLOOKUP($C35,'_METADATA_TEMPLATE'!$B$2:$H$826,5,FALSE),"")</f>
        <v/>
      </c>
      <c r="G35" s="3" t="str">
        <f>IFERROR(VLOOKUP($C35,'_METADATA_TEMPLATE'!$B$2:$H$826,6,FALSE),"")</f>
        <v/>
      </c>
      <c r="H35" s="3" t="str">
        <f>IFERROR(VLOOKUP($C35,'_METADATA_TEMPLATE'!$B$2:$H$826,7,FALSE),"")</f>
        <v/>
      </c>
      <c r="I35" s="3" t="str">
        <f>IFERROR(VLOOKUP(C35,'_METADATA_DEFAULT'!$A:$B,2,FALSE),"")</f>
        <v/>
      </c>
    </row>
    <row r="36" ht="15.75" customHeight="1">
      <c r="A36" s="2" t="s">
        <v>645</v>
      </c>
      <c r="B36" s="2" t="s">
        <v>225</v>
      </c>
      <c r="C36" s="2" t="s">
        <v>225</v>
      </c>
      <c r="D36" s="2" t="str">
        <f>IFERROR(VLOOKUP($C36,'_METADATA_TEMPLATE'!$B$2:$H$826,2,FALSE),"")</f>
        <v/>
      </c>
      <c r="E36" s="2" t="str">
        <f>IFERROR(VLOOKUP($C36,'_METADATA_TEMPLATE'!$B$2:$H$826,4,FALSE),"")</f>
        <v/>
      </c>
      <c r="F36" s="2" t="str">
        <f>IFERROR(VLOOKUP($C36,'_METADATA_TEMPLATE'!$B$2:$H$826,5,FALSE),"")</f>
        <v/>
      </c>
      <c r="G36" s="2" t="str">
        <f>IFERROR(VLOOKUP($C36,'_METADATA_TEMPLATE'!$B$2:$H$826,6,FALSE),"")</f>
        <v/>
      </c>
      <c r="H36" s="2" t="str">
        <f>IFERROR(VLOOKUP($C36,'_METADATA_TEMPLATE'!$B$2:$H$826,7,FALSE),"")</f>
        <v/>
      </c>
      <c r="I36" s="2" t="str">
        <f>IFERROR(VLOOKUP(C36,'_METADATA_DEFAULT'!$A:$B,2,FALSE),"")</f>
        <v/>
      </c>
    </row>
    <row r="37" ht="15.75" customHeight="1">
      <c r="A37" s="3" t="s">
        <v>645</v>
      </c>
      <c r="B37" s="3" t="s">
        <v>227</v>
      </c>
      <c r="C37" s="3" t="s">
        <v>227</v>
      </c>
      <c r="D37" s="3" t="str">
        <f>IFERROR(VLOOKUP($C37,'_METADATA_TEMPLATE'!$B$2:$H$826,2,FALSE),"")</f>
        <v/>
      </c>
      <c r="E37" s="3" t="str">
        <f>IFERROR(VLOOKUP($C37,'_METADATA_TEMPLATE'!$B$2:$H$826,4,FALSE),"")</f>
        <v/>
      </c>
      <c r="F37" s="3" t="str">
        <f>IFERROR(VLOOKUP($C37,'_METADATA_TEMPLATE'!$B$2:$H$826,5,FALSE),"")</f>
        <v/>
      </c>
      <c r="G37" s="3" t="str">
        <f>IFERROR(VLOOKUP($C37,'_METADATA_TEMPLATE'!$B$2:$H$826,6,FALSE),"")</f>
        <v/>
      </c>
      <c r="H37" s="3" t="str">
        <f>IFERROR(VLOOKUP($C37,'_METADATA_TEMPLATE'!$B$2:$H$826,7,FALSE),"")</f>
        <v/>
      </c>
      <c r="I37" s="3" t="str">
        <f>IFERROR(VLOOKUP(C37,'_METADATA_DEFAULT'!$A:$B,2,FALSE),"")</f>
        <v/>
      </c>
    </row>
    <row r="38" ht="15.75" customHeight="1">
      <c r="A38" s="2" t="s">
        <v>645</v>
      </c>
      <c r="B38" s="2" t="s">
        <v>230</v>
      </c>
      <c r="C38" s="2" t="s">
        <v>230</v>
      </c>
      <c r="D38" s="2" t="str">
        <f>IFERROR(VLOOKUP($C38,'_METADATA_TEMPLATE'!$B$2:$H$826,2,FALSE),"")</f>
        <v/>
      </c>
      <c r="E38" s="2" t="str">
        <f>IFERROR(VLOOKUP($C38,'_METADATA_TEMPLATE'!$B$2:$H$826,4,FALSE),"")</f>
        <v/>
      </c>
      <c r="F38" s="2" t="str">
        <f>IFERROR(VLOOKUP($C38,'_METADATA_TEMPLATE'!$B$2:$H$826,5,FALSE),"")</f>
        <v/>
      </c>
      <c r="G38" s="2" t="str">
        <f>IFERROR(VLOOKUP($C38,'_METADATA_TEMPLATE'!$B$2:$H$826,6,FALSE),"")</f>
        <v/>
      </c>
      <c r="H38" s="2" t="str">
        <f>IFERROR(VLOOKUP($C38,'_METADATA_TEMPLATE'!$B$2:$H$826,7,FALSE),"")</f>
        <v/>
      </c>
      <c r="I38" s="2" t="str">
        <f>IFERROR(VLOOKUP(C38,'_METADATA_DEFAULT'!$A:$B,2,FALSE),"")</f>
        <v/>
      </c>
    </row>
    <row r="39" ht="15.75" customHeight="1">
      <c r="A39" s="3" t="s">
        <v>645</v>
      </c>
      <c r="B39" s="3" t="s">
        <v>234</v>
      </c>
      <c r="C39" s="3" t="s">
        <v>234</v>
      </c>
      <c r="D39" s="3" t="str">
        <f>IFERROR(VLOOKUP($C39,'_METADATA_TEMPLATE'!$B$2:$H$826,2,FALSE),"")</f>
        <v/>
      </c>
      <c r="E39" s="3" t="str">
        <f>IFERROR(VLOOKUP($C39,'_METADATA_TEMPLATE'!$B$2:$H$826,4,FALSE),"")</f>
        <v/>
      </c>
      <c r="F39" s="3" t="str">
        <f>IFERROR(VLOOKUP($C39,'_METADATA_TEMPLATE'!$B$2:$H$826,5,FALSE),"")</f>
        <v/>
      </c>
      <c r="G39" s="3" t="str">
        <f>IFERROR(VLOOKUP($C39,'_METADATA_TEMPLATE'!$B$2:$H$826,6,FALSE),"")</f>
        <v/>
      </c>
      <c r="H39" s="3" t="str">
        <f>IFERROR(VLOOKUP($C39,'_METADATA_TEMPLATE'!$B$2:$H$826,7,FALSE),"")</f>
        <v/>
      </c>
      <c r="I39" s="3" t="str">
        <f>IFERROR(VLOOKUP(C39,'_METADATA_DEFAULT'!$A:$B,2,FALSE),"")</f>
        <v/>
      </c>
    </row>
    <row r="40" ht="15.75" customHeight="1">
      <c r="A40" s="2" t="s">
        <v>645</v>
      </c>
      <c r="B40" s="2" t="s">
        <v>355</v>
      </c>
      <c r="C40" s="2" t="s">
        <v>356</v>
      </c>
      <c r="D40" s="2" t="str">
        <f>IFERROR(VLOOKUP($C40,'_METADATA_TEMPLATE'!$B$2:$H$826,2,FALSE),"")</f>
        <v/>
      </c>
      <c r="E40" s="2" t="str">
        <f>IFERROR(VLOOKUP($C40,'_METADATA_TEMPLATE'!$B$2:$H$826,4,FALSE),"")</f>
        <v/>
      </c>
      <c r="F40" s="2" t="str">
        <f>IFERROR(VLOOKUP($C40,'_METADATA_TEMPLATE'!$B$2:$H$826,5,FALSE),"")</f>
        <v/>
      </c>
      <c r="G40" s="2" t="str">
        <f>IFERROR(VLOOKUP($C40,'_METADATA_TEMPLATE'!$B$2:$H$826,6,FALSE),"")</f>
        <v/>
      </c>
      <c r="H40" s="2" t="str">
        <f>IFERROR(VLOOKUP($C40,'_METADATA_TEMPLATE'!$B$2:$H$826,7,FALSE),"")</f>
        <v/>
      </c>
      <c r="I40" s="2" t="str">
        <f>IFERROR(VLOOKUP(C40,'_METADATA_DEFAULT'!$A:$B,2,FALSE),"")</f>
        <v/>
      </c>
    </row>
    <row r="41" ht="15.75" customHeight="1">
      <c r="A41" s="3" t="s">
        <v>645</v>
      </c>
      <c r="B41" s="3" t="s">
        <v>358</v>
      </c>
      <c r="C41" s="3" t="s">
        <v>356</v>
      </c>
      <c r="D41" s="3" t="str">
        <f>IFERROR(VLOOKUP($C41,'_METADATA_TEMPLATE'!$B$2:$H$826,2,FALSE),"")</f>
        <v/>
      </c>
      <c r="E41" s="3" t="str">
        <f>IFERROR(VLOOKUP($C41,'_METADATA_TEMPLATE'!$B$2:$H$826,4,FALSE),"")</f>
        <v/>
      </c>
      <c r="F41" s="3" t="str">
        <f>IFERROR(VLOOKUP($C41,'_METADATA_TEMPLATE'!$B$2:$H$826,5,FALSE),"")</f>
        <v/>
      </c>
      <c r="G41" s="3" t="str">
        <f>IFERROR(VLOOKUP($C41,'_METADATA_TEMPLATE'!$B$2:$H$826,6,FALSE),"")</f>
        <v/>
      </c>
      <c r="H41" s="3" t="str">
        <f>IFERROR(VLOOKUP($C41,'_METADATA_TEMPLATE'!$B$2:$H$826,7,FALSE),"")</f>
        <v/>
      </c>
      <c r="I41" s="3" t="str">
        <f>IFERROR(VLOOKUP(C41,'_METADATA_DEFAULT'!$A:$B,2,FALSE),"")</f>
        <v/>
      </c>
    </row>
    <row r="42" ht="15.75" customHeight="1">
      <c r="A42" s="2" t="s">
        <v>645</v>
      </c>
      <c r="B42" s="2" t="s">
        <v>75</v>
      </c>
      <c r="C42" s="2" t="s">
        <v>75</v>
      </c>
      <c r="D42" s="2" t="str">
        <f>IFERROR(VLOOKUP($C42,'_METADATA_TEMPLATE'!$B$2:$H$826,2,FALSE),"")</f>
        <v/>
      </c>
      <c r="E42" s="2" t="str">
        <f>IFERROR(VLOOKUP($C42,'_METADATA_TEMPLATE'!$B$2:$H$826,4,FALSE),"")</f>
        <v/>
      </c>
      <c r="F42" s="2" t="str">
        <f>IFERROR(VLOOKUP($C42,'_METADATA_TEMPLATE'!$B$2:$H$826,5,FALSE),"")</f>
        <v/>
      </c>
      <c r="G42" s="2" t="str">
        <f>IFERROR(VLOOKUP($C42,'_METADATA_TEMPLATE'!$B$2:$H$826,6,FALSE),"")</f>
        <v/>
      </c>
      <c r="H42" s="2" t="str">
        <f>IFERROR(VLOOKUP($C42,'_METADATA_TEMPLATE'!$B$2:$H$826,7,FALSE),"")</f>
        <v/>
      </c>
      <c r="I42" s="2" t="str">
        <f>IFERROR(VLOOKUP(C42,'_METADATA_DEFAULT'!$A:$B,2,FALSE),"")</f>
        <v>ID Periode Survei</v>
      </c>
    </row>
    <row r="43" ht="15.75" customHeight="1">
      <c r="A43" s="3" t="s">
        <v>645</v>
      </c>
      <c r="B43" s="3" t="s">
        <v>240</v>
      </c>
      <c r="C43" s="3" t="s">
        <v>240</v>
      </c>
      <c r="D43" s="3" t="str">
        <f>IFERROR(VLOOKUP($C43,'_METADATA_TEMPLATE'!$B$2:$H$826,2,FALSE),"")</f>
        <v/>
      </c>
      <c r="E43" s="3" t="str">
        <f>IFERROR(VLOOKUP($C43,'_METADATA_TEMPLATE'!$B$2:$H$826,4,FALSE),"")</f>
        <v/>
      </c>
      <c r="F43" s="3" t="str">
        <f>IFERROR(VLOOKUP($C43,'_METADATA_TEMPLATE'!$B$2:$H$826,5,FALSE),"")</f>
        <v/>
      </c>
      <c r="G43" s="3" t="str">
        <f>IFERROR(VLOOKUP($C43,'_METADATA_TEMPLATE'!$B$2:$H$826,6,FALSE),"")</f>
        <v/>
      </c>
      <c r="H43" s="3" t="str">
        <f>IFERROR(VLOOKUP($C43,'_METADATA_TEMPLATE'!$B$2:$H$826,7,FALSE),"")</f>
        <v/>
      </c>
      <c r="I43" s="3" t="str">
        <f>IFERROR(VLOOKUP(C43,'_METADATA_DEFAULT'!$A:$B,2,FALSE),"")</f>
        <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669</v>
      </c>
      <c r="B2" s="2" t="s">
        <v>82</v>
      </c>
      <c r="C2" s="2" t="s">
        <v>83</v>
      </c>
      <c r="D2" s="2">
        <f>IFERROR(VLOOKUP($C2,'_METADATA_TEMPLATE'!$B$2:$H$826,2,FALSE),"")</f>
        <v>101</v>
      </c>
      <c r="E2" s="2" t="str">
        <f>IFERROR(VLOOKUP($C2,'_METADATA_TEMPLATE'!$B$2:$H$826,4,FALSE),"")</f>
        <v>SE2026 - L BLOK II</v>
      </c>
      <c r="F2" s="2" t="str">
        <f>IFERROR(VLOOKUP($C2,'_METADATA_TEMPLATE'!$B$2:$H$826,5,FALSE),"")</f>
        <v/>
      </c>
      <c r="G2" s="2" t="str">
        <f>IFERROR(VLOOKUP($C2,'_METADATA_TEMPLATE'!$B$2:$H$826,6,FALSE),"")</f>
        <v>Jenis Unit</v>
      </c>
      <c r="H2" s="2" t="str">
        <f>IFERROR(VLOOKUP($C2,'_METADATA_TEMPLATE'!$B$2:$H$826,7,FALSE),"")</f>
        <v>Radio Group</v>
      </c>
      <c r="I2" s="2" t="str">
        <f>IFERROR(VLOOKUP(C2,'_METADATA_DEFAULT'!$A:$B,2,FALSE),"")</f>
        <v/>
      </c>
    </row>
    <row r="3">
      <c r="A3" s="3" t="s">
        <v>669</v>
      </c>
      <c r="B3" s="3" t="s">
        <v>86</v>
      </c>
      <c r="C3" s="3" t="s">
        <v>83</v>
      </c>
      <c r="D3" s="3">
        <f>IFERROR(VLOOKUP($C3,'_METADATA_TEMPLATE'!$B$2:$H$826,2,FALSE),"")</f>
        <v>101</v>
      </c>
      <c r="E3" s="3" t="str">
        <f>IFERROR(VLOOKUP($C3,'_METADATA_TEMPLATE'!$B$2:$H$826,4,FALSE),"")</f>
        <v>SE2026 - L BLOK II</v>
      </c>
      <c r="F3" s="3" t="str">
        <f>IFERROR(VLOOKUP($C3,'_METADATA_TEMPLATE'!$B$2:$H$826,5,FALSE),"")</f>
        <v/>
      </c>
      <c r="G3" s="3" t="str">
        <f>IFERROR(VLOOKUP($C3,'_METADATA_TEMPLATE'!$B$2:$H$826,6,FALSE),"")</f>
        <v>Jenis Unit</v>
      </c>
      <c r="H3" s="3" t="str">
        <f>IFERROR(VLOOKUP($C3,'_METADATA_TEMPLATE'!$B$2:$H$826,7,FALSE),"")</f>
        <v>Radio Group</v>
      </c>
      <c r="I3" s="3" t="str">
        <f>IFERROR(VLOOKUP(C3,'_METADATA_DEFAULT'!$A:$B,2,FALSE),"")</f>
        <v/>
      </c>
    </row>
    <row r="4">
      <c r="A4" s="2" t="s">
        <v>669</v>
      </c>
      <c r="B4" s="2" t="s">
        <v>88</v>
      </c>
      <c r="C4" s="2" t="s">
        <v>89</v>
      </c>
      <c r="D4" s="2">
        <f>IFERROR(VLOOKUP($C4,'_METADATA_TEMPLATE'!$B$2:$H$826,2,FALSE),"")</f>
        <v>102</v>
      </c>
      <c r="E4" s="2" t="str">
        <f>IFERROR(VLOOKUP($C4,'_METADATA_TEMPLATE'!$B$2:$H$826,4,FALSE),"")</f>
        <v>SE2026 - L BLOK II</v>
      </c>
      <c r="F4" s="2" t="str">
        <f>IFERROR(VLOOKUP($C4,'_METADATA_TEMPLATE'!$B$2:$H$826,5,FALSE),"")</f>
        <v/>
      </c>
      <c r="G4" s="2" t="str">
        <f>IFERROR(VLOOKUP($C4,'_METADATA_TEMPLATE'!$B$2:$H$826,6,FALSE),"")</f>
        <v>Provinsi</v>
      </c>
      <c r="H4" s="2" t="str">
        <f>IFERROR(VLOOKUP($C4,'_METADATA_TEMPLATE'!$B$2:$H$826,7,FALSE),"")</f>
        <v>Select</v>
      </c>
      <c r="I4" s="2" t="str">
        <f>IFERROR(VLOOKUP(C4,'_METADATA_DEFAULT'!$A:$B,2,FALSE),"")</f>
        <v/>
      </c>
    </row>
    <row r="5">
      <c r="A5" s="3" t="s">
        <v>669</v>
      </c>
      <c r="B5" s="3" t="s">
        <v>92</v>
      </c>
      <c r="C5" s="3" t="s">
        <v>89</v>
      </c>
      <c r="D5" s="3">
        <f>IFERROR(VLOOKUP($C5,'_METADATA_TEMPLATE'!$B$2:$H$826,2,FALSE),"")</f>
        <v>102</v>
      </c>
      <c r="E5" s="3" t="str">
        <f>IFERROR(VLOOKUP($C5,'_METADATA_TEMPLATE'!$B$2:$H$826,4,FALSE),"")</f>
        <v>SE2026 - L BLOK II</v>
      </c>
      <c r="F5" s="3" t="str">
        <f>IFERROR(VLOOKUP($C5,'_METADATA_TEMPLATE'!$B$2:$H$826,5,FALSE),"")</f>
        <v/>
      </c>
      <c r="G5" s="3" t="str">
        <f>IFERROR(VLOOKUP($C5,'_METADATA_TEMPLATE'!$B$2:$H$826,6,FALSE),"")</f>
        <v>Provinsi</v>
      </c>
      <c r="H5" s="3" t="str">
        <f>IFERROR(VLOOKUP($C5,'_METADATA_TEMPLATE'!$B$2:$H$826,7,FALSE),"")</f>
        <v>Select</v>
      </c>
      <c r="I5" s="3" t="str">
        <f>IFERROR(VLOOKUP(C5,'_METADATA_DEFAULT'!$A:$B,2,FALSE),"")</f>
        <v/>
      </c>
    </row>
    <row r="6">
      <c r="A6" s="2" t="s">
        <v>669</v>
      </c>
      <c r="B6" s="2" t="s">
        <v>94</v>
      </c>
      <c r="C6" s="2" t="s">
        <v>95</v>
      </c>
      <c r="D6" s="2">
        <f>IFERROR(VLOOKUP($C6,'_METADATA_TEMPLATE'!$B$2:$H$826,2,FALSE),"")</f>
        <v>104</v>
      </c>
      <c r="E6" s="2" t="str">
        <f>IFERROR(VLOOKUP($C6,'_METADATA_TEMPLATE'!$B$2:$H$826,4,FALSE),"")</f>
        <v>SE2026 - L BLOK II</v>
      </c>
      <c r="F6" s="2" t="str">
        <f>IFERROR(VLOOKUP($C6,'_METADATA_TEMPLATE'!$B$2:$H$826,5,FALSE),"")</f>
        <v/>
      </c>
      <c r="G6" s="2" t="str">
        <f>IFERROR(VLOOKUP($C6,'_METADATA_TEMPLATE'!$B$2:$H$826,6,FALSE),"")</f>
        <v>Kabupaten</v>
      </c>
      <c r="H6" s="2" t="str">
        <f>IFERROR(VLOOKUP($C6,'_METADATA_TEMPLATE'!$B$2:$H$826,7,FALSE),"")</f>
        <v>Select</v>
      </c>
      <c r="I6" s="2" t="str">
        <f>IFERROR(VLOOKUP(C6,'_METADATA_DEFAULT'!$A:$B,2,FALSE),"")</f>
        <v/>
      </c>
    </row>
    <row r="7">
      <c r="A7" s="3" t="s">
        <v>669</v>
      </c>
      <c r="B7" s="3" t="s">
        <v>99</v>
      </c>
      <c r="C7" s="3" t="s">
        <v>95</v>
      </c>
      <c r="D7" s="3">
        <f>IFERROR(VLOOKUP($C7,'_METADATA_TEMPLATE'!$B$2:$H$826,2,FALSE),"")</f>
        <v>104</v>
      </c>
      <c r="E7" s="3" t="str">
        <f>IFERROR(VLOOKUP($C7,'_METADATA_TEMPLATE'!$B$2:$H$826,4,FALSE),"")</f>
        <v>SE2026 - L BLOK II</v>
      </c>
      <c r="F7" s="3" t="str">
        <f>IFERROR(VLOOKUP($C7,'_METADATA_TEMPLATE'!$B$2:$H$826,5,FALSE),"")</f>
        <v/>
      </c>
      <c r="G7" s="3" t="str">
        <f>IFERROR(VLOOKUP($C7,'_METADATA_TEMPLATE'!$B$2:$H$826,6,FALSE),"")</f>
        <v>Kabupaten</v>
      </c>
      <c r="H7" s="3" t="str">
        <f>IFERROR(VLOOKUP($C7,'_METADATA_TEMPLATE'!$B$2:$H$826,7,FALSE),"")</f>
        <v>Select</v>
      </c>
      <c r="I7" s="3" t="str">
        <f>IFERROR(VLOOKUP(C7,'_METADATA_DEFAULT'!$A:$B,2,FALSE),"")</f>
        <v/>
      </c>
    </row>
    <row r="8">
      <c r="A8" s="2" t="s">
        <v>669</v>
      </c>
      <c r="B8" s="2" t="s">
        <v>118</v>
      </c>
      <c r="C8" s="2" t="s">
        <v>118</v>
      </c>
      <c r="D8" s="2">
        <f>IFERROR(VLOOKUP($C8,'_METADATA_TEMPLATE'!$B$2:$H$826,2,FALSE),"")</f>
        <v>109</v>
      </c>
      <c r="E8" s="2" t="str">
        <f>IFERROR(VLOOKUP($C8,'_METADATA_TEMPLATE'!$B$2:$H$826,4,FALSE),"")</f>
        <v>SE2026 - L BLOK II</v>
      </c>
      <c r="F8" s="2" t="str">
        <f>IFERROR(VLOOKUP($C8,'_METADATA_TEMPLATE'!$B$2:$H$826,5,FALSE),"")</f>
        <v/>
      </c>
      <c r="G8" s="2" t="str">
        <f>IFERROR(VLOOKUP($C8,'_METADATA_TEMPLATE'!$B$2:$H$826,6,FALSE),"")</f>
        <v>Jumlah Pekerja (per 31 Desember 2025) (orang)</v>
      </c>
      <c r="H8" s="2" t="str">
        <f>IFERROR(VLOOKUP($C8,'_METADATA_TEMPLATE'!$B$2:$H$826,7,FALSE),"")</f>
        <v>Number</v>
      </c>
      <c r="I8" s="2" t="str">
        <f>IFERROR(VLOOKUP(C8,'_METADATA_DEFAULT'!$A:$B,2,FALSE),"")</f>
        <v/>
      </c>
    </row>
    <row r="9">
      <c r="A9" s="3" t="s">
        <v>669</v>
      </c>
      <c r="B9" s="3" t="s">
        <v>687</v>
      </c>
      <c r="C9" s="3" t="s">
        <v>688</v>
      </c>
      <c r="D9" s="3">
        <f>IFERROR(VLOOKUP($C9,'_METADATA_TEMPLATE'!$B$2:$H$826,2,FALSE),"")</f>
        <v>111</v>
      </c>
      <c r="E9" s="3" t="str">
        <f>IFERROR(VLOOKUP($C9,'_METADATA_TEMPLATE'!$B$2:$H$826,4,FALSE),"")</f>
        <v>SE2026 - L BLOK II</v>
      </c>
      <c r="F9" s="3" t="str">
        <f>IFERROR(VLOOKUP($C9,'_METADATA_TEMPLATE'!$B$2:$H$826,5,FALSE),"")</f>
        <v/>
      </c>
      <c r="G9" s="3" t="str">
        <f>IFERROR(VLOOKUP($C9,'_METADATA_TEMPLATE'!$B$2:$H$826,6,FALSE),"")</f>
        <v>KBLI</v>
      </c>
      <c r="H9" s="3" t="str">
        <f>IFERROR(VLOOKUP($C9,'_METADATA_TEMPLATE'!$B$2:$H$826,7,FALSE),"")</f>
        <v>Select</v>
      </c>
      <c r="I9" s="3" t="str">
        <f>IFERROR(VLOOKUP(C9,'_METADATA_DEFAULT'!$A:$B,2,FALSE),"")</f>
        <v/>
      </c>
    </row>
    <row r="10">
      <c r="A10" s="2" t="s">
        <v>669</v>
      </c>
      <c r="B10" s="2" t="s">
        <v>692</v>
      </c>
      <c r="C10" s="2" t="s">
        <v>688</v>
      </c>
      <c r="D10" s="2">
        <f>IFERROR(VLOOKUP($C10,'_METADATA_TEMPLATE'!$B$2:$H$826,2,FALSE),"")</f>
        <v>111</v>
      </c>
      <c r="E10" s="2" t="str">
        <f>IFERROR(VLOOKUP($C10,'_METADATA_TEMPLATE'!$B$2:$H$826,4,FALSE),"")</f>
        <v>SE2026 - L BLOK II</v>
      </c>
      <c r="F10" s="2" t="str">
        <f>IFERROR(VLOOKUP($C10,'_METADATA_TEMPLATE'!$B$2:$H$826,5,FALSE),"")</f>
        <v/>
      </c>
      <c r="G10" s="2" t="str">
        <f>IFERROR(VLOOKUP($C10,'_METADATA_TEMPLATE'!$B$2:$H$826,6,FALSE),"")</f>
        <v>KBLI</v>
      </c>
      <c r="H10" s="2" t="str">
        <f>IFERROR(VLOOKUP($C10,'_METADATA_TEMPLATE'!$B$2:$H$826,7,FALSE),"")</f>
        <v>Select</v>
      </c>
      <c r="I10" s="2" t="str">
        <f>IFERROR(VLOOKUP(C10,'_METADATA_DEFAULT'!$A:$B,2,FALSE),"")</f>
        <v/>
      </c>
    </row>
    <row r="11">
      <c r="A11" s="3" t="s">
        <v>669</v>
      </c>
      <c r="B11" s="3" t="s">
        <v>696</v>
      </c>
      <c r="C11" s="3" t="s">
        <v>696</v>
      </c>
      <c r="D11" s="3">
        <f>IFERROR(VLOOKUP($C11,'_METADATA_TEMPLATE'!$B$2:$H$826,2,FALSE),"")</f>
        <v>113</v>
      </c>
      <c r="E11" s="3" t="str">
        <f>IFERROR(VLOOKUP($C11,'_METADATA_TEMPLATE'!$B$2:$H$826,4,FALSE),"")</f>
        <v>BLOK I</v>
      </c>
      <c r="F11" s="3" t="str">
        <f>IFERROR(VLOOKUP($C11,'_METADATA_TEMPLATE'!$B$2:$H$826,5,FALSE),"")</f>
        <v/>
      </c>
      <c r="G11" s="3" t="str">
        <f>IFERROR(VLOOKUP($C11,'_METADATA_TEMPLATE'!$B$2:$H$826,6,FALSE),"")</f>
        <v>Nama Kantor/ Unit</v>
      </c>
      <c r="H11" s="3" t="str">
        <f>IFERROR(VLOOKUP($C11,'_METADATA_TEMPLATE'!$B$2:$H$826,7,FALSE),"")</f>
        <v>Text Input</v>
      </c>
      <c r="I11" s="3" t="str">
        <f>IFERROR(VLOOKUP(C11,'_METADATA_DEFAULT'!$A:$B,2,FALSE),"")</f>
        <v/>
      </c>
    </row>
    <row r="12">
      <c r="A12" s="2" t="s">
        <v>669</v>
      </c>
      <c r="B12" s="2" t="s">
        <v>700</v>
      </c>
      <c r="C12" s="2" t="s">
        <v>700</v>
      </c>
      <c r="D12" s="2">
        <f>IFERROR(VLOOKUP($C12,'_METADATA_TEMPLATE'!$B$2:$H$826,2,FALSE),"")</f>
        <v>118</v>
      </c>
      <c r="E12" s="2" t="str">
        <f>IFERROR(VLOOKUP($C12,'_METADATA_TEMPLATE'!$B$2:$H$826,4,FALSE),"")</f>
        <v>SE2026 - L BLOK II</v>
      </c>
      <c r="F12" s="2" t="str">
        <f>IFERROR(VLOOKUP($C12,'_METADATA_TEMPLATE'!$B$2:$H$826,5,FALSE),"")</f>
        <v/>
      </c>
      <c r="G12" s="2" t="str">
        <f>IFERROR(VLOOKUP($C12,'_METADATA_TEMPLATE'!$B$2:$H$826,6,FALSE),"")</f>
        <v>CATATAN</v>
      </c>
      <c r="H12" s="2" t="str">
        <f>IFERROR(VLOOKUP($C12,'_METADATA_TEMPLATE'!$B$2:$H$826,7,FALSE),"")</f>
        <v>Text Input</v>
      </c>
      <c r="I12" s="2" t="str">
        <f>IFERROR(VLOOKUP(C12,'_METADATA_DEFAULT'!$A:$B,2,FALSE),"")</f>
        <v/>
      </c>
    </row>
    <row r="13">
      <c r="A13" s="3" t="s">
        <v>669</v>
      </c>
      <c r="B13" s="3" t="s">
        <v>703</v>
      </c>
      <c r="C13" s="3" t="s">
        <v>703</v>
      </c>
      <c r="D13" s="3">
        <f>IFERROR(VLOOKUP($C13,'_METADATA_TEMPLATE'!$B$2:$H$826,2,FALSE),"")</f>
        <v>119</v>
      </c>
      <c r="E13" s="3" t="str">
        <f>IFERROR(VLOOKUP($C13,'_METADATA_TEMPLATE'!$B$2:$H$826,4,FALSE),"")</f>
        <v>BLOK I</v>
      </c>
      <c r="F13" s="3" t="str">
        <f>IFERROR(VLOOKUP($C13,'_METADATA_TEMPLATE'!$B$2:$H$826,5,FALSE),"")</f>
        <v/>
      </c>
      <c r="G13" s="3" t="str">
        <f>IFERROR(VLOOKUP($C13,'_METADATA_TEMPLATE'!$B$2:$H$826,6,FALSE),"")</f>
        <v>Nilai Pengeluaran Tahun 2025</v>
      </c>
      <c r="H13" s="3" t="str">
        <f>IFERROR(VLOOKUP($C13,'_METADATA_TEMPLATE'!$B$2:$H$826,7,FALSE),"")</f>
        <v>Currency</v>
      </c>
      <c r="I13" s="3" t="str">
        <f>IFERROR(VLOOKUP(C13,'_METADATA_DEFAULT'!$A:$B,2,FALSE),"")</f>
        <v/>
      </c>
    </row>
    <row r="14">
      <c r="A14" s="2" t="s">
        <v>669</v>
      </c>
      <c r="B14" s="2" t="s">
        <v>708</v>
      </c>
      <c r="C14" s="2" t="s">
        <v>708</v>
      </c>
      <c r="D14" s="2">
        <f>IFERROR(VLOOKUP($C14,'_METADATA_TEMPLATE'!$B$2:$H$826,2,FALSE),"")</f>
        <v>120</v>
      </c>
      <c r="E14" s="2" t="str">
        <f>IFERROR(VLOOKUP($C14,'_METADATA_TEMPLATE'!$B$2:$H$826,4,FALSE),"")</f>
        <v>BLOK I</v>
      </c>
      <c r="F14" s="2" t="str">
        <f>IFERROR(VLOOKUP($C14,'_METADATA_TEMPLATE'!$B$2:$H$826,5,FALSE),"")</f>
        <v/>
      </c>
      <c r="G14" s="2" t="str">
        <f>IFERROR(VLOOKUP($C14,'_METADATA_TEMPLATE'!$B$2:$H$826,6,FALSE),"")</f>
        <v>Nilai produksi/penjualan/pendapatan Tahun 2025</v>
      </c>
      <c r="H14" s="2" t="str">
        <f>IFERROR(VLOOKUP($C14,'_METADATA_TEMPLATE'!$B$2:$H$826,7,FALSE),"")</f>
        <v>Currency</v>
      </c>
      <c r="I14" s="2" t="str">
        <f>IFERROR(VLOOKUP(C14,'_METADATA_DEFAULT'!$A:$B,2,FALSE),"")</f>
        <v/>
      </c>
    </row>
    <row r="15">
      <c r="A15" s="3" t="s">
        <v>669</v>
      </c>
      <c r="B15" s="3" t="s">
        <v>128</v>
      </c>
      <c r="C15" s="3" t="s">
        <v>128</v>
      </c>
      <c r="D15" s="3">
        <f>IFERROR(VLOOKUP($C15,'_METADATA_TEMPLATE'!$B$2:$H$826,2,FALSE),"")</f>
        <v>121</v>
      </c>
      <c r="E15" s="3" t="str">
        <f>IFERROR(VLOOKUP($C15,'_METADATA_TEMPLATE'!$B$2:$H$826,4,FALSE),"")</f>
        <v>BLOK I</v>
      </c>
      <c r="F15" s="3" t="str">
        <f>IFERROR(VLOOKUP($C15,'_METADATA_TEMPLATE'!$B$2:$H$826,5,FALSE),"")</f>
        <v/>
      </c>
      <c r="G15" s="3" t="str">
        <f>IFERROR(VLOOKUP($C15,'_METADATA_TEMPLATE'!$B$2:$H$826,6,FALSE),"")</f>
        <v>Nilai Aset Tahun 2025</v>
      </c>
      <c r="H15" s="3" t="str">
        <f>IFERROR(VLOOKUP($C15,'_METADATA_TEMPLATE'!$B$2:$H$826,7,FALSE),"")</f>
        <v>Currency</v>
      </c>
      <c r="I15" s="3" t="str">
        <f>IFERROR(VLOOKUP(C15,'_METADATA_DEFAULT'!$A:$B,2,FALSE),"")</f>
        <v/>
      </c>
    </row>
    <row r="16">
      <c r="A16" s="2" t="s">
        <v>669</v>
      </c>
      <c r="B16" s="2" t="s">
        <v>712</v>
      </c>
      <c r="C16" s="2" t="s">
        <v>712</v>
      </c>
      <c r="D16" s="2" t="str">
        <f>IFERROR(VLOOKUP($C16,'_METADATA_TEMPLATE'!$B$2:$H$826,2,FALSE),"")</f>
        <v/>
      </c>
      <c r="E16" s="2" t="str">
        <f>IFERROR(VLOOKUP($C16,'_METADATA_TEMPLATE'!$B$2:$H$826,4,FALSE),"")</f>
        <v/>
      </c>
      <c r="F16" s="2" t="str">
        <f>IFERROR(VLOOKUP($C16,'_METADATA_TEMPLATE'!$B$2:$H$826,5,FALSE),"")</f>
        <v/>
      </c>
      <c r="G16" s="2" t="str">
        <f>IFERROR(VLOOKUP($C16,'_METADATA_TEMPLATE'!$B$2:$H$826,6,FALSE),"")</f>
        <v/>
      </c>
      <c r="H16" s="2" t="str">
        <f>IFERROR(VLOOKUP($C16,'_METADATA_TEMPLATE'!$B$2:$H$826,7,FALSE),"")</f>
        <v/>
      </c>
      <c r="I16" s="2" t="str">
        <f>IFERROR(VLOOKUP(C16,'_METADATA_DEFAULT'!$A:$B,2,FALSE),"")</f>
        <v/>
      </c>
    </row>
    <row r="17">
      <c r="A17" s="3" t="s">
        <v>669</v>
      </c>
      <c r="B17" s="3" t="s">
        <v>715</v>
      </c>
      <c r="C17" s="3" t="s">
        <v>715</v>
      </c>
      <c r="D17" s="3" t="str">
        <f>IFERROR(VLOOKUP($C17,'_METADATA_TEMPLATE'!$B$2:$H$826,2,FALSE),"")</f>
        <v/>
      </c>
      <c r="E17" s="3" t="str">
        <f>IFERROR(VLOOKUP($C17,'_METADATA_TEMPLATE'!$B$2:$H$826,4,FALSE),"")</f>
        <v/>
      </c>
      <c r="F17" s="3" t="str">
        <f>IFERROR(VLOOKUP($C17,'_METADATA_TEMPLATE'!$B$2:$H$826,5,FALSE),"")</f>
        <v/>
      </c>
      <c r="G17" s="3" t="str">
        <f>IFERROR(VLOOKUP($C17,'_METADATA_TEMPLATE'!$B$2:$H$826,6,FALSE),"")</f>
        <v/>
      </c>
      <c r="H17" s="3" t="str">
        <f>IFERROR(VLOOKUP($C17,'_METADATA_TEMPLATE'!$B$2:$H$826,7,FALSE),"")</f>
        <v/>
      </c>
      <c r="I17" s="3" t="str">
        <f>IFERROR(VLOOKUP(C17,'_METADATA_DEFAULT'!$A:$B,2,FALSE),"")</f>
        <v/>
      </c>
    </row>
    <row r="18">
      <c r="A18" s="2" t="s">
        <v>669</v>
      </c>
      <c r="B18" s="2" t="s">
        <v>12</v>
      </c>
      <c r="C18" s="2" t="s">
        <v>12</v>
      </c>
      <c r="D18" s="2" t="str">
        <f>IFERROR(VLOOKUP($C18,'_METADATA_TEMPLATE'!$B$2:$H$826,2,FALSE),"")</f>
        <v/>
      </c>
      <c r="E18" s="2" t="str">
        <f>IFERROR(VLOOKUP($C18,'_METADATA_TEMPLATE'!$B$2:$H$826,4,FALSE),"")</f>
        <v/>
      </c>
      <c r="F18" s="2" t="str">
        <f>IFERROR(VLOOKUP($C18,'_METADATA_TEMPLATE'!$B$2:$H$826,5,FALSE),"")</f>
        <v/>
      </c>
      <c r="G18" s="2" t="str">
        <f>IFERROR(VLOOKUP($C18,'_METADATA_TEMPLATE'!$B$2:$H$826,6,FALSE),"")</f>
        <v/>
      </c>
      <c r="H18" s="2" t="str">
        <f>IFERROR(VLOOKUP($C18,'_METADATA_TEMPLATE'!$B$2:$H$826,7,FALSE),"")</f>
        <v/>
      </c>
      <c r="I18" s="2" t="str">
        <f>IFERROR(VLOOKUP(C18,'_METADATA_DEFAULT'!$A:$B,2,FALSE),"")</f>
        <v>ID Assignment</v>
      </c>
    </row>
    <row r="19">
      <c r="A19" s="3" t="s">
        <v>669</v>
      </c>
      <c r="B19" s="3" t="s">
        <v>132</v>
      </c>
      <c r="C19" s="3" t="s">
        <v>132</v>
      </c>
      <c r="D19" s="3" t="str">
        <f>IFERROR(VLOOKUP($C19,'_METADATA_TEMPLATE'!$B$2:$H$826,2,FALSE),"")</f>
        <v/>
      </c>
      <c r="E19" s="3" t="str">
        <f>IFERROR(VLOOKUP($C19,'_METADATA_TEMPLATE'!$B$2:$H$826,4,FALSE),"")</f>
        <v/>
      </c>
      <c r="F19" s="3" t="str">
        <f>IFERROR(VLOOKUP($C19,'_METADATA_TEMPLATE'!$B$2:$H$826,5,FALSE),"")</f>
        <v/>
      </c>
      <c r="G19" s="3" t="str">
        <f>IFERROR(VLOOKUP($C19,'_METADATA_TEMPLATE'!$B$2:$H$826,6,FALSE),"")</f>
        <v/>
      </c>
      <c r="H19" s="3" t="str">
        <f>IFERROR(VLOOKUP($C19,'_METADATA_TEMPLATE'!$B$2:$H$826,7,FALSE),"")</f>
        <v/>
      </c>
      <c r="I19" s="3" t="str">
        <f>IFERROR(VLOOKUP(C19,'_METADATA_DEFAULT'!$A:$B,2,FALSE),"")</f>
        <v>ID Roster/Nested Level 1</v>
      </c>
    </row>
    <row r="20">
      <c r="A20" s="2" t="s">
        <v>669</v>
      </c>
      <c r="B20" s="2" t="s">
        <v>18</v>
      </c>
      <c r="C20" s="2" t="s">
        <v>18</v>
      </c>
      <c r="D20" s="2" t="str">
        <f>IFERROR(VLOOKUP($C20,'_METADATA_TEMPLATE'!$B$2:$H$826,2,FALSE),"")</f>
        <v/>
      </c>
      <c r="E20" s="2" t="str">
        <f>IFERROR(VLOOKUP($C20,'_METADATA_TEMPLATE'!$B$2:$H$826,4,FALSE),"")</f>
        <v/>
      </c>
      <c r="F20" s="2" t="str">
        <f>IFERROR(VLOOKUP($C20,'_METADATA_TEMPLATE'!$B$2:$H$826,5,FALSE),"")</f>
        <v/>
      </c>
      <c r="G20" s="2" t="str">
        <f>IFERROR(VLOOKUP($C20,'_METADATA_TEMPLATE'!$B$2:$H$826,6,FALSE),"")</f>
        <v/>
      </c>
      <c r="H20" s="2" t="str">
        <f>IFERROR(VLOOKUP($C20,'_METADATA_TEMPLATE'!$B$2:$H$826,7,FALSE),"")</f>
        <v/>
      </c>
      <c r="I20" s="2" t="str">
        <f>IFERROR(VLOOKUP(C20,'_METADATA_DEFAULT'!$A:$B,2,FALSE),"")</f>
        <v>Kode Lengkap Provinsi</v>
      </c>
    </row>
    <row r="21" ht="15.75" customHeight="1">
      <c r="A21" s="3" t="s">
        <v>669</v>
      </c>
      <c r="B21" s="3" t="s">
        <v>20</v>
      </c>
      <c r="C21" s="3" t="s">
        <v>20</v>
      </c>
      <c r="D21" s="3" t="str">
        <f>IFERROR(VLOOKUP($C21,'_METADATA_TEMPLATE'!$B$2:$H$826,2,FALSE),"")</f>
        <v/>
      </c>
      <c r="E21" s="3" t="str">
        <f>IFERROR(VLOOKUP($C21,'_METADATA_TEMPLATE'!$B$2:$H$826,4,FALSE),"")</f>
        <v/>
      </c>
      <c r="F21" s="3" t="str">
        <f>IFERROR(VLOOKUP($C21,'_METADATA_TEMPLATE'!$B$2:$H$826,5,FALSE),"")</f>
        <v/>
      </c>
      <c r="G21" s="3" t="str">
        <f>IFERROR(VLOOKUP($C21,'_METADATA_TEMPLATE'!$B$2:$H$826,6,FALSE),"")</f>
        <v/>
      </c>
      <c r="H21" s="3" t="str">
        <f>IFERROR(VLOOKUP($C21,'_METADATA_TEMPLATE'!$B$2:$H$826,7,FALSE),"")</f>
        <v/>
      </c>
      <c r="I21" s="3" t="str">
        <f>IFERROR(VLOOKUP(C21,'_METADATA_DEFAULT'!$A:$B,2,FALSE),"")</f>
        <v>Kode Lengkap Kabupaten/Kota</v>
      </c>
    </row>
    <row r="22" ht="15.75" customHeight="1">
      <c r="A22" s="2" t="s">
        <v>669</v>
      </c>
      <c r="B22" s="2" t="s">
        <v>21</v>
      </c>
      <c r="C22" s="2" t="s">
        <v>21</v>
      </c>
      <c r="D22" s="2" t="str">
        <f>IFERROR(VLOOKUP($C22,'_METADATA_TEMPLATE'!$B$2:$H$826,2,FALSE),"")</f>
        <v/>
      </c>
      <c r="E22" s="2" t="str">
        <f>IFERROR(VLOOKUP($C22,'_METADATA_TEMPLATE'!$B$2:$H$826,4,FALSE),"")</f>
        <v/>
      </c>
      <c r="F22" s="2" t="str">
        <f>IFERROR(VLOOKUP($C22,'_METADATA_TEMPLATE'!$B$2:$H$826,5,FALSE),"")</f>
        <v/>
      </c>
      <c r="G22" s="2" t="str">
        <f>IFERROR(VLOOKUP($C22,'_METADATA_TEMPLATE'!$B$2:$H$826,6,FALSE),"")</f>
        <v/>
      </c>
      <c r="H22" s="2" t="str">
        <f>IFERROR(VLOOKUP($C22,'_METADATA_TEMPLATE'!$B$2:$H$826,7,FALSE),"")</f>
        <v/>
      </c>
      <c r="I22" s="2" t="str">
        <f>IFERROR(VLOOKUP(C22,'_METADATA_DEFAULT'!$A:$B,2,FALSE),"")</f>
        <v>ID Assignment + Timestamp</v>
      </c>
    </row>
    <row r="23" ht="15.75" customHeight="1">
      <c r="A23" s="3" t="s">
        <v>669</v>
      </c>
      <c r="B23" s="3" t="s">
        <v>153</v>
      </c>
      <c r="C23" s="3" t="s">
        <v>153</v>
      </c>
      <c r="D23" s="3" t="str">
        <f>IFERROR(VLOOKUP($C23,'_METADATA_TEMPLATE'!$B$2:$H$826,2,FALSE),"")</f>
        <v/>
      </c>
      <c r="E23" s="3" t="str">
        <f>IFERROR(VLOOKUP($C23,'_METADATA_TEMPLATE'!$B$2:$H$826,4,FALSE),"")</f>
        <v/>
      </c>
      <c r="F23" s="3" t="str">
        <f>IFERROR(VLOOKUP($C23,'_METADATA_TEMPLATE'!$B$2:$H$826,5,FALSE),"")</f>
        <v/>
      </c>
      <c r="G23" s="3" t="str">
        <f>IFERROR(VLOOKUP($C23,'_METADATA_TEMPLATE'!$B$2:$H$826,6,FALSE),"")</f>
        <v/>
      </c>
      <c r="H23" s="3" t="str">
        <f>IFERROR(VLOOKUP($C23,'_METADATA_TEMPLATE'!$B$2:$H$826,7,FALSE),"")</f>
        <v/>
      </c>
      <c r="I23" s="3" t="str">
        <f>IFERROR(VLOOKUP(C23,'_METADATA_DEFAULT'!$A:$B,2,FALSE),"")</f>
        <v>1 = Assignment Tambahan, 0 = Assignment Prelist</v>
      </c>
    </row>
    <row r="24" ht="15.75" customHeight="1">
      <c r="A24" s="2" t="s">
        <v>669</v>
      </c>
      <c r="B24" s="2" t="s">
        <v>42</v>
      </c>
      <c r="C24" s="2" t="s">
        <v>42</v>
      </c>
      <c r="D24" s="2" t="str">
        <f>IFERROR(VLOOKUP($C24,'_METADATA_TEMPLATE'!$B$2:$H$826,2,FALSE),"")</f>
        <v/>
      </c>
      <c r="E24" s="2" t="str">
        <f>IFERROR(VLOOKUP($C24,'_METADATA_TEMPLATE'!$B$2:$H$826,4,FALSE),"")</f>
        <v/>
      </c>
      <c r="F24" s="2" t="str">
        <f>IFERROR(VLOOKUP($C24,'_METADATA_TEMPLATE'!$B$2:$H$826,5,FALSE),"")</f>
        <v/>
      </c>
      <c r="G24" s="2" t="str">
        <f>IFERROR(VLOOKUP($C24,'_METADATA_TEMPLATE'!$B$2:$H$826,6,FALSE),"")</f>
        <v/>
      </c>
      <c r="H24" s="2" t="str">
        <f>IFERROR(VLOOKUP($C24,'_METADATA_TEMPLATE'!$B$2:$H$826,7,FALSE),"")</f>
        <v/>
      </c>
      <c r="I24" s="2" t="str">
        <f>IFERROR(VLOOKUP(C24,'_METADATA_DEFAULT'!$A:$B,2,FALSE),"")</f>
        <v>Status Assignment</v>
      </c>
    </row>
    <row r="25" ht="15.75" customHeight="1">
      <c r="A25" s="3" t="s">
        <v>669</v>
      </c>
      <c r="B25" s="3" t="s">
        <v>47</v>
      </c>
      <c r="C25" s="3" t="s">
        <v>47</v>
      </c>
      <c r="D25" s="3" t="str">
        <f>IFERROR(VLOOKUP($C25,'_METADATA_TEMPLATE'!$B$2:$H$826,2,FALSE),"")</f>
        <v/>
      </c>
      <c r="E25" s="3" t="str">
        <f>IFERROR(VLOOKUP($C25,'_METADATA_TEMPLATE'!$B$2:$H$826,4,FALSE),"")</f>
        <v/>
      </c>
      <c r="F25" s="3" t="str">
        <f>IFERROR(VLOOKUP($C25,'_METADATA_TEMPLATE'!$B$2:$H$826,5,FALSE),"")</f>
        <v/>
      </c>
      <c r="G25" s="3" t="str">
        <f>IFERROR(VLOOKUP($C25,'_METADATA_TEMPLATE'!$B$2:$H$826,6,FALSE),"")</f>
        <v/>
      </c>
      <c r="H25" s="3" t="str">
        <f>IFERROR(VLOOKUP($C25,'_METADATA_TEMPLATE'!$B$2:$H$826,7,FALSE),"")</f>
        <v/>
      </c>
      <c r="I25" s="3" t="str">
        <f>IFERROR(VLOOKUP(C25,'_METADATA_DEFAULT'!$A:$B,2,FALSE),"")</f>
        <v>ID Status Assignment</v>
      </c>
    </row>
    <row r="26" ht="15.75" customHeight="1">
      <c r="A26" s="2" t="s">
        <v>669</v>
      </c>
      <c r="B26" s="2" t="s">
        <v>26</v>
      </c>
      <c r="C26" s="2" t="s">
        <v>26</v>
      </c>
      <c r="D26" s="2" t="str">
        <f>IFERROR(VLOOKUP($C26,'_METADATA_TEMPLATE'!$B$2:$H$826,2,FALSE),"")</f>
        <v/>
      </c>
      <c r="E26" s="2" t="str">
        <f>IFERROR(VLOOKUP($C26,'_METADATA_TEMPLATE'!$B$2:$H$826,4,FALSE),"")</f>
        <v/>
      </c>
      <c r="F26" s="2" t="str">
        <f>IFERROR(VLOOKUP($C26,'_METADATA_TEMPLATE'!$B$2:$H$826,5,FALSE),"")</f>
        <v/>
      </c>
      <c r="G26" s="2" t="str">
        <f>IFERROR(VLOOKUP($C26,'_METADATA_TEMPLATE'!$B$2:$H$826,6,FALSE),"")</f>
        <v/>
      </c>
      <c r="H26" s="2" t="str">
        <f>IFERROR(VLOOKUP($C26,'_METADATA_TEMPLATE'!$B$2:$H$826,7,FALSE),"")</f>
        <v/>
      </c>
      <c r="I26" s="2" t="str">
        <f>IFERROR(VLOOKUP(C26,'_METADATA_DEFAULT'!$A:$B,2,FALSE),"")</f>
        <v>1 = Aktif, 0 = Dihapus</v>
      </c>
    </row>
    <row r="27" ht="15.75" customHeight="1">
      <c r="A27" s="3" t="s">
        <v>669</v>
      </c>
      <c r="B27" s="3" t="s">
        <v>137</v>
      </c>
      <c r="C27" s="3" t="s">
        <v>137</v>
      </c>
      <c r="D27" s="3" t="str">
        <f>IFERROR(VLOOKUP($C27,'_METADATA_TEMPLATE'!$B$2:$H$826,2,FALSE),"")</f>
        <v/>
      </c>
      <c r="E27" s="3" t="str">
        <f>IFERROR(VLOOKUP($C27,'_METADATA_TEMPLATE'!$B$2:$H$826,4,FALSE),"")</f>
        <v/>
      </c>
      <c r="F27" s="3" t="str">
        <f>IFERROR(VLOOKUP($C27,'_METADATA_TEMPLATE'!$B$2:$H$826,5,FALSE),"")</f>
        <v/>
      </c>
      <c r="G27" s="3" t="str">
        <f>IFERROR(VLOOKUP($C27,'_METADATA_TEMPLATE'!$B$2:$H$826,6,FALSE),"")</f>
        <v/>
      </c>
      <c r="H27" s="3" t="str">
        <f>IFERROR(VLOOKUP($C27,'_METADATA_TEMPLATE'!$B$2:$H$826,7,FALSE),"")</f>
        <v/>
      </c>
      <c r="I27" s="3" t="str">
        <f>IFERROR(VLOOKUP(C27,'_METADATA_DEFAULT'!$A:$B,2,FALSE),"")</f>
        <v>Kode Provinsi</v>
      </c>
    </row>
    <row r="28" ht="15.75" customHeight="1">
      <c r="A28" s="2" t="s">
        <v>669</v>
      </c>
      <c r="B28" s="2" t="s">
        <v>141</v>
      </c>
      <c r="C28" s="2" t="s">
        <v>141</v>
      </c>
      <c r="D28" s="2" t="str">
        <f>IFERROR(VLOOKUP($C28,'_METADATA_TEMPLATE'!$B$2:$H$826,2,FALSE),"")</f>
        <v/>
      </c>
      <c r="E28" s="2" t="str">
        <f>IFERROR(VLOOKUP($C28,'_METADATA_TEMPLATE'!$B$2:$H$826,4,FALSE),"")</f>
        <v/>
      </c>
      <c r="F28" s="2" t="str">
        <f>IFERROR(VLOOKUP($C28,'_METADATA_TEMPLATE'!$B$2:$H$826,5,FALSE),"")</f>
        <v/>
      </c>
      <c r="G28" s="2" t="str">
        <f>IFERROR(VLOOKUP($C28,'_METADATA_TEMPLATE'!$B$2:$H$826,6,FALSE),"")</f>
        <v/>
      </c>
      <c r="H28" s="2" t="str">
        <f>IFERROR(VLOOKUP($C28,'_METADATA_TEMPLATE'!$B$2:$H$826,7,FALSE),"")</f>
        <v/>
      </c>
      <c r="I28" s="2" t="str">
        <f>IFERROR(VLOOKUP(C28,'_METADATA_DEFAULT'!$A:$B,2,FALSE),"")</f>
        <v>Provinsi</v>
      </c>
    </row>
    <row r="29" ht="15.75" customHeight="1">
      <c r="A29" s="3" t="s">
        <v>669</v>
      </c>
      <c r="B29" s="3" t="s">
        <v>145</v>
      </c>
      <c r="C29" s="3" t="s">
        <v>145</v>
      </c>
      <c r="D29" s="3" t="str">
        <f>IFERROR(VLOOKUP($C29,'_METADATA_TEMPLATE'!$B$2:$H$826,2,FALSE),"")</f>
        <v/>
      </c>
      <c r="E29" s="3" t="str">
        <f>IFERROR(VLOOKUP($C29,'_METADATA_TEMPLATE'!$B$2:$H$826,4,FALSE),"")</f>
        <v/>
      </c>
      <c r="F29" s="3" t="str">
        <f>IFERROR(VLOOKUP($C29,'_METADATA_TEMPLATE'!$B$2:$H$826,5,FALSE),"")</f>
        <v/>
      </c>
      <c r="G29" s="3" t="str">
        <f>IFERROR(VLOOKUP($C29,'_METADATA_TEMPLATE'!$B$2:$H$826,6,FALSE),"")</f>
        <v/>
      </c>
      <c r="H29" s="3" t="str">
        <f>IFERROR(VLOOKUP($C29,'_METADATA_TEMPLATE'!$B$2:$H$826,7,FALSE),"")</f>
        <v/>
      </c>
      <c r="I29" s="3" t="str">
        <f>IFERROR(VLOOKUP(C29,'_METADATA_DEFAULT'!$A:$B,2,FALSE),"")</f>
        <v/>
      </c>
    </row>
    <row r="30" ht="15.75" customHeight="1">
      <c r="A30" s="2" t="s">
        <v>669</v>
      </c>
      <c r="B30" s="2" t="s">
        <v>149</v>
      </c>
      <c r="C30" s="2" t="s">
        <v>149</v>
      </c>
      <c r="D30" s="2" t="str">
        <f>IFERROR(VLOOKUP($C30,'_METADATA_TEMPLATE'!$B$2:$H$826,2,FALSE),"")</f>
        <v/>
      </c>
      <c r="E30" s="2" t="str">
        <f>IFERROR(VLOOKUP($C30,'_METADATA_TEMPLATE'!$B$2:$H$826,4,FALSE),"")</f>
        <v/>
      </c>
      <c r="F30" s="2" t="str">
        <f>IFERROR(VLOOKUP($C30,'_METADATA_TEMPLATE'!$B$2:$H$826,5,FALSE),"")</f>
        <v/>
      </c>
      <c r="G30" s="2" t="str">
        <f>IFERROR(VLOOKUP($C30,'_METADATA_TEMPLATE'!$B$2:$H$826,6,FALSE),"")</f>
        <v/>
      </c>
      <c r="H30" s="2" t="str">
        <f>IFERROR(VLOOKUP($C30,'_METADATA_TEMPLATE'!$B$2:$H$826,7,FALSE),"")</f>
        <v/>
      </c>
      <c r="I30" s="2" t="str">
        <f>IFERROR(VLOOKUP(C30,'_METADATA_DEFAULT'!$A:$B,2,FALSE),"")</f>
        <v/>
      </c>
    </row>
    <row r="31" ht="15.75" customHeight="1">
      <c r="A31" s="3" t="s">
        <v>669</v>
      </c>
      <c r="B31" s="3" t="s">
        <v>157</v>
      </c>
      <c r="C31" s="3" t="s">
        <v>157</v>
      </c>
      <c r="D31" s="3" t="str">
        <f>IFERROR(VLOOKUP($C31,'_METADATA_TEMPLATE'!$B$2:$H$826,2,FALSE),"")</f>
        <v/>
      </c>
      <c r="E31" s="3" t="str">
        <f>IFERROR(VLOOKUP($C31,'_METADATA_TEMPLATE'!$B$2:$H$826,4,FALSE),"")</f>
        <v/>
      </c>
      <c r="F31" s="3" t="str">
        <f>IFERROR(VLOOKUP($C31,'_METADATA_TEMPLATE'!$B$2:$H$826,5,FALSE),"")</f>
        <v/>
      </c>
      <c r="G31" s="3" t="str">
        <f>IFERROR(VLOOKUP($C31,'_METADATA_TEMPLATE'!$B$2:$H$826,6,FALSE),"")</f>
        <v/>
      </c>
      <c r="H31" s="3" t="str">
        <f>IFERROR(VLOOKUP($C31,'_METADATA_TEMPLATE'!$B$2:$H$826,7,FALSE),"")</f>
        <v/>
      </c>
      <c r="I31" s="3" t="str">
        <f>IFERROR(VLOOKUP(C31,'_METADATA_DEFAULT'!$A:$B,2,FALSE),"")</f>
        <v/>
      </c>
    </row>
    <row r="32" ht="15.75" customHeight="1">
      <c r="A32" s="2" t="s">
        <v>669</v>
      </c>
      <c r="B32" s="2" t="s">
        <v>161</v>
      </c>
      <c r="C32" s="2" t="s">
        <v>161</v>
      </c>
      <c r="D32" s="2" t="str">
        <f>IFERROR(VLOOKUP($C32,'_METADATA_TEMPLATE'!$B$2:$H$826,2,FALSE),"")</f>
        <v/>
      </c>
      <c r="E32" s="2" t="str">
        <f>IFERROR(VLOOKUP($C32,'_METADATA_TEMPLATE'!$B$2:$H$826,4,FALSE),"")</f>
        <v/>
      </c>
      <c r="F32" s="2" t="str">
        <f>IFERROR(VLOOKUP($C32,'_METADATA_TEMPLATE'!$B$2:$H$826,5,FALSE),"")</f>
        <v/>
      </c>
      <c r="G32" s="2" t="str">
        <f>IFERROR(VLOOKUP($C32,'_METADATA_TEMPLATE'!$B$2:$H$826,6,FALSE),"")</f>
        <v/>
      </c>
      <c r="H32" s="2" t="str">
        <f>IFERROR(VLOOKUP($C32,'_METADATA_TEMPLATE'!$B$2:$H$826,7,FALSE),"")</f>
        <v/>
      </c>
      <c r="I32" s="2" t="str">
        <f>IFERROR(VLOOKUP(C32,'_METADATA_DEFAULT'!$A:$B,2,FALSE),"")</f>
        <v>Kode Kabupaten/Kota</v>
      </c>
    </row>
    <row r="33" ht="15.75" customHeight="1">
      <c r="A33" s="3" t="s">
        <v>669</v>
      </c>
      <c r="B33" s="3" t="s">
        <v>165</v>
      </c>
      <c r="C33" s="3" t="s">
        <v>165</v>
      </c>
      <c r="D33" s="3" t="str">
        <f>IFERROR(VLOOKUP($C33,'_METADATA_TEMPLATE'!$B$2:$H$826,2,FALSE),"")</f>
        <v/>
      </c>
      <c r="E33" s="3" t="str">
        <f>IFERROR(VLOOKUP($C33,'_METADATA_TEMPLATE'!$B$2:$H$826,4,FALSE),"")</f>
        <v/>
      </c>
      <c r="F33" s="3" t="str">
        <f>IFERROR(VLOOKUP($C33,'_METADATA_TEMPLATE'!$B$2:$H$826,5,FALSE),"")</f>
        <v/>
      </c>
      <c r="G33" s="3" t="str">
        <f>IFERROR(VLOOKUP($C33,'_METADATA_TEMPLATE'!$B$2:$H$826,6,FALSE),"")</f>
        <v/>
      </c>
      <c r="H33" s="3" t="str">
        <f>IFERROR(VLOOKUP($C33,'_METADATA_TEMPLATE'!$B$2:$H$826,7,FALSE),"")</f>
        <v/>
      </c>
      <c r="I33" s="3" t="str">
        <f>IFERROR(VLOOKUP(C33,'_METADATA_DEFAULT'!$A:$B,2,FALSE),"")</f>
        <v>Kabupaten/Kota</v>
      </c>
    </row>
    <row r="34" ht="15.75" customHeight="1">
      <c r="A34" s="2" t="s">
        <v>669</v>
      </c>
      <c r="B34" s="2" t="s">
        <v>168</v>
      </c>
      <c r="C34" s="2" t="s">
        <v>168</v>
      </c>
      <c r="D34" s="2" t="str">
        <f>IFERROR(VLOOKUP($C34,'_METADATA_TEMPLATE'!$B$2:$H$826,2,FALSE),"")</f>
        <v/>
      </c>
      <c r="E34" s="2" t="str">
        <f>IFERROR(VLOOKUP($C34,'_METADATA_TEMPLATE'!$B$2:$H$826,4,FALSE),"")</f>
        <v/>
      </c>
      <c r="F34" s="2" t="str">
        <f>IFERROR(VLOOKUP($C34,'_METADATA_TEMPLATE'!$B$2:$H$826,5,FALSE),"")</f>
        <v/>
      </c>
      <c r="G34" s="2" t="str">
        <f>IFERROR(VLOOKUP($C34,'_METADATA_TEMPLATE'!$B$2:$H$826,6,FALSE),"")</f>
        <v/>
      </c>
      <c r="H34" s="2" t="str">
        <f>IFERROR(VLOOKUP($C34,'_METADATA_TEMPLATE'!$B$2:$H$826,7,FALSE),"")</f>
        <v/>
      </c>
      <c r="I34" s="2" t="str">
        <f>IFERROR(VLOOKUP(C34,'_METADATA_DEFAULT'!$A:$B,2,FALSE),"")</f>
        <v>Kode Kecamatan</v>
      </c>
    </row>
    <row r="35" ht="15.75" customHeight="1">
      <c r="A35" s="3" t="s">
        <v>669</v>
      </c>
      <c r="B35" s="3" t="s">
        <v>172</v>
      </c>
      <c r="C35" s="3" t="s">
        <v>172</v>
      </c>
      <c r="D35" s="3" t="str">
        <f>IFERROR(VLOOKUP($C35,'_METADATA_TEMPLATE'!$B$2:$H$826,2,FALSE),"")</f>
        <v/>
      </c>
      <c r="E35" s="3" t="str">
        <f>IFERROR(VLOOKUP($C35,'_METADATA_TEMPLATE'!$B$2:$H$826,4,FALSE),"")</f>
        <v/>
      </c>
      <c r="F35" s="3" t="str">
        <f>IFERROR(VLOOKUP($C35,'_METADATA_TEMPLATE'!$B$2:$H$826,5,FALSE),"")</f>
        <v/>
      </c>
      <c r="G35" s="3" t="str">
        <f>IFERROR(VLOOKUP($C35,'_METADATA_TEMPLATE'!$B$2:$H$826,6,FALSE),"")</f>
        <v/>
      </c>
      <c r="H35" s="3" t="str">
        <f>IFERROR(VLOOKUP($C35,'_METADATA_TEMPLATE'!$B$2:$H$826,7,FALSE),"")</f>
        <v/>
      </c>
      <c r="I35" s="3" t="str">
        <f>IFERROR(VLOOKUP(C35,'_METADATA_DEFAULT'!$A:$B,2,FALSE),"")</f>
        <v>Kode Lengkap Kecamatan</v>
      </c>
    </row>
    <row r="36" ht="15.75" customHeight="1">
      <c r="A36" s="2" t="s">
        <v>669</v>
      </c>
      <c r="B36" s="2" t="s">
        <v>176</v>
      </c>
      <c r="C36" s="2" t="s">
        <v>176</v>
      </c>
      <c r="D36" s="2" t="str">
        <f>IFERROR(VLOOKUP($C36,'_METADATA_TEMPLATE'!$B$2:$H$826,2,FALSE),"")</f>
        <v/>
      </c>
      <c r="E36" s="2" t="str">
        <f>IFERROR(VLOOKUP($C36,'_METADATA_TEMPLATE'!$B$2:$H$826,4,FALSE),"")</f>
        <v/>
      </c>
      <c r="F36" s="2" t="str">
        <f>IFERROR(VLOOKUP($C36,'_METADATA_TEMPLATE'!$B$2:$H$826,5,FALSE),"")</f>
        <v/>
      </c>
      <c r="G36" s="2" t="str">
        <f>IFERROR(VLOOKUP($C36,'_METADATA_TEMPLATE'!$B$2:$H$826,6,FALSE),"")</f>
        <v/>
      </c>
      <c r="H36" s="2" t="str">
        <f>IFERROR(VLOOKUP($C36,'_METADATA_TEMPLATE'!$B$2:$H$826,7,FALSE),"")</f>
        <v/>
      </c>
      <c r="I36" s="2" t="str">
        <f>IFERROR(VLOOKUP(C36,'_METADATA_DEFAULT'!$A:$B,2,FALSE),"")</f>
        <v>Kecamatan</v>
      </c>
    </row>
    <row r="37" ht="15.75" customHeight="1">
      <c r="A37" s="3" t="s">
        <v>669</v>
      </c>
      <c r="B37" s="3" t="s">
        <v>181</v>
      </c>
      <c r="C37" s="3" t="s">
        <v>181</v>
      </c>
      <c r="D37" s="3" t="str">
        <f>IFERROR(VLOOKUP($C37,'_METADATA_TEMPLATE'!$B$2:$H$826,2,FALSE),"")</f>
        <v/>
      </c>
      <c r="E37" s="3" t="str">
        <f>IFERROR(VLOOKUP($C37,'_METADATA_TEMPLATE'!$B$2:$H$826,4,FALSE),"")</f>
        <v/>
      </c>
      <c r="F37" s="3" t="str">
        <f>IFERROR(VLOOKUP($C37,'_METADATA_TEMPLATE'!$B$2:$H$826,5,FALSE),"")</f>
        <v/>
      </c>
      <c r="G37" s="3" t="str">
        <f>IFERROR(VLOOKUP($C37,'_METADATA_TEMPLATE'!$B$2:$H$826,6,FALSE),"")</f>
        <v/>
      </c>
      <c r="H37" s="3" t="str">
        <f>IFERROR(VLOOKUP($C37,'_METADATA_TEMPLATE'!$B$2:$H$826,7,FALSE),"")</f>
        <v/>
      </c>
      <c r="I37" s="3" t="str">
        <f>IFERROR(VLOOKUP(C37,'_METADATA_DEFAULT'!$A:$B,2,FALSE),"")</f>
        <v>Kode Kelurahan/Desa</v>
      </c>
    </row>
    <row r="38" ht="15.75" customHeight="1">
      <c r="A38" s="2" t="s">
        <v>669</v>
      </c>
      <c r="B38" s="2" t="s">
        <v>184</v>
      </c>
      <c r="C38" s="2" t="s">
        <v>184</v>
      </c>
      <c r="D38" s="2" t="str">
        <f>IFERROR(VLOOKUP($C38,'_METADATA_TEMPLATE'!$B$2:$H$826,2,FALSE),"")</f>
        <v/>
      </c>
      <c r="E38" s="2" t="str">
        <f>IFERROR(VLOOKUP($C38,'_METADATA_TEMPLATE'!$B$2:$H$826,4,FALSE),"")</f>
        <v/>
      </c>
      <c r="F38" s="2" t="str">
        <f>IFERROR(VLOOKUP($C38,'_METADATA_TEMPLATE'!$B$2:$H$826,5,FALSE),"")</f>
        <v/>
      </c>
      <c r="G38" s="2" t="str">
        <f>IFERROR(VLOOKUP($C38,'_METADATA_TEMPLATE'!$B$2:$H$826,6,FALSE),"")</f>
        <v/>
      </c>
      <c r="H38" s="2" t="str">
        <f>IFERROR(VLOOKUP($C38,'_METADATA_TEMPLATE'!$B$2:$H$826,7,FALSE),"")</f>
        <v/>
      </c>
      <c r="I38" s="2" t="str">
        <f>IFERROR(VLOOKUP(C38,'_METADATA_DEFAULT'!$A:$B,2,FALSE),"")</f>
        <v>Kode Lengkap Kelurahan/Desa</v>
      </c>
    </row>
    <row r="39" ht="15.75" customHeight="1">
      <c r="A39" s="3" t="s">
        <v>669</v>
      </c>
      <c r="B39" s="3" t="s">
        <v>188</v>
      </c>
      <c r="C39" s="3" t="s">
        <v>188</v>
      </c>
      <c r="D39" s="3" t="str">
        <f>IFERROR(VLOOKUP($C39,'_METADATA_TEMPLATE'!$B$2:$H$826,2,FALSE),"")</f>
        <v/>
      </c>
      <c r="E39" s="3" t="str">
        <f>IFERROR(VLOOKUP($C39,'_METADATA_TEMPLATE'!$B$2:$H$826,4,FALSE),"")</f>
        <v/>
      </c>
      <c r="F39" s="3" t="str">
        <f>IFERROR(VLOOKUP($C39,'_METADATA_TEMPLATE'!$B$2:$H$826,5,FALSE),"")</f>
        <v/>
      </c>
      <c r="G39" s="3" t="str">
        <f>IFERROR(VLOOKUP($C39,'_METADATA_TEMPLATE'!$B$2:$H$826,6,FALSE),"")</f>
        <v/>
      </c>
      <c r="H39" s="3" t="str">
        <f>IFERROR(VLOOKUP($C39,'_METADATA_TEMPLATE'!$B$2:$H$826,7,FALSE),"")</f>
        <v/>
      </c>
      <c r="I39" s="3" t="str">
        <f>IFERROR(VLOOKUP(C39,'_METADATA_DEFAULT'!$A:$B,2,FALSE),"")</f>
        <v>Kelurahan/Desa</v>
      </c>
    </row>
    <row r="40" ht="15.75" customHeight="1">
      <c r="A40" s="2" t="s">
        <v>669</v>
      </c>
      <c r="B40" s="2" t="s">
        <v>191</v>
      </c>
      <c r="C40" s="2" t="s">
        <v>191</v>
      </c>
      <c r="D40" s="2" t="str">
        <f>IFERROR(VLOOKUP($C40,'_METADATA_TEMPLATE'!$B$2:$H$826,2,FALSE),"")</f>
        <v/>
      </c>
      <c r="E40" s="2" t="str">
        <f>IFERROR(VLOOKUP($C40,'_METADATA_TEMPLATE'!$B$2:$H$826,4,FALSE),"")</f>
        <v/>
      </c>
      <c r="F40" s="2" t="str">
        <f>IFERROR(VLOOKUP($C40,'_METADATA_TEMPLATE'!$B$2:$H$826,5,FALSE),"")</f>
        <v/>
      </c>
      <c r="G40" s="2" t="str">
        <f>IFERROR(VLOOKUP($C40,'_METADATA_TEMPLATE'!$B$2:$H$826,6,FALSE),"")</f>
        <v/>
      </c>
      <c r="H40" s="2" t="str">
        <f>IFERROR(VLOOKUP($C40,'_METADATA_TEMPLATE'!$B$2:$H$826,7,FALSE),"")</f>
        <v/>
      </c>
      <c r="I40" s="2" t="str">
        <f>IFERROR(VLOOKUP(C40,'_METADATA_DEFAULT'!$A:$B,2,FALSE),"")</f>
        <v>Kode SLS</v>
      </c>
    </row>
    <row r="41" ht="15.75" customHeight="1">
      <c r="A41" s="3" t="s">
        <v>669</v>
      </c>
      <c r="B41" s="3" t="s">
        <v>194</v>
      </c>
      <c r="C41" s="3" t="s">
        <v>194</v>
      </c>
      <c r="D41" s="3" t="str">
        <f>IFERROR(VLOOKUP($C41,'_METADATA_TEMPLATE'!$B$2:$H$826,2,FALSE),"")</f>
        <v/>
      </c>
      <c r="E41" s="3" t="str">
        <f>IFERROR(VLOOKUP($C41,'_METADATA_TEMPLATE'!$B$2:$H$826,4,FALSE),"")</f>
        <v/>
      </c>
      <c r="F41" s="3" t="str">
        <f>IFERROR(VLOOKUP($C41,'_METADATA_TEMPLATE'!$B$2:$H$826,5,FALSE),"")</f>
        <v/>
      </c>
      <c r="G41" s="3" t="str">
        <f>IFERROR(VLOOKUP($C41,'_METADATA_TEMPLATE'!$B$2:$H$826,6,FALSE),"")</f>
        <v/>
      </c>
      <c r="H41" s="3" t="str">
        <f>IFERROR(VLOOKUP($C41,'_METADATA_TEMPLATE'!$B$2:$H$826,7,FALSE),"")</f>
        <v/>
      </c>
      <c r="I41" s="3" t="str">
        <f>IFERROR(VLOOKUP(C41,'_METADATA_DEFAULT'!$A:$B,2,FALSE),"")</f>
        <v>Kode Lengkap SLS</v>
      </c>
    </row>
    <row r="42" ht="15.75" customHeight="1">
      <c r="A42" s="2" t="s">
        <v>669</v>
      </c>
      <c r="B42" s="2" t="s">
        <v>197</v>
      </c>
      <c r="C42" s="2" t="s">
        <v>197</v>
      </c>
      <c r="D42" s="2" t="str">
        <f>IFERROR(VLOOKUP($C42,'_METADATA_TEMPLATE'!$B$2:$H$826,2,FALSE),"")</f>
        <v/>
      </c>
      <c r="E42" s="2" t="str">
        <f>IFERROR(VLOOKUP($C42,'_METADATA_TEMPLATE'!$B$2:$H$826,4,FALSE),"")</f>
        <v/>
      </c>
      <c r="F42" s="2" t="str">
        <f>IFERROR(VLOOKUP($C42,'_METADATA_TEMPLATE'!$B$2:$H$826,5,FALSE),"")</f>
        <v/>
      </c>
      <c r="G42" s="2" t="str">
        <f>IFERROR(VLOOKUP($C42,'_METADATA_TEMPLATE'!$B$2:$H$826,6,FALSE),"")</f>
        <v/>
      </c>
      <c r="H42" s="2" t="str">
        <f>IFERROR(VLOOKUP($C42,'_METADATA_TEMPLATE'!$B$2:$H$826,7,FALSE),"")</f>
        <v/>
      </c>
      <c r="I42" s="2" t="str">
        <f>IFERROR(VLOOKUP(C42,'_METADATA_DEFAULT'!$A:$B,2,FALSE),"")</f>
        <v>SLS</v>
      </c>
    </row>
    <row r="43" ht="15.75" customHeight="1">
      <c r="A43" s="3" t="s">
        <v>669</v>
      </c>
      <c r="B43" s="3" t="s">
        <v>202</v>
      </c>
      <c r="C43" s="3" t="s">
        <v>202</v>
      </c>
      <c r="D43" s="3" t="str">
        <f>IFERROR(VLOOKUP($C43,'_METADATA_TEMPLATE'!$B$2:$H$826,2,FALSE),"")</f>
        <v/>
      </c>
      <c r="E43" s="3" t="str">
        <f>IFERROR(VLOOKUP($C43,'_METADATA_TEMPLATE'!$B$2:$H$826,4,FALSE),"")</f>
        <v/>
      </c>
      <c r="F43" s="3" t="str">
        <f>IFERROR(VLOOKUP($C43,'_METADATA_TEMPLATE'!$B$2:$H$826,5,FALSE),"")</f>
        <v/>
      </c>
      <c r="G43" s="3" t="str">
        <f>IFERROR(VLOOKUP($C43,'_METADATA_TEMPLATE'!$B$2:$H$826,6,FALSE),"")</f>
        <v/>
      </c>
      <c r="H43" s="3" t="str">
        <f>IFERROR(VLOOKUP($C43,'_METADATA_TEMPLATE'!$B$2:$H$826,7,FALSE),"")</f>
        <v/>
      </c>
      <c r="I43" s="3" t="str">
        <f>IFERROR(VLOOKUP(C43,'_METADATA_DEFAULT'!$A:$B,2,FALSE),"")</f>
        <v>Kode Sub-SLS</v>
      </c>
    </row>
    <row r="44" ht="15.75" customHeight="1">
      <c r="A44" s="2" t="s">
        <v>669</v>
      </c>
      <c r="B44" s="2" t="s">
        <v>206</v>
      </c>
      <c r="C44" s="2" t="s">
        <v>206</v>
      </c>
      <c r="D44" s="2" t="str">
        <f>IFERROR(VLOOKUP($C44,'_METADATA_TEMPLATE'!$B$2:$H$826,2,FALSE),"")</f>
        <v/>
      </c>
      <c r="E44" s="2" t="str">
        <f>IFERROR(VLOOKUP($C44,'_METADATA_TEMPLATE'!$B$2:$H$826,4,FALSE),"")</f>
        <v/>
      </c>
      <c r="F44" s="2" t="str">
        <f>IFERROR(VLOOKUP($C44,'_METADATA_TEMPLATE'!$B$2:$H$826,5,FALSE),"")</f>
        <v/>
      </c>
      <c r="G44" s="2" t="str">
        <f>IFERROR(VLOOKUP($C44,'_METADATA_TEMPLATE'!$B$2:$H$826,6,FALSE),"")</f>
        <v/>
      </c>
      <c r="H44" s="2" t="str">
        <f>IFERROR(VLOOKUP($C44,'_METADATA_TEMPLATE'!$B$2:$H$826,7,FALSE),"")</f>
        <v/>
      </c>
      <c r="I44" s="2" t="str">
        <f>IFERROR(VLOOKUP(C44,'_METADATA_DEFAULT'!$A:$B,2,FALSE),"")</f>
        <v>Kode Lengkap Sub-SLS</v>
      </c>
    </row>
    <row r="45" ht="15.75" customHeight="1">
      <c r="A45" s="3" t="s">
        <v>669</v>
      </c>
      <c r="B45" s="3" t="s">
        <v>209</v>
      </c>
      <c r="C45" s="3" t="s">
        <v>209</v>
      </c>
      <c r="D45" s="3" t="str">
        <f>IFERROR(VLOOKUP($C45,'_METADATA_TEMPLATE'!$B$2:$H$826,2,FALSE),"")</f>
        <v/>
      </c>
      <c r="E45" s="3" t="str">
        <f>IFERROR(VLOOKUP($C45,'_METADATA_TEMPLATE'!$B$2:$H$826,4,FALSE),"")</f>
        <v/>
      </c>
      <c r="F45" s="3" t="str">
        <f>IFERROR(VLOOKUP($C45,'_METADATA_TEMPLATE'!$B$2:$H$826,5,FALSE),"")</f>
        <v/>
      </c>
      <c r="G45" s="3" t="str">
        <f>IFERROR(VLOOKUP($C45,'_METADATA_TEMPLATE'!$B$2:$H$826,6,FALSE),"")</f>
        <v/>
      </c>
      <c r="H45" s="3" t="str">
        <f>IFERROR(VLOOKUP($C45,'_METADATA_TEMPLATE'!$B$2:$H$826,7,FALSE),"")</f>
        <v/>
      </c>
      <c r="I45" s="3" t="str">
        <f>IFERROR(VLOOKUP(C45,'_METADATA_DEFAULT'!$A:$B,2,FALSE),"")</f>
        <v>Sub-SLS</v>
      </c>
    </row>
    <row r="46" ht="15.75" customHeight="1">
      <c r="A46" s="2" t="s">
        <v>669</v>
      </c>
      <c r="B46" s="2" t="s">
        <v>211</v>
      </c>
      <c r="C46" s="2" t="s">
        <v>211</v>
      </c>
      <c r="D46" s="2" t="str">
        <f>IFERROR(VLOOKUP($C46,'_METADATA_TEMPLATE'!$B$2:$H$826,2,FALSE),"")</f>
        <v/>
      </c>
      <c r="E46" s="2" t="str">
        <f>IFERROR(VLOOKUP($C46,'_METADATA_TEMPLATE'!$B$2:$H$826,4,FALSE),"")</f>
        <v/>
      </c>
      <c r="F46" s="2" t="str">
        <f>IFERROR(VLOOKUP($C46,'_METADATA_TEMPLATE'!$B$2:$H$826,5,FALSE),"")</f>
        <v/>
      </c>
      <c r="G46" s="2" t="str">
        <f>IFERROR(VLOOKUP($C46,'_METADATA_TEMPLATE'!$B$2:$H$826,6,FALSE),"")</f>
        <v/>
      </c>
      <c r="H46" s="2" t="str">
        <f>IFERROR(VLOOKUP($C46,'_METADATA_TEMPLATE'!$B$2:$H$826,7,FALSE),"")</f>
        <v/>
      </c>
      <c r="I46" s="2" t="str">
        <f>IFERROR(VLOOKUP(C46,'_METADATA_DEFAULT'!$A:$B,2,FALSE),"")</f>
        <v/>
      </c>
    </row>
    <row r="47" ht="15.75" customHeight="1">
      <c r="A47" s="3" t="s">
        <v>669</v>
      </c>
      <c r="B47" s="3" t="s">
        <v>214</v>
      </c>
      <c r="C47" s="3" t="s">
        <v>214</v>
      </c>
      <c r="D47" s="3" t="str">
        <f>IFERROR(VLOOKUP($C47,'_METADATA_TEMPLATE'!$B$2:$H$826,2,FALSE),"")</f>
        <v/>
      </c>
      <c r="E47" s="3" t="str">
        <f>IFERROR(VLOOKUP($C47,'_METADATA_TEMPLATE'!$B$2:$H$826,4,FALSE),"")</f>
        <v/>
      </c>
      <c r="F47" s="3" t="str">
        <f>IFERROR(VLOOKUP($C47,'_METADATA_TEMPLATE'!$B$2:$H$826,5,FALSE),"")</f>
        <v/>
      </c>
      <c r="G47" s="3" t="str">
        <f>IFERROR(VLOOKUP($C47,'_METADATA_TEMPLATE'!$B$2:$H$826,6,FALSE),"")</f>
        <v/>
      </c>
      <c r="H47" s="3" t="str">
        <f>IFERROR(VLOOKUP($C47,'_METADATA_TEMPLATE'!$B$2:$H$826,7,FALSE),"")</f>
        <v/>
      </c>
      <c r="I47" s="3" t="str">
        <f>IFERROR(VLOOKUP(C47,'_METADATA_DEFAULT'!$A:$B,2,FALSE),"")</f>
        <v/>
      </c>
    </row>
    <row r="48" ht="15.75" customHeight="1">
      <c r="A48" s="2" t="s">
        <v>669</v>
      </c>
      <c r="B48" s="2" t="s">
        <v>216</v>
      </c>
      <c r="C48" s="2" t="s">
        <v>216</v>
      </c>
      <c r="D48" s="2" t="str">
        <f>IFERROR(VLOOKUP($C48,'_METADATA_TEMPLATE'!$B$2:$H$826,2,FALSE),"")</f>
        <v/>
      </c>
      <c r="E48" s="2" t="str">
        <f>IFERROR(VLOOKUP($C48,'_METADATA_TEMPLATE'!$B$2:$H$826,4,FALSE),"")</f>
        <v/>
      </c>
      <c r="F48" s="2" t="str">
        <f>IFERROR(VLOOKUP($C48,'_METADATA_TEMPLATE'!$B$2:$H$826,5,FALSE),"")</f>
        <v/>
      </c>
      <c r="G48" s="2" t="str">
        <f>IFERROR(VLOOKUP($C48,'_METADATA_TEMPLATE'!$B$2:$H$826,6,FALSE),"")</f>
        <v/>
      </c>
      <c r="H48" s="2" t="str">
        <f>IFERROR(VLOOKUP($C48,'_METADATA_TEMPLATE'!$B$2:$H$826,7,FALSE),"")</f>
        <v/>
      </c>
      <c r="I48" s="2" t="str">
        <f>IFERROR(VLOOKUP(C48,'_METADATA_DEFAULT'!$A:$B,2,FALSE),"")</f>
        <v/>
      </c>
    </row>
    <row r="49" ht="15.75" customHeight="1">
      <c r="A49" s="3" t="s">
        <v>669</v>
      </c>
      <c r="B49" s="3" t="s">
        <v>218</v>
      </c>
      <c r="C49" s="3" t="s">
        <v>218</v>
      </c>
      <c r="D49" s="3" t="str">
        <f>IFERROR(VLOOKUP($C49,'_METADATA_TEMPLATE'!$B$2:$H$826,2,FALSE),"")</f>
        <v/>
      </c>
      <c r="E49" s="3" t="str">
        <f>IFERROR(VLOOKUP($C49,'_METADATA_TEMPLATE'!$B$2:$H$826,4,FALSE),"")</f>
        <v/>
      </c>
      <c r="F49" s="3" t="str">
        <f>IFERROR(VLOOKUP($C49,'_METADATA_TEMPLATE'!$B$2:$H$826,5,FALSE),"")</f>
        <v/>
      </c>
      <c r="G49" s="3" t="str">
        <f>IFERROR(VLOOKUP($C49,'_METADATA_TEMPLATE'!$B$2:$H$826,6,FALSE),"")</f>
        <v/>
      </c>
      <c r="H49" s="3" t="str">
        <f>IFERROR(VLOOKUP($C49,'_METADATA_TEMPLATE'!$B$2:$H$826,7,FALSE),"")</f>
        <v/>
      </c>
      <c r="I49" s="3" t="str">
        <f>IFERROR(VLOOKUP(C49,'_METADATA_DEFAULT'!$A:$B,2,FALSE),"")</f>
        <v/>
      </c>
    </row>
    <row r="50" ht="15.75" customHeight="1">
      <c r="A50" s="2" t="s">
        <v>669</v>
      </c>
      <c r="B50" s="2" t="s">
        <v>221</v>
      </c>
      <c r="C50" s="2" t="s">
        <v>221</v>
      </c>
      <c r="D50" s="2" t="str">
        <f>IFERROR(VLOOKUP($C50,'_METADATA_TEMPLATE'!$B$2:$H$826,2,FALSE),"")</f>
        <v/>
      </c>
      <c r="E50" s="2" t="str">
        <f>IFERROR(VLOOKUP($C50,'_METADATA_TEMPLATE'!$B$2:$H$826,4,FALSE),"")</f>
        <v/>
      </c>
      <c r="F50" s="2" t="str">
        <f>IFERROR(VLOOKUP($C50,'_METADATA_TEMPLATE'!$B$2:$H$826,5,FALSE),"")</f>
        <v/>
      </c>
      <c r="G50" s="2" t="str">
        <f>IFERROR(VLOOKUP($C50,'_METADATA_TEMPLATE'!$B$2:$H$826,6,FALSE),"")</f>
        <v/>
      </c>
      <c r="H50" s="2" t="str">
        <f>IFERROR(VLOOKUP($C50,'_METADATA_TEMPLATE'!$B$2:$H$826,7,FALSE),"")</f>
        <v/>
      </c>
      <c r="I50" s="2" t="str">
        <f>IFERROR(VLOOKUP(C50,'_METADATA_DEFAULT'!$A:$B,2,FALSE),"")</f>
        <v/>
      </c>
    </row>
    <row r="51" ht="15.75" customHeight="1">
      <c r="A51" s="3" t="s">
        <v>669</v>
      </c>
      <c r="B51" s="3" t="s">
        <v>225</v>
      </c>
      <c r="C51" s="3" t="s">
        <v>225</v>
      </c>
      <c r="D51" s="3" t="str">
        <f>IFERROR(VLOOKUP($C51,'_METADATA_TEMPLATE'!$B$2:$H$826,2,FALSE),"")</f>
        <v/>
      </c>
      <c r="E51" s="3" t="str">
        <f>IFERROR(VLOOKUP($C51,'_METADATA_TEMPLATE'!$B$2:$H$826,4,FALSE),"")</f>
        <v/>
      </c>
      <c r="F51" s="3" t="str">
        <f>IFERROR(VLOOKUP($C51,'_METADATA_TEMPLATE'!$B$2:$H$826,5,FALSE),"")</f>
        <v/>
      </c>
      <c r="G51" s="3" t="str">
        <f>IFERROR(VLOOKUP($C51,'_METADATA_TEMPLATE'!$B$2:$H$826,6,FALSE),"")</f>
        <v/>
      </c>
      <c r="H51" s="3" t="str">
        <f>IFERROR(VLOOKUP($C51,'_METADATA_TEMPLATE'!$B$2:$H$826,7,FALSE),"")</f>
        <v/>
      </c>
      <c r="I51" s="3" t="str">
        <f>IFERROR(VLOOKUP(C51,'_METADATA_DEFAULT'!$A:$B,2,FALSE),"")</f>
        <v/>
      </c>
    </row>
    <row r="52" ht="15.75" customHeight="1">
      <c r="A52" s="2" t="s">
        <v>669</v>
      </c>
      <c r="B52" s="2" t="s">
        <v>227</v>
      </c>
      <c r="C52" s="2" t="s">
        <v>227</v>
      </c>
      <c r="D52" s="2" t="str">
        <f>IFERROR(VLOOKUP($C52,'_METADATA_TEMPLATE'!$B$2:$H$826,2,FALSE),"")</f>
        <v/>
      </c>
      <c r="E52" s="2" t="str">
        <f>IFERROR(VLOOKUP($C52,'_METADATA_TEMPLATE'!$B$2:$H$826,4,FALSE),"")</f>
        <v/>
      </c>
      <c r="F52" s="2" t="str">
        <f>IFERROR(VLOOKUP($C52,'_METADATA_TEMPLATE'!$B$2:$H$826,5,FALSE),"")</f>
        <v/>
      </c>
      <c r="G52" s="2" t="str">
        <f>IFERROR(VLOOKUP($C52,'_METADATA_TEMPLATE'!$B$2:$H$826,6,FALSE),"")</f>
        <v/>
      </c>
      <c r="H52" s="2" t="str">
        <f>IFERROR(VLOOKUP($C52,'_METADATA_TEMPLATE'!$B$2:$H$826,7,FALSE),"")</f>
        <v/>
      </c>
      <c r="I52" s="2" t="str">
        <f>IFERROR(VLOOKUP(C52,'_METADATA_DEFAULT'!$A:$B,2,FALSE),"")</f>
        <v/>
      </c>
    </row>
    <row r="53" ht="15.75" customHeight="1">
      <c r="A53" s="3" t="s">
        <v>669</v>
      </c>
      <c r="B53" s="3" t="s">
        <v>230</v>
      </c>
      <c r="C53" s="3" t="s">
        <v>230</v>
      </c>
      <c r="D53" s="3" t="str">
        <f>IFERROR(VLOOKUP($C53,'_METADATA_TEMPLATE'!$B$2:$H$826,2,FALSE),"")</f>
        <v/>
      </c>
      <c r="E53" s="3" t="str">
        <f>IFERROR(VLOOKUP($C53,'_METADATA_TEMPLATE'!$B$2:$H$826,4,FALSE),"")</f>
        <v/>
      </c>
      <c r="F53" s="3" t="str">
        <f>IFERROR(VLOOKUP($C53,'_METADATA_TEMPLATE'!$B$2:$H$826,5,FALSE),"")</f>
        <v/>
      </c>
      <c r="G53" s="3" t="str">
        <f>IFERROR(VLOOKUP($C53,'_METADATA_TEMPLATE'!$B$2:$H$826,6,FALSE),"")</f>
        <v/>
      </c>
      <c r="H53" s="3" t="str">
        <f>IFERROR(VLOOKUP($C53,'_METADATA_TEMPLATE'!$B$2:$H$826,7,FALSE),"")</f>
        <v/>
      </c>
      <c r="I53" s="3" t="str">
        <f>IFERROR(VLOOKUP(C53,'_METADATA_DEFAULT'!$A:$B,2,FALSE),"")</f>
        <v/>
      </c>
    </row>
    <row r="54" ht="15.75" customHeight="1">
      <c r="A54" s="2" t="s">
        <v>669</v>
      </c>
      <c r="B54" s="2" t="s">
        <v>234</v>
      </c>
      <c r="C54" s="2" t="s">
        <v>234</v>
      </c>
      <c r="D54" s="2" t="str">
        <f>IFERROR(VLOOKUP($C54,'_METADATA_TEMPLATE'!$B$2:$H$826,2,FALSE),"")</f>
        <v/>
      </c>
      <c r="E54" s="2" t="str">
        <f>IFERROR(VLOOKUP($C54,'_METADATA_TEMPLATE'!$B$2:$H$826,4,FALSE),"")</f>
        <v/>
      </c>
      <c r="F54" s="2" t="str">
        <f>IFERROR(VLOOKUP($C54,'_METADATA_TEMPLATE'!$B$2:$H$826,5,FALSE),"")</f>
        <v/>
      </c>
      <c r="G54" s="2" t="str">
        <f>IFERROR(VLOOKUP($C54,'_METADATA_TEMPLATE'!$B$2:$H$826,6,FALSE),"")</f>
        <v/>
      </c>
      <c r="H54" s="2" t="str">
        <f>IFERROR(VLOOKUP($C54,'_METADATA_TEMPLATE'!$B$2:$H$826,7,FALSE),"")</f>
        <v/>
      </c>
      <c r="I54" s="2" t="str">
        <f>IFERROR(VLOOKUP(C54,'_METADATA_DEFAULT'!$A:$B,2,FALSE),"")</f>
        <v/>
      </c>
    </row>
    <row r="55" ht="15.75" customHeight="1">
      <c r="A55" s="3" t="s">
        <v>669</v>
      </c>
      <c r="B55" s="3" t="s">
        <v>75</v>
      </c>
      <c r="C55" s="3" t="s">
        <v>75</v>
      </c>
      <c r="D55" s="3" t="str">
        <f>IFERROR(VLOOKUP($C55,'_METADATA_TEMPLATE'!$B$2:$H$826,2,FALSE),"")</f>
        <v/>
      </c>
      <c r="E55" s="3" t="str">
        <f>IFERROR(VLOOKUP($C55,'_METADATA_TEMPLATE'!$B$2:$H$826,4,FALSE),"")</f>
        <v/>
      </c>
      <c r="F55" s="3" t="str">
        <f>IFERROR(VLOOKUP($C55,'_METADATA_TEMPLATE'!$B$2:$H$826,5,FALSE),"")</f>
        <v/>
      </c>
      <c r="G55" s="3" t="str">
        <f>IFERROR(VLOOKUP($C55,'_METADATA_TEMPLATE'!$B$2:$H$826,6,FALSE),"")</f>
        <v/>
      </c>
      <c r="H55" s="3" t="str">
        <f>IFERROR(VLOOKUP($C55,'_METADATA_TEMPLATE'!$B$2:$H$826,7,FALSE),"")</f>
        <v/>
      </c>
      <c r="I55" s="3" t="str">
        <f>IFERROR(VLOOKUP(C55,'_METADATA_DEFAULT'!$A:$B,2,FALSE),"")</f>
        <v>ID Periode Survei</v>
      </c>
    </row>
    <row r="56" ht="15.75" customHeight="1">
      <c r="A56" s="2" t="s">
        <v>669</v>
      </c>
      <c r="B56" s="2" t="s">
        <v>240</v>
      </c>
      <c r="C56" s="2" t="s">
        <v>240</v>
      </c>
      <c r="D56" s="2" t="str">
        <f>IFERROR(VLOOKUP($C56,'_METADATA_TEMPLATE'!$B$2:$H$826,2,FALSE),"")</f>
        <v/>
      </c>
      <c r="E56" s="2" t="str">
        <f>IFERROR(VLOOKUP($C56,'_METADATA_TEMPLATE'!$B$2:$H$826,4,FALSE),"")</f>
        <v/>
      </c>
      <c r="F56" s="2" t="str">
        <f>IFERROR(VLOOKUP($C56,'_METADATA_TEMPLATE'!$B$2:$H$826,5,FALSE),"")</f>
        <v/>
      </c>
      <c r="G56" s="2" t="str">
        <f>IFERROR(VLOOKUP($C56,'_METADATA_TEMPLATE'!$B$2:$H$826,6,FALSE),"")</f>
        <v/>
      </c>
      <c r="H56" s="2" t="str">
        <f>IFERROR(VLOOKUP($C56,'_METADATA_TEMPLATE'!$B$2:$H$826,7,FALSE),"")</f>
        <v/>
      </c>
      <c r="I56" s="2" t="str">
        <f>IFERROR(VLOOKUP(C56,'_METADATA_DEFAULT'!$A:$B,2,FALSE),"")</f>
        <v/>
      </c>
    </row>
    <row r="57" ht="15.75" customHeight="1">
      <c r="A57" s="3" t="s">
        <v>669</v>
      </c>
      <c r="B57" s="3" t="s">
        <v>43</v>
      </c>
      <c r="C57" s="3" t="s">
        <v>43</v>
      </c>
      <c r="D57" s="3" t="str">
        <f>IFERROR(VLOOKUP($C57,'_METADATA_TEMPLATE'!$B$2:$H$826,2,FALSE),"")</f>
        <v/>
      </c>
      <c r="E57" s="3" t="str">
        <f>IFERROR(VLOOKUP($C57,'_METADATA_TEMPLATE'!$B$2:$H$826,4,FALSE),"")</f>
        <v/>
      </c>
      <c r="F57" s="3" t="str">
        <f>IFERROR(VLOOKUP($C57,'_METADATA_TEMPLATE'!$B$2:$H$826,5,FALSE),"")</f>
        <v/>
      </c>
      <c r="G57" s="3" t="str">
        <f>IFERROR(VLOOKUP($C57,'_METADATA_TEMPLATE'!$B$2:$H$826,6,FALSE),"")</f>
        <v/>
      </c>
      <c r="H57" s="3" t="str">
        <f>IFERROR(VLOOKUP($C57,'_METADATA_TEMPLATE'!$B$2:$H$826,7,FALSE),"")</f>
        <v/>
      </c>
      <c r="I57" s="3" t="str">
        <f>IFERROR(VLOOKUP(C57,'_METADATA_DEFAULT'!$A:$B,2,FALSE),"")</f>
        <v>Tanggal Assignment Terakhir Diubah</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35.0"/>
    <col customWidth="1" min="4" max="4" width="10.0"/>
    <col customWidth="1" min="5" max="5" width="28.0"/>
    <col customWidth="1" min="6" max="6" width="16.0"/>
    <col customWidth="1" min="7" max="7" width="45.0"/>
    <col customWidth="1" min="8" max="8" width="18.0"/>
    <col customWidth="1" min="9" max="9" width="40.0"/>
    <col customWidth="1" min="10" max="26" width="8.71"/>
  </cols>
  <sheetData>
    <row r="1" ht="30.0" customHeight="1">
      <c r="A1" s="1" t="s">
        <v>0</v>
      </c>
      <c r="B1" s="1" t="s">
        <v>1</v>
      </c>
      <c r="C1" s="1" t="s">
        <v>2</v>
      </c>
      <c r="D1" s="1" t="s">
        <v>3</v>
      </c>
      <c r="E1" s="1" t="s">
        <v>4</v>
      </c>
      <c r="F1" s="1" t="s">
        <v>5</v>
      </c>
      <c r="G1" s="1" t="s">
        <v>6</v>
      </c>
      <c r="H1" s="1" t="s">
        <v>7</v>
      </c>
      <c r="I1" s="1" t="s">
        <v>8</v>
      </c>
    </row>
    <row r="2">
      <c r="A2" s="2" t="s">
        <v>774</v>
      </c>
      <c r="B2" s="2" t="s">
        <v>334</v>
      </c>
      <c r="C2" s="2" t="s">
        <v>334</v>
      </c>
      <c r="D2" s="2">
        <f>IFERROR(VLOOKUP($C2,'_METADATA_TEMPLATE'!$B$2:$H$826,2,FALSE),"")</f>
        <v>2</v>
      </c>
      <c r="E2" s="2" t="str">
        <f>IFERROR(VLOOKUP($C2,'_METADATA_TEMPLATE'!$B$2:$H$826,4,FALSE),"")</f>
        <v>PENGANTAR</v>
      </c>
      <c r="F2" s="2" t="str">
        <f>IFERROR(VLOOKUP($C2,'_METADATA_TEMPLATE'!$B$2:$H$826,5,FALSE),"")</f>
        <v/>
      </c>
      <c r="G2" s="2" t="str">
        <f>IFERROR(VLOOKUP($C2,'_METADATA_TEMPLATE'!$B$2:$H$826,6,FALSE),"")</f>
        <v>Waktu Kunjungan I</v>
      </c>
      <c r="H2" s="2" t="str">
        <f>IFERROR(VLOOKUP($C2,'_METADATA_TEMPLATE'!$B$2:$H$826,7,FALSE),"")</f>
        <v>NowInput</v>
      </c>
      <c r="I2" s="2" t="str">
        <f>IFERROR(VLOOKUP(C2,'_METADATA_DEFAULT'!$A:$B,2,FALSE),"")</f>
        <v/>
      </c>
    </row>
    <row r="3">
      <c r="A3" s="3" t="s">
        <v>774</v>
      </c>
      <c r="B3" s="3" t="s">
        <v>335</v>
      </c>
      <c r="C3" s="3" t="s">
        <v>335</v>
      </c>
      <c r="D3" s="3">
        <f>IFERROR(VLOOKUP($C3,'_METADATA_TEMPLATE'!$B$2:$H$826,2,FALSE),"")</f>
        <v>3</v>
      </c>
      <c r="E3" s="3" t="str">
        <f>IFERROR(VLOOKUP($C3,'_METADATA_TEMPLATE'!$B$2:$H$826,4,FALSE),"")</f>
        <v>PENGANTAR</v>
      </c>
      <c r="F3" s="3" t="str">
        <f>IFERROR(VLOOKUP($C3,'_METADATA_TEMPLATE'!$B$2:$H$826,5,FALSE),"")</f>
        <v/>
      </c>
      <c r="G3" s="3" t="str">
        <f>IFERROR(VLOOKUP($C3,'_METADATA_TEMPLATE'!$B$2:$H$826,6,FALSE),"")</f>
        <v>Catatan Kunjungan I</v>
      </c>
      <c r="H3" s="3" t="str">
        <f>IFERROR(VLOOKUP($C3,'_METADATA_TEMPLATE'!$B$2:$H$826,7,FALSE),"")</f>
        <v>Text Area</v>
      </c>
      <c r="I3" s="3" t="str">
        <f>IFERROR(VLOOKUP(C3,'_METADATA_DEFAULT'!$A:$B,2,FALSE),"")</f>
        <v/>
      </c>
    </row>
    <row r="4">
      <c r="A4" s="2" t="s">
        <v>774</v>
      </c>
      <c r="B4" s="2" t="s">
        <v>336</v>
      </c>
      <c r="C4" s="2" t="s">
        <v>336</v>
      </c>
      <c r="D4" s="2">
        <f>IFERROR(VLOOKUP($C4,'_METADATA_TEMPLATE'!$B$2:$H$826,2,FALSE),"")</f>
        <v>4</v>
      </c>
      <c r="E4" s="2" t="str">
        <f>IFERROR(VLOOKUP($C4,'_METADATA_TEMPLATE'!$B$2:$H$826,4,FALSE),"")</f>
        <v>PENGANTAR</v>
      </c>
      <c r="F4" s="2" t="str">
        <f>IFERROR(VLOOKUP($C4,'_METADATA_TEMPLATE'!$B$2:$H$826,5,FALSE),"")</f>
        <v/>
      </c>
      <c r="G4" s="2" t="str">
        <f>IFERROR(VLOOKUP($C4,'_METADATA_TEMPLATE'!$B$2:$H$826,6,FALSE),"")</f>
        <v>Waktu Kunjungan II Waktu Kunjungan II Hanya Dapat Diisi Empat Jam setelah Kunjungan I</v>
      </c>
      <c r="H4" s="2" t="str">
        <f>IFERROR(VLOOKUP($C4,'_METADATA_TEMPLATE'!$B$2:$H$826,7,FALSE),"")</f>
        <v>NowInput</v>
      </c>
      <c r="I4" s="2" t="str">
        <f>IFERROR(VLOOKUP(C4,'_METADATA_DEFAULT'!$A:$B,2,FALSE),"")</f>
        <v/>
      </c>
    </row>
    <row r="5">
      <c r="A5" s="3" t="s">
        <v>774</v>
      </c>
      <c r="B5" s="3" t="s">
        <v>337</v>
      </c>
      <c r="C5" s="3" t="s">
        <v>337</v>
      </c>
      <c r="D5" s="3">
        <f>IFERROR(VLOOKUP($C5,'_METADATA_TEMPLATE'!$B$2:$H$826,2,FALSE),"")</f>
        <v>5</v>
      </c>
      <c r="E5" s="3" t="str">
        <f>IFERROR(VLOOKUP($C5,'_METADATA_TEMPLATE'!$B$2:$H$826,4,FALSE),"")</f>
        <v>PENGANTAR</v>
      </c>
      <c r="F5" s="3" t="str">
        <f>IFERROR(VLOOKUP($C5,'_METADATA_TEMPLATE'!$B$2:$H$826,5,FALSE),"")</f>
        <v/>
      </c>
      <c r="G5" s="3" t="str">
        <f>IFERROR(VLOOKUP($C5,'_METADATA_TEMPLATE'!$B$2:$H$826,6,FALSE),"")</f>
        <v>Catatan Kunjungan II</v>
      </c>
      <c r="H5" s="3" t="str">
        <f>IFERROR(VLOOKUP($C5,'_METADATA_TEMPLATE'!$B$2:$H$826,7,FALSE),"")</f>
        <v>Text Area</v>
      </c>
      <c r="I5" s="3" t="str">
        <f>IFERROR(VLOOKUP(C5,'_METADATA_DEFAULT'!$A:$B,2,FALSE),"")</f>
        <v/>
      </c>
    </row>
    <row r="6">
      <c r="A6" s="2" t="s">
        <v>774</v>
      </c>
      <c r="B6" s="2" t="s">
        <v>338</v>
      </c>
      <c r="C6" s="2" t="s">
        <v>338</v>
      </c>
      <c r="D6" s="2">
        <f>IFERROR(VLOOKUP($C6,'_METADATA_TEMPLATE'!$B$2:$H$826,2,FALSE),"")</f>
        <v>6</v>
      </c>
      <c r="E6" s="2" t="str">
        <f>IFERROR(VLOOKUP($C6,'_METADATA_TEMPLATE'!$B$2:$H$826,4,FALSE),"")</f>
        <v>PENGANTAR</v>
      </c>
      <c r="F6" s="2" t="str">
        <f>IFERROR(VLOOKUP($C6,'_METADATA_TEMPLATE'!$B$2:$H$826,5,FALSE),"")</f>
        <v/>
      </c>
      <c r="G6" s="2" t="str">
        <f>IFERROR(VLOOKUP($C6,'_METADATA_TEMPLATE'!$B$2:$H$826,6,FALSE),"")</f>
        <v>Waktu Kunjungan III Waktu Kunjungan III Hanya Dapat Diisi Empat Jam setelah Kunjungan II</v>
      </c>
      <c r="H6" s="2" t="str">
        <f>IFERROR(VLOOKUP($C6,'_METADATA_TEMPLATE'!$B$2:$H$826,7,FALSE),"")</f>
        <v>NowInput</v>
      </c>
      <c r="I6" s="2" t="str">
        <f>IFERROR(VLOOKUP(C6,'_METADATA_DEFAULT'!$A:$B,2,FALSE),"")</f>
        <v/>
      </c>
    </row>
    <row r="7">
      <c r="A7" s="3" t="s">
        <v>774</v>
      </c>
      <c r="B7" s="3" t="s">
        <v>339</v>
      </c>
      <c r="C7" s="3" t="s">
        <v>340</v>
      </c>
      <c r="D7" s="3">
        <f>IFERROR(VLOOKUP($C7,'_METADATA_TEMPLATE'!$B$2:$H$826,2,FALSE),"")</f>
        <v>7</v>
      </c>
      <c r="E7" s="3" t="str">
        <f>IFERROR(VLOOKUP($C7,'_METADATA_TEMPLATE'!$B$2:$H$826,4,FALSE),"")</f>
        <v>PENGANTAR</v>
      </c>
      <c r="F7" s="3" t="str">
        <f>IFERROR(VLOOKUP($C7,'_METADATA_TEMPLATE'!$B$2:$H$826,5,FALSE),"")</f>
        <v/>
      </c>
      <c r="G7" s="3" t="str">
        <f>IFERROR(VLOOKUP($C7,'_METADATA_TEMPLATE'!$B$2:$H$826,6,FALSE),"")</f>
        <v>Alasan Nonrespon</v>
      </c>
      <c r="H7" s="3" t="str">
        <f>IFERROR(VLOOKUP($C7,'_METADATA_TEMPLATE'!$B$2:$H$826,7,FALSE),"")</f>
        <v>Radio Group</v>
      </c>
      <c r="I7" s="3" t="str">
        <f>IFERROR(VLOOKUP(C7,'_METADATA_DEFAULT'!$A:$B,2,FALSE),"")</f>
        <v/>
      </c>
    </row>
    <row r="8">
      <c r="A8" s="2" t="s">
        <v>774</v>
      </c>
      <c r="B8" s="2" t="s">
        <v>341</v>
      </c>
      <c r="C8" s="2" t="s">
        <v>340</v>
      </c>
      <c r="D8" s="2">
        <f>IFERROR(VLOOKUP($C8,'_METADATA_TEMPLATE'!$B$2:$H$826,2,FALSE),"")</f>
        <v>7</v>
      </c>
      <c r="E8" s="2" t="str">
        <f>IFERROR(VLOOKUP($C8,'_METADATA_TEMPLATE'!$B$2:$H$826,4,FALSE),"")</f>
        <v>PENGANTAR</v>
      </c>
      <c r="F8" s="2" t="str">
        <f>IFERROR(VLOOKUP($C8,'_METADATA_TEMPLATE'!$B$2:$H$826,5,FALSE),"")</f>
        <v/>
      </c>
      <c r="G8" s="2" t="str">
        <f>IFERROR(VLOOKUP($C8,'_METADATA_TEMPLATE'!$B$2:$H$826,6,FALSE),"")</f>
        <v>Alasan Nonrespon</v>
      </c>
      <c r="H8" s="2" t="str">
        <f>IFERROR(VLOOKUP($C8,'_METADATA_TEMPLATE'!$B$2:$H$826,7,FALSE),"")</f>
        <v>Radio Group</v>
      </c>
      <c r="I8" s="2" t="str">
        <f>IFERROR(VLOOKUP(C8,'_METADATA_DEFAULT'!$A:$B,2,FALSE),"")</f>
        <v/>
      </c>
    </row>
    <row r="9">
      <c r="A9" s="3" t="s">
        <v>774</v>
      </c>
      <c r="B9" s="3" t="s">
        <v>342</v>
      </c>
      <c r="C9" s="3" t="s">
        <v>342</v>
      </c>
      <c r="D9" s="3">
        <f>IFERROR(VLOOKUP($C9,'_METADATA_TEMPLATE'!$B$2:$H$826,2,FALSE),"")</f>
        <v>8</v>
      </c>
      <c r="E9" s="3" t="str">
        <f>IFERROR(VLOOKUP($C9,'_METADATA_TEMPLATE'!$B$2:$H$826,4,FALSE),"")</f>
        <v>PENGANTAR</v>
      </c>
      <c r="F9" s="3" t="str">
        <f>IFERROR(VLOOKUP($C9,'_METADATA_TEMPLATE'!$B$2:$H$826,5,FALSE),"")</f>
        <v/>
      </c>
      <c r="G9" s="3" t="str">
        <f>IFERROR(VLOOKUP($C9,'_METADATA_TEMPLATE'!$B$2:$H$826,6,FALSE),"")</f>
        <v>Catatan Kunjungan III</v>
      </c>
      <c r="H9" s="3" t="str">
        <f>IFERROR(VLOOKUP($C9,'_METADATA_TEMPLATE'!$B$2:$H$826,7,FALSE),"")</f>
        <v>Text Area</v>
      </c>
      <c r="I9" s="3" t="str">
        <f>IFERROR(VLOOKUP(C9,'_METADATA_DEFAULT'!$A:$B,2,FALSE),"")</f>
        <v/>
      </c>
    </row>
    <row r="10">
      <c r="A10" s="2" t="s">
        <v>774</v>
      </c>
      <c r="B10" s="2" t="s">
        <v>794</v>
      </c>
      <c r="C10" s="2" t="s">
        <v>795</v>
      </c>
      <c r="D10" s="2">
        <f>IFERROR(VLOOKUP($C10,'_METADATA_TEMPLATE'!$B$2:$H$826,2,FALSE),"")</f>
        <v>8</v>
      </c>
      <c r="E10" s="2" t="str">
        <f>IFERROR(VLOOKUP($C10,'_METADATA_TEMPLATE'!$B$2:$H$826,4,FALSE),"")</f>
        <v>BLOK I</v>
      </c>
      <c r="F10" s="2" t="str">
        <f>IFERROR(VLOOKUP($C10,'_METADATA_TEMPLATE'!$B$2:$H$826,5,FALSE),"")</f>
        <v/>
      </c>
      <c r="G10" s="2" t="str">
        <f>IFERROR(VLOOKUP($C10,'_METADATA_TEMPLATE'!$B$2:$H$826,6,FALSE),"")</f>
        <v>Keadaan perusahaan saat dikunjungi:</v>
      </c>
      <c r="H10" s="2" t="str">
        <f>IFERROR(VLOOKUP($C10,'_METADATA_TEMPLATE'!$B$2:$H$826,7,FALSE),"")</f>
        <v>Radio Group</v>
      </c>
      <c r="I10" s="2" t="str">
        <f>IFERROR(VLOOKUP(C10,'_METADATA_DEFAULT'!$A:$B,2,FALSE),"")</f>
        <v/>
      </c>
    </row>
    <row r="11">
      <c r="A11" s="3" t="s">
        <v>774</v>
      </c>
      <c r="B11" s="3" t="s">
        <v>798</v>
      </c>
      <c r="C11" s="3" t="s">
        <v>795</v>
      </c>
      <c r="D11" s="3">
        <f>IFERROR(VLOOKUP($C11,'_METADATA_TEMPLATE'!$B$2:$H$826,2,FALSE),"")</f>
        <v>8</v>
      </c>
      <c r="E11" s="3" t="str">
        <f>IFERROR(VLOOKUP($C11,'_METADATA_TEMPLATE'!$B$2:$H$826,4,FALSE),"")</f>
        <v>BLOK I</v>
      </c>
      <c r="F11" s="3" t="str">
        <f>IFERROR(VLOOKUP($C11,'_METADATA_TEMPLATE'!$B$2:$H$826,5,FALSE),"")</f>
        <v/>
      </c>
      <c r="G11" s="3" t="str">
        <f>IFERROR(VLOOKUP($C11,'_METADATA_TEMPLATE'!$B$2:$H$826,6,FALSE),"")</f>
        <v>Keadaan perusahaan saat dikunjungi:</v>
      </c>
      <c r="H11" s="3" t="str">
        <f>IFERROR(VLOOKUP($C11,'_METADATA_TEMPLATE'!$B$2:$H$826,7,FALSE),"")</f>
        <v>Radio Group</v>
      </c>
      <c r="I11" s="3" t="str">
        <f>IFERROR(VLOOKUP(C11,'_METADATA_DEFAULT'!$A:$B,2,FALSE),"")</f>
        <v/>
      </c>
    </row>
    <row r="12">
      <c r="A12" s="2" t="s">
        <v>774</v>
      </c>
      <c r="B12" s="2" t="s">
        <v>343</v>
      </c>
      <c r="C12" s="2" t="s">
        <v>343</v>
      </c>
      <c r="D12" s="2">
        <f>IFERROR(VLOOKUP($C12,'_METADATA_TEMPLATE'!$B$2:$H$826,2,FALSE),"")</f>
        <v>9</v>
      </c>
      <c r="E12" s="2" t="str">
        <f>IFERROR(VLOOKUP($C12,'_METADATA_TEMPLATE'!$B$2:$H$826,4,FALSE),"")</f>
        <v>PENGANTAR</v>
      </c>
      <c r="F12" s="2" t="str">
        <f>IFERROR(VLOOKUP($C12,'_METADATA_TEMPLATE'!$B$2:$H$826,5,FALSE),"")</f>
        <v/>
      </c>
      <c r="G12" s="2" t="str">
        <f>IFERROR(VLOOKUP($C12,'_METADATA_TEMPLATE'!$B$2:$H$826,6,FALSE),"")</f>
        <v>Waktu Kunjungan PML</v>
      </c>
      <c r="H12" s="2" t="str">
        <f>IFERROR(VLOOKUP($C12,'_METADATA_TEMPLATE'!$B$2:$H$826,7,FALSE),"")</f>
        <v>NowInput</v>
      </c>
      <c r="I12" s="2" t="str">
        <f>IFERROR(VLOOKUP(C12,'_METADATA_DEFAULT'!$A:$B,2,FALSE),"")</f>
        <v/>
      </c>
    </row>
    <row r="13">
      <c r="A13" s="3" t="s">
        <v>774</v>
      </c>
      <c r="B13" s="3" t="s">
        <v>344</v>
      </c>
      <c r="C13" s="3" t="s">
        <v>345</v>
      </c>
      <c r="D13" s="3">
        <f>IFERROR(VLOOKUP($C13,'_METADATA_TEMPLATE'!$B$2:$H$826,2,FALSE),"")</f>
        <v>10</v>
      </c>
      <c r="E13" s="3" t="str">
        <f>IFERROR(VLOOKUP($C13,'_METADATA_TEMPLATE'!$B$2:$H$826,4,FALSE),"")</f>
        <v>PENGANTAR</v>
      </c>
      <c r="F13" s="3" t="str">
        <f>IFERROR(VLOOKUP($C13,'_METADATA_TEMPLATE'!$B$2:$H$826,5,FALSE),"")</f>
        <v/>
      </c>
      <c r="G13" s="3" t="str">
        <f>IFERROR(VLOOKUP($C13,'_METADATA_TEMPLATE'!$B$2:$H$826,6,FALSE),"")</f>
        <v>Geotaging oleh PML</v>
      </c>
      <c r="H13" s="3" t="str">
        <f>IFERROR(VLOOKUP($C13,'_METADATA_TEMPLATE'!$B$2:$H$826,7,FALSE),"")</f>
        <v>GpsInput</v>
      </c>
      <c r="I13" s="3" t="str">
        <f>IFERROR(VLOOKUP(C13,'_METADATA_DEFAULT'!$A:$B,2,FALSE),"")</f>
        <v/>
      </c>
    </row>
    <row r="14">
      <c r="A14" s="2" t="s">
        <v>774</v>
      </c>
      <c r="B14" s="2" t="s">
        <v>346</v>
      </c>
      <c r="C14" s="2" t="s">
        <v>345</v>
      </c>
      <c r="D14" s="2">
        <f>IFERROR(VLOOKUP($C14,'_METADATA_TEMPLATE'!$B$2:$H$826,2,FALSE),"")</f>
        <v>10</v>
      </c>
      <c r="E14" s="2" t="str">
        <f>IFERROR(VLOOKUP($C14,'_METADATA_TEMPLATE'!$B$2:$H$826,4,FALSE),"")</f>
        <v>PENGANTAR</v>
      </c>
      <c r="F14" s="2" t="str">
        <f>IFERROR(VLOOKUP($C14,'_METADATA_TEMPLATE'!$B$2:$H$826,5,FALSE),"")</f>
        <v/>
      </c>
      <c r="G14" s="2" t="str">
        <f>IFERROR(VLOOKUP($C14,'_METADATA_TEMPLATE'!$B$2:$H$826,6,FALSE),"")</f>
        <v>Geotaging oleh PML</v>
      </c>
      <c r="H14" s="2" t="str">
        <f>IFERROR(VLOOKUP($C14,'_METADATA_TEMPLATE'!$B$2:$H$826,7,FALSE),"")</f>
        <v>GpsInput</v>
      </c>
      <c r="I14" s="2" t="str">
        <f>IFERROR(VLOOKUP(C14,'_METADATA_DEFAULT'!$A:$B,2,FALSE),"")</f>
        <v/>
      </c>
    </row>
    <row r="15">
      <c r="A15" s="3" t="s">
        <v>774</v>
      </c>
      <c r="B15" s="3" t="s">
        <v>347</v>
      </c>
      <c r="C15" s="3" t="s">
        <v>345</v>
      </c>
      <c r="D15" s="3">
        <f>IFERROR(VLOOKUP($C15,'_METADATA_TEMPLATE'!$B$2:$H$826,2,FALSE),"")</f>
        <v>10</v>
      </c>
      <c r="E15" s="3" t="str">
        <f>IFERROR(VLOOKUP($C15,'_METADATA_TEMPLATE'!$B$2:$H$826,4,FALSE),"")</f>
        <v>PENGANTAR</v>
      </c>
      <c r="F15" s="3" t="str">
        <f>IFERROR(VLOOKUP($C15,'_METADATA_TEMPLATE'!$B$2:$H$826,5,FALSE),"")</f>
        <v/>
      </c>
      <c r="G15" s="3" t="str">
        <f>IFERROR(VLOOKUP($C15,'_METADATA_TEMPLATE'!$B$2:$H$826,6,FALSE),"")</f>
        <v>Geotaging oleh PML</v>
      </c>
      <c r="H15" s="3" t="str">
        <f>IFERROR(VLOOKUP($C15,'_METADATA_TEMPLATE'!$B$2:$H$826,7,FALSE),"")</f>
        <v>GpsInput</v>
      </c>
      <c r="I15" s="3" t="str">
        <f>IFERROR(VLOOKUP(C15,'_METADATA_DEFAULT'!$A:$B,2,FALSE),"")</f>
        <v/>
      </c>
    </row>
    <row r="16">
      <c r="A16" s="2" t="s">
        <v>774</v>
      </c>
      <c r="B16" s="2" t="s">
        <v>348</v>
      </c>
      <c r="C16" s="2" t="s">
        <v>348</v>
      </c>
      <c r="D16" s="2">
        <f>IFERROR(VLOOKUP($C16,'_METADATA_TEMPLATE'!$B$2:$H$826,2,FALSE),"")</f>
        <v>11</v>
      </c>
      <c r="E16" s="2" t="str">
        <f>IFERROR(VLOOKUP($C16,'_METADATA_TEMPLATE'!$B$2:$H$826,4,FALSE),"")</f>
        <v>PENGANTAR</v>
      </c>
      <c r="F16" s="2" t="str">
        <f>IFERROR(VLOOKUP($C16,'_METADATA_TEMPLATE'!$B$2:$H$826,5,FALSE),"")</f>
        <v/>
      </c>
      <c r="G16" s="2" t="str">
        <f>IFERROR(VLOOKUP($C16,'_METADATA_TEMPLATE'!$B$2:$H$826,6,FALSE),"")</f>
        <v>Catatan Kunjungan PML</v>
      </c>
      <c r="H16" s="2" t="str">
        <f>IFERROR(VLOOKUP($C16,'_METADATA_TEMPLATE'!$B$2:$H$826,7,FALSE),"")</f>
        <v>Text Area</v>
      </c>
      <c r="I16" s="2" t="str">
        <f>IFERROR(VLOOKUP(C16,'_METADATA_DEFAULT'!$A:$B,2,FALSE),"")</f>
        <v/>
      </c>
    </row>
    <row r="17">
      <c r="A17" s="3" t="s">
        <v>774</v>
      </c>
      <c r="B17" s="3" t="s">
        <v>349</v>
      </c>
      <c r="C17" s="3" t="s">
        <v>349</v>
      </c>
      <c r="D17" s="3">
        <f>IFERROR(VLOOKUP($C17,'_METADATA_TEMPLATE'!$B$2:$H$826,2,FALSE),"")</f>
        <v>12</v>
      </c>
      <c r="E17" s="3" t="str">
        <f>IFERROR(VLOOKUP($C17,'_METADATA_TEMPLATE'!$B$2:$H$826,4,FALSE),"")</f>
        <v>IDENTITAS WILAYAH</v>
      </c>
      <c r="F17" s="3" t="str">
        <f>IFERROR(VLOOKUP($C17,'_METADATA_TEMPLATE'!$B$2:$H$826,5,FALSE),"")</f>
        <v>1</v>
      </c>
      <c r="G17" s="3" t="str">
        <f>IFERROR(VLOOKUP($C17,'_METADATA_TEMPLATE'!$B$2:$H$826,6,FALSE),"")</f>
        <v>Provinsi</v>
      </c>
      <c r="H17" s="3" t="str">
        <f>IFERROR(VLOOKUP($C17,'_METADATA_TEMPLATE'!$B$2:$H$826,7,FALSE),"")</f>
        <v>Text Input</v>
      </c>
      <c r="I17" s="3" t="str">
        <f>IFERROR(VLOOKUP(C17,'_METADATA_DEFAULT'!$A:$B,2,FALSE),"")</f>
        <v/>
      </c>
    </row>
    <row r="18">
      <c r="A18" s="2" t="s">
        <v>774</v>
      </c>
      <c r="B18" s="2" t="s">
        <v>350</v>
      </c>
      <c r="C18" s="2" t="s">
        <v>350</v>
      </c>
      <c r="D18" s="2">
        <f>IFERROR(VLOOKUP($C18,'_METADATA_TEMPLATE'!$B$2:$H$826,2,FALSE),"")</f>
        <v>13</v>
      </c>
      <c r="E18" s="2" t="str">
        <f>IFERROR(VLOOKUP($C18,'_METADATA_TEMPLATE'!$B$2:$H$826,4,FALSE),"")</f>
        <v>IDENTITAS WILAYAH</v>
      </c>
      <c r="F18" s="2" t="str">
        <f>IFERROR(VLOOKUP($C18,'_METADATA_TEMPLATE'!$B$2:$H$826,5,FALSE),"")</f>
        <v>2</v>
      </c>
      <c r="G18" s="2" t="str">
        <f>IFERROR(VLOOKUP($C18,'_METADATA_TEMPLATE'!$B$2:$H$826,6,FALSE),"")</f>
        <v>Kabupaten/Kota</v>
      </c>
      <c r="H18" s="2" t="str">
        <f>IFERROR(VLOOKUP($C18,'_METADATA_TEMPLATE'!$B$2:$H$826,7,FALSE),"")</f>
        <v>Text Input</v>
      </c>
      <c r="I18" s="2" t="str">
        <f>IFERROR(VLOOKUP(C18,'_METADATA_DEFAULT'!$A:$B,2,FALSE),"")</f>
        <v/>
      </c>
    </row>
    <row r="19">
      <c r="A19" s="3" t="s">
        <v>774</v>
      </c>
      <c r="B19" s="3" t="s">
        <v>351</v>
      </c>
      <c r="C19" s="3" t="s">
        <v>351</v>
      </c>
      <c r="D19" s="3">
        <f>IFERROR(VLOOKUP($C19,'_METADATA_TEMPLATE'!$B$2:$H$826,2,FALSE),"")</f>
        <v>14</v>
      </c>
      <c r="E19" s="3" t="str">
        <f>IFERROR(VLOOKUP($C19,'_METADATA_TEMPLATE'!$B$2:$H$826,4,FALSE),"")</f>
        <v>IDENTITAS WILAYAH</v>
      </c>
      <c r="F19" s="3" t="str">
        <f>IFERROR(VLOOKUP($C19,'_METADATA_TEMPLATE'!$B$2:$H$826,5,FALSE),"")</f>
        <v>3</v>
      </c>
      <c r="G19" s="3" t="str">
        <f>IFERROR(VLOOKUP($C19,'_METADATA_TEMPLATE'!$B$2:$H$826,6,FALSE),"")</f>
        <v>Kecamatan</v>
      </c>
      <c r="H19" s="3" t="str">
        <f>IFERROR(VLOOKUP($C19,'_METADATA_TEMPLATE'!$B$2:$H$826,7,FALSE),"")</f>
        <v>Text Input</v>
      </c>
      <c r="I19" s="3" t="str">
        <f>IFERROR(VLOOKUP(C19,'_METADATA_DEFAULT'!$A:$B,2,FALSE),"")</f>
        <v/>
      </c>
    </row>
    <row r="20">
      <c r="A20" s="2" t="s">
        <v>774</v>
      </c>
      <c r="B20" s="2" t="s">
        <v>366</v>
      </c>
      <c r="C20" s="2" t="s">
        <v>366</v>
      </c>
      <c r="D20" s="2">
        <f>IFERROR(VLOOKUP($C20,'_METADATA_TEMPLATE'!$B$2:$H$826,2,FALSE),"")</f>
        <v>19</v>
      </c>
      <c r="E20" s="2" t="str">
        <f>IFERROR(VLOOKUP($C20,'_METADATA_TEMPLATE'!$B$2:$H$826,4,FALSE),"")</f>
        <v>IDENTITAS WILAYAH</v>
      </c>
      <c r="F20" s="2" t="str">
        <f>IFERROR(VLOOKUP($C20,'_METADATA_TEMPLATE'!$B$2:$H$826,5,FALSE),"")</f>
        <v>4</v>
      </c>
      <c r="G20" s="2" t="str">
        <f>IFERROR(VLOOKUP($C20,'_METADATA_TEMPLATE'!$B$2:$H$826,6,FALSE),"")</f>
        <v>Desa/Kelurahan</v>
      </c>
      <c r="H20" s="2" t="str">
        <f>IFERROR(VLOOKUP($C20,'_METADATA_TEMPLATE'!$B$2:$H$826,7,FALSE),"")</f>
        <v>Select</v>
      </c>
      <c r="I20" s="2" t="str">
        <f>IFERROR(VLOOKUP(C20,'_METADATA_DEFAULT'!$A:$B,2,FALSE),"")</f>
        <v/>
      </c>
    </row>
    <row r="21" ht="15.75" customHeight="1">
      <c r="A21" s="3" t="s">
        <v>774</v>
      </c>
      <c r="B21" s="3" t="s">
        <v>856</v>
      </c>
      <c r="C21" s="3" t="s">
        <v>857</v>
      </c>
      <c r="D21" s="3">
        <f>IFERROR(VLOOKUP($C21,'_METADATA_TEMPLATE'!$B$2:$H$826,2,FALSE),"")</f>
        <v>26</v>
      </c>
      <c r="E21" s="3" t="str">
        <f>IFERROR(VLOOKUP($C21,'_METADATA_TEMPLATE'!$B$2:$H$826,4,FALSE),"")</f>
        <v>BLOK I</v>
      </c>
      <c r="F21" s="3" t="str">
        <f>IFERROR(VLOOKUP($C21,'_METADATA_TEMPLATE'!$B$2:$H$826,5,FALSE),"")</f>
        <v>6</v>
      </c>
      <c r="G21" s="3" t="str">
        <f>IFERROR(VLOOKUP($C21,'_METADATA_TEMPLATE'!$B$2:$H$826,6,FALSE),"")</f>
        <v>c. Apa alasan utama tidak memiliki NIB?</v>
      </c>
      <c r="H21" s="3" t="str">
        <f>IFERROR(VLOOKUP($C21,'_METADATA_TEMPLATE'!$B$2:$H$826,7,FALSE),"")</f>
        <v>Radio Group</v>
      </c>
      <c r="I21" s="3" t="str">
        <f>IFERROR(VLOOKUP(C21,'_METADATA_DEFAULT'!$A:$B,2,FALSE),"")</f>
        <v/>
      </c>
    </row>
    <row r="22" ht="15.75" customHeight="1">
      <c r="A22" s="2" t="s">
        <v>774</v>
      </c>
      <c r="B22" s="2" t="s">
        <v>862</v>
      </c>
      <c r="C22" s="2" t="s">
        <v>857</v>
      </c>
      <c r="D22" s="2">
        <f>IFERROR(VLOOKUP($C22,'_METADATA_TEMPLATE'!$B$2:$H$826,2,FALSE),"")</f>
        <v>26</v>
      </c>
      <c r="E22" s="2" t="str">
        <f>IFERROR(VLOOKUP($C22,'_METADATA_TEMPLATE'!$B$2:$H$826,4,FALSE),"")</f>
        <v>BLOK I</v>
      </c>
      <c r="F22" s="2" t="str">
        <f>IFERROR(VLOOKUP($C22,'_METADATA_TEMPLATE'!$B$2:$H$826,5,FALSE),"")</f>
        <v>6</v>
      </c>
      <c r="G22" s="2" t="str">
        <f>IFERROR(VLOOKUP($C22,'_METADATA_TEMPLATE'!$B$2:$H$826,6,FALSE),"")</f>
        <v>c. Apa alasan utama tidak memiliki NIB?</v>
      </c>
      <c r="H22" s="2" t="str">
        <f>IFERROR(VLOOKUP($C22,'_METADATA_TEMPLATE'!$B$2:$H$826,7,FALSE),"")</f>
        <v>Radio Group</v>
      </c>
      <c r="I22" s="2" t="str">
        <f>IFERROR(VLOOKUP(C22,'_METADATA_DEFAULT'!$A:$B,2,FALSE),"")</f>
        <v/>
      </c>
    </row>
    <row r="23" ht="15.75" customHeight="1">
      <c r="A23" s="3" t="s">
        <v>774</v>
      </c>
      <c r="B23" s="3" t="s">
        <v>875</v>
      </c>
      <c r="C23" s="3" t="s">
        <v>875</v>
      </c>
      <c r="D23" s="3">
        <f>IFERROR(VLOOKUP($C23,'_METADATA_TEMPLATE'!$B$2:$H$826,2,FALSE),"")</f>
        <v>27</v>
      </c>
      <c r="E23" s="3" t="str">
        <f>IFERROR(VLOOKUP($C23,'_METADATA_TEMPLATE'!$B$2:$H$826,4,FALSE),"")</f>
        <v>BLOK I</v>
      </c>
      <c r="F23" s="3" t="str">
        <f>IFERROR(VLOOKUP($C23,'_METADATA_TEMPLATE'!$B$2:$H$826,5,FALSE),"")</f>
        <v/>
      </c>
      <c r="G23" s="3" t="str">
        <f>IFERROR(VLOOKUP($C23,'_METADATA_TEMPLATE'!$B$2:$H$826,6,FALSE),"")</f>
        <v>Tuliskan alasan</v>
      </c>
      <c r="H23" s="3" t="str">
        <f>IFERROR(VLOOKUP($C23,'_METADATA_TEMPLATE'!$B$2:$H$826,7,FALSE),"")</f>
        <v>Text Input</v>
      </c>
      <c r="I23" s="3" t="str">
        <f>IFERROR(VLOOKUP(C23,'_METADATA_DEFAULT'!$A:$B,2,FALSE),"")</f>
        <v/>
      </c>
    </row>
    <row r="24" ht="15.75" customHeight="1">
      <c r="A24" s="2" t="s">
        <v>774</v>
      </c>
      <c r="B24" s="2" t="s">
        <v>389</v>
      </c>
      <c r="C24" s="2" t="s">
        <v>389</v>
      </c>
      <c r="D24" s="2">
        <f>IFERROR(VLOOKUP($C24,'_METADATA_TEMPLATE'!$B$2:$H$826,2,FALSE),"")</f>
        <v>29</v>
      </c>
      <c r="E24" s="2" t="str">
        <f>IFERROR(VLOOKUP($C24,'_METADATA_TEMPLATE'!$B$2:$H$826,4,FALSE),"")</f>
        <v>SE2026 - P</v>
      </c>
      <c r="F24" s="2" t="str">
        <f>IFERROR(VLOOKUP($C24,'_METADATA_TEMPLATE'!$B$2:$H$826,5,FALSE),"")</f>
        <v/>
      </c>
      <c r="G24" s="2" t="str">
        <f>IFERROR(VLOOKUP($C24,'_METADATA_TEMPLATE'!$B$2:$H$826,6,FALSE),"")</f>
        <v>Jenis Prelist</v>
      </c>
      <c r="H24" s="2" t="str">
        <f>IFERROR(VLOOKUP($C24,'_METADATA_TEMPLATE'!$B$2:$H$826,7,FALSE),"")</f>
        <v>Variable</v>
      </c>
      <c r="I24" s="2" t="str">
        <f>IFERROR(VLOOKUP(C24,'_METADATA_DEFAULT'!$A:$B,2,FALSE),"")</f>
        <v/>
      </c>
    </row>
    <row r="25" ht="15.75" customHeight="1">
      <c r="A25" s="3" t="s">
        <v>774</v>
      </c>
      <c r="B25" s="3" t="s">
        <v>892</v>
      </c>
      <c r="C25" s="3" t="s">
        <v>892</v>
      </c>
      <c r="D25" s="3">
        <f>IFERROR(VLOOKUP($C25,'_METADATA_TEMPLATE'!$B$2:$H$826,2,FALSE),"")</f>
        <v>32</v>
      </c>
      <c r="E25" s="3" t="str">
        <f>IFERROR(VLOOKUP($C25,'_METADATA_TEMPLATE'!$B$2:$H$826,4,FALSE),"")</f>
        <v>BLOK I</v>
      </c>
      <c r="F25" s="3" t="str">
        <f>IFERROR(VLOOKUP($C25,'_METADATA_TEMPLATE'!$B$2:$H$826,5,FALSE),"")</f>
        <v>8</v>
      </c>
      <c r="G25" s="3" t="str">
        <f>IFERROR(VLOOKUP($C25,'_METADATA_TEMPLATE'!$B$2:$H$826,6,FALSE),"")</f>
        <v>a. Nama Pengusaha/Penanggung Jawab</v>
      </c>
      <c r="H25" s="3" t="str">
        <f>IFERROR(VLOOKUP($C25,'_METADATA_TEMPLATE'!$B$2:$H$826,7,FALSE),"")</f>
        <v>Text Input</v>
      </c>
      <c r="I25" s="3" t="str">
        <f>IFERROR(VLOOKUP(C25,'_METADATA_DEFAULT'!$A:$B,2,FALSE),"")</f>
        <v/>
      </c>
    </row>
    <row r="26" ht="15.75" customHeight="1">
      <c r="A26" s="2" t="s">
        <v>774</v>
      </c>
      <c r="B26" s="2" t="s">
        <v>899</v>
      </c>
      <c r="C26" s="2" t="s">
        <v>901</v>
      </c>
      <c r="D26" s="2">
        <f>IFERROR(VLOOKUP($C26,'_METADATA_TEMPLATE'!$B$2:$H$826,2,FALSE),"")</f>
        <v>33</v>
      </c>
      <c r="E26" s="2" t="str">
        <f>IFERROR(VLOOKUP($C26,'_METADATA_TEMPLATE'!$B$2:$H$826,4,FALSE),"")</f>
        <v>BLOK I</v>
      </c>
      <c r="F26" s="2" t="str">
        <f>IFERROR(VLOOKUP($C26,'_METADATA_TEMPLATE'!$B$2:$H$826,5,FALSE),"")</f>
        <v>8</v>
      </c>
      <c r="G26" s="2" t="str">
        <f>IFERROR(VLOOKUP($C26,'_METADATA_TEMPLATE'!$B$2:$H$826,6,FALSE),"")</f>
        <v>b. Jenis Kelamin</v>
      </c>
      <c r="H26" s="2" t="str">
        <f>IFERROR(VLOOKUP($C26,'_METADATA_TEMPLATE'!$B$2:$H$826,7,FALSE),"")</f>
        <v>Radio Group</v>
      </c>
      <c r="I26" s="2" t="str">
        <f>IFERROR(VLOOKUP(C26,'_METADATA_DEFAULT'!$A:$B,2,FALSE),"")</f>
        <v/>
      </c>
    </row>
    <row r="27" ht="15.75" customHeight="1">
      <c r="A27" s="3" t="s">
        <v>774</v>
      </c>
      <c r="B27" s="3" t="s">
        <v>909</v>
      </c>
      <c r="C27" s="3" t="s">
        <v>901</v>
      </c>
      <c r="D27" s="3">
        <f>IFERROR(VLOOKUP($C27,'_METADATA_TEMPLATE'!$B$2:$H$826,2,FALSE),"")</f>
        <v>33</v>
      </c>
      <c r="E27" s="3" t="str">
        <f>IFERROR(VLOOKUP($C27,'_METADATA_TEMPLATE'!$B$2:$H$826,4,FALSE),"")</f>
        <v>BLOK I</v>
      </c>
      <c r="F27" s="3" t="str">
        <f>IFERROR(VLOOKUP($C27,'_METADATA_TEMPLATE'!$B$2:$H$826,5,FALSE),"")</f>
        <v>8</v>
      </c>
      <c r="G27" s="3" t="str">
        <f>IFERROR(VLOOKUP($C27,'_METADATA_TEMPLATE'!$B$2:$H$826,6,FALSE),"")</f>
        <v>b. Jenis Kelamin</v>
      </c>
      <c r="H27" s="3" t="str">
        <f>IFERROR(VLOOKUP($C27,'_METADATA_TEMPLATE'!$B$2:$H$826,7,FALSE),"")</f>
        <v>Radio Group</v>
      </c>
      <c r="I27" s="3" t="str">
        <f>IFERROR(VLOOKUP(C27,'_METADATA_DEFAULT'!$A:$B,2,FALSE),"")</f>
        <v/>
      </c>
    </row>
    <row r="28" ht="15.75" customHeight="1">
      <c r="A28" s="2" t="s">
        <v>774</v>
      </c>
      <c r="B28" s="2" t="s">
        <v>916</v>
      </c>
      <c r="C28" s="2" t="s">
        <v>916</v>
      </c>
      <c r="D28" s="2">
        <f>IFERROR(VLOOKUP($C28,'_METADATA_TEMPLATE'!$B$2:$H$826,2,FALSE),"")</f>
        <v>34</v>
      </c>
      <c r="E28" s="2" t="str">
        <f>IFERROR(VLOOKUP($C28,'_METADATA_TEMPLATE'!$B$2:$H$826,4,FALSE),"")</f>
        <v>BLOK I</v>
      </c>
      <c r="F28" s="2" t="str">
        <f>IFERROR(VLOOKUP($C28,'_METADATA_TEMPLATE'!$B$2:$H$826,5,FALSE),"")</f>
        <v>8</v>
      </c>
      <c r="G28" s="2" t="str">
        <f>IFERROR(VLOOKUP($C28,'_METADATA_TEMPLATE'!$B$2:$H$826,6,FALSE),"")</f>
        <v>c. Umur</v>
      </c>
      <c r="H28" s="2" t="str">
        <f>IFERROR(VLOOKUP($C28,'_METADATA_TEMPLATE'!$B$2:$H$826,7,FALSE),"")</f>
        <v>Number</v>
      </c>
      <c r="I28" s="2" t="str">
        <f>IFERROR(VLOOKUP(C28,'_METADATA_DEFAULT'!$A:$B,2,FALSE),"")</f>
        <v/>
      </c>
    </row>
    <row r="29" ht="15.75" customHeight="1">
      <c r="A29" s="3" t="s">
        <v>774</v>
      </c>
      <c r="B29" s="3" t="s">
        <v>926</v>
      </c>
      <c r="C29" s="3" t="s">
        <v>926</v>
      </c>
      <c r="D29" s="3">
        <f>IFERROR(VLOOKUP($C29,'_METADATA_TEMPLATE'!$B$2:$H$826,2,FALSE),"")</f>
        <v>35</v>
      </c>
      <c r="E29" s="3" t="str">
        <f>IFERROR(VLOOKUP($C29,'_METADATA_TEMPLATE'!$B$2:$H$826,4,FALSE),"")</f>
        <v>BLOK I</v>
      </c>
      <c r="F29" s="3" t="str">
        <f>IFERROR(VLOOKUP($C29,'_METADATA_TEMPLATE'!$B$2:$H$826,5,FALSE),"")</f>
        <v>8</v>
      </c>
      <c r="G29" s="3" t="str">
        <f>IFERROR(VLOOKUP($C29,'_METADATA_TEMPLATE'!$B$2:$H$826,6,FALSE),"")</f>
        <v>d. Nomor Induk Kependudukan (NIK)</v>
      </c>
      <c r="H29" s="3" t="str">
        <f>IFERROR(VLOOKUP($C29,'_METADATA_TEMPLATE'!$B$2:$H$826,7,FALSE),"")</f>
        <v>Text Input</v>
      </c>
      <c r="I29" s="3" t="str">
        <f>IFERROR(VLOOKUP(C29,'_METADATA_DEFAULT'!$A:$B,2,FALSE),"")</f>
        <v/>
      </c>
    </row>
    <row r="30" ht="15.75" customHeight="1">
      <c r="A30" s="2" t="s">
        <v>774</v>
      </c>
      <c r="B30" s="2" t="s">
        <v>934</v>
      </c>
      <c r="C30" s="2" t="s">
        <v>934</v>
      </c>
      <c r="D30" s="2">
        <f>IFERROR(VLOOKUP($C30,'_METADATA_TEMPLATE'!$B$2:$H$826,2,FALSE),"")</f>
        <v>51</v>
      </c>
      <c r="E30" s="2" t="str">
        <f>IFERROR(VLOOKUP($C30,'_METADATA_TEMPLATE'!$B$2:$H$826,4,FALSE),"")</f>
        <v>BLOK I</v>
      </c>
      <c r="F30" s="2" t="str">
        <f>IFERROR(VLOOKUP($C30,'_METADATA_TEMPLATE'!$B$2:$H$826,5,FALSE),"")</f>
        <v>10</v>
      </c>
      <c r="G30" s="2" t="str">
        <f>IFERROR(VLOOKUP($C30,'_METADATA_TEMPLATE'!$B$2:$H$826,6,FALSE),"")</f>
        <v>b. Berapa jumlah seluruh kantor cabang dan unit usaha yang berada di bawah kantor pusat?</v>
      </c>
      <c r="H30" s="2" t="str">
        <f>IFERROR(VLOOKUP($C30,'_METADATA_TEMPLATE'!$B$2:$H$826,7,FALSE),"")</f>
        <v>Number</v>
      </c>
      <c r="I30" s="2" t="str">
        <f>IFERROR(VLOOKUP(C30,'_METADATA_DEFAULT'!$A:$B,2,FALSE),"")</f>
        <v/>
      </c>
    </row>
    <row r="31" ht="15.75" customHeight="1">
      <c r="A31" s="3" t="s">
        <v>774</v>
      </c>
      <c r="B31" s="3" t="s">
        <v>942</v>
      </c>
      <c r="C31" s="3" t="s">
        <v>943</v>
      </c>
      <c r="D31" s="3">
        <f>IFERROR(VLOOKUP($C31,'_METADATA_TEMPLATE'!$B$2:$H$826,2,FALSE),"")</f>
        <v>69</v>
      </c>
      <c r="E31" s="3" t="str">
        <f>IFERROR(VLOOKUP($C31,'_METADATA_TEMPLATE'!$B$2:$H$826,4,FALSE),"")</f>
        <v>BLOK I</v>
      </c>
      <c r="F31" s="3" t="str">
        <f>IFERROR(VLOOKUP($C31,'_METADATA_TEMPLATE'!$B$2:$H$826,5,FALSE),"")</f>
        <v>15a</v>
      </c>
      <c r="G31" s="3" t="str">
        <f>IFERROR(VLOOKUP($C31,'_METADATA_TEMPLATE'!$B$2:$H$826,6,FALSE),"")</f>
        <v>Apakah perusahaan ini menghasilkan produk bersertifikat halal?</v>
      </c>
      <c r="H31" s="3" t="str">
        <f>IFERROR(VLOOKUP($C31,'_METADATA_TEMPLATE'!$B$2:$H$826,7,FALSE),"")</f>
        <v>Radio Group</v>
      </c>
      <c r="I31" s="3" t="str">
        <f>IFERROR(VLOOKUP(C31,'_METADATA_DEFAULT'!$A:$B,2,FALSE),"")</f>
        <v/>
      </c>
    </row>
    <row r="32" ht="15.75" customHeight="1">
      <c r="A32" s="2" t="s">
        <v>774</v>
      </c>
      <c r="B32" s="2" t="s">
        <v>950</v>
      </c>
      <c r="C32" s="2" t="s">
        <v>943</v>
      </c>
      <c r="D32" s="2">
        <f>IFERROR(VLOOKUP($C32,'_METADATA_TEMPLATE'!$B$2:$H$826,2,FALSE),"")</f>
        <v>69</v>
      </c>
      <c r="E32" s="2" t="str">
        <f>IFERROR(VLOOKUP($C32,'_METADATA_TEMPLATE'!$B$2:$H$826,4,FALSE),"")</f>
        <v>BLOK I</v>
      </c>
      <c r="F32" s="2" t="str">
        <f>IFERROR(VLOOKUP($C32,'_METADATA_TEMPLATE'!$B$2:$H$826,5,FALSE),"")</f>
        <v>15a</v>
      </c>
      <c r="G32" s="2" t="str">
        <f>IFERROR(VLOOKUP($C32,'_METADATA_TEMPLATE'!$B$2:$H$826,6,FALSE),"")</f>
        <v>Apakah perusahaan ini menghasilkan produk bersertifikat halal?</v>
      </c>
      <c r="H32" s="2" t="str">
        <f>IFERROR(VLOOKUP($C32,'_METADATA_TEMPLATE'!$B$2:$H$826,7,FALSE),"")</f>
        <v>Radio Group</v>
      </c>
      <c r="I32" s="2" t="str">
        <f>IFERROR(VLOOKUP(C32,'_METADATA_DEFAULT'!$A:$B,2,FALSE),"")</f>
        <v/>
      </c>
    </row>
    <row r="33" ht="15.75" customHeight="1">
      <c r="A33" s="3" t="s">
        <v>774</v>
      </c>
      <c r="B33" s="3" t="s">
        <v>961</v>
      </c>
      <c r="C33" s="3" t="s">
        <v>962</v>
      </c>
      <c r="D33" s="3">
        <f>IFERROR(VLOOKUP($C33,'_METADATA_TEMPLATE'!$B$2:$H$826,2,FALSE),"")</f>
        <v>77</v>
      </c>
      <c r="E33" s="3" t="str">
        <f>IFERROR(VLOOKUP($C33,'_METADATA_TEMPLATE'!$B$2:$H$826,4,FALSE),"")</f>
        <v>BLOK I</v>
      </c>
      <c r="F33" s="3" t="str">
        <f>IFERROR(VLOOKUP($C33,'_METADATA_TEMPLATE'!$B$2:$H$826,5,FALSE),"")</f>
        <v>a</v>
      </c>
      <c r="G33" s="3" t="str">
        <f>IFERROR(VLOOKUP($C33,'_METADATA_TEMPLATE'!$B$2:$H$826,6,FALSE),"")</f>
        <v>Penjualan dan/atau pembelian barang</v>
      </c>
      <c r="H33" s="3" t="str">
        <f>IFERROR(VLOOKUP($C33,'_METADATA_TEMPLATE'!$B$2:$H$826,7,FALSE),"")</f>
        <v>Radio Group</v>
      </c>
      <c r="I33" s="3" t="str">
        <f>IFERROR(VLOOKUP(C33,'_METADATA_DEFAULT'!$A:$B,2,FALSE),"")</f>
        <v/>
      </c>
    </row>
    <row r="34" ht="15.75" customHeight="1">
      <c r="A34" s="2" t="s">
        <v>774</v>
      </c>
      <c r="B34" s="2" t="s">
        <v>970</v>
      </c>
      <c r="C34" s="2" t="s">
        <v>962</v>
      </c>
      <c r="D34" s="2">
        <f>IFERROR(VLOOKUP($C34,'_METADATA_TEMPLATE'!$B$2:$H$826,2,FALSE),"")</f>
        <v>77</v>
      </c>
      <c r="E34" s="2" t="str">
        <f>IFERROR(VLOOKUP($C34,'_METADATA_TEMPLATE'!$B$2:$H$826,4,FALSE),"")</f>
        <v>BLOK I</v>
      </c>
      <c r="F34" s="2" t="str">
        <f>IFERROR(VLOOKUP($C34,'_METADATA_TEMPLATE'!$B$2:$H$826,5,FALSE),"")</f>
        <v>a</v>
      </c>
      <c r="G34" s="2" t="str">
        <f>IFERROR(VLOOKUP($C34,'_METADATA_TEMPLATE'!$B$2:$H$826,6,FALSE),"")</f>
        <v>Penjualan dan/atau pembelian barang</v>
      </c>
      <c r="H34" s="2" t="str">
        <f>IFERROR(VLOOKUP($C34,'_METADATA_TEMPLATE'!$B$2:$H$826,7,FALSE),"")</f>
        <v>Radio Group</v>
      </c>
      <c r="I34" s="2" t="str">
        <f>IFERROR(VLOOKUP(C34,'_METADATA_DEFAULT'!$A:$B,2,FALSE),"")</f>
        <v/>
      </c>
    </row>
    <row r="35" ht="15.75" customHeight="1">
      <c r="A35" s="3" t="s">
        <v>774</v>
      </c>
      <c r="B35" s="3" t="s">
        <v>976</v>
      </c>
      <c r="C35" s="3" t="s">
        <v>978</v>
      </c>
      <c r="D35" s="3">
        <f>IFERROR(VLOOKUP($C35,'_METADATA_TEMPLATE'!$B$2:$H$826,2,FALSE),"")</f>
        <v>78</v>
      </c>
      <c r="E35" s="3" t="str">
        <f>IFERROR(VLOOKUP($C35,'_METADATA_TEMPLATE'!$B$2:$H$826,4,FALSE),"")</f>
        <v>BLOK I</v>
      </c>
      <c r="F35" s="3" t="str">
        <f>IFERROR(VLOOKUP($C35,'_METADATA_TEMPLATE'!$B$2:$H$826,5,FALSE),"")</f>
        <v>b</v>
      </c>
      <c r="G35" s="3" t="str">
        <f>IFERROR(VLOOKUP($C35,'_METADATA_TEMPLATE'!$B$2:$H$826,6,FALSE),"")</f>
        <v>Penjualan jasa</v>
      </c>
      <c r="H35" s="3" t="str">
        <f>IFERROR(VLOOKUP($C35,'_METADATA_TEMPLATE'!$B$2:$H$826,7,FALSE),"")</f>
        <v>Radio Group</v>
      </c>
      <c r="I35" s="3" t="str">
        <f>IFERROR(VLOOKUP(C35,'_METADATA_DEFAULT'!$A:$B,2,FALSE),"")</f>
        <v/>
      </c>
    </row>
    <row r="36" ht="15.75" customHeight="1">
      <c r="A36" s="2" t="s">
        <v>774</v>
      </c>
      <c r="B36" s="2" t="s">
        <v>987</v>
      </c>
      <c r="C36" s="2" t="s">
        <v>978</v>
      </c>
      <c r="D36" s="2">
        <f>IFERROR(VLOOKUP($C36,'_METADATA_TEMPLATE'!$B$2:$H$826,2,FALSE),"")</f>
        <v>78</v>
      </c>
      <c r="E36" s="2" t="str">
        <f>IFERROR(VLOOKUP($C36,'_METADATA_TEMPLATE'!$B$2:$H$826,4,FALSE),"")</f>
        <v>BLOK I</v>
      </c>
      <c r="F36" s="2" t="str">
        <f>IFERROR(VLOOKUP($C36,'_METADATA_TEMPLATE'!$B$2:$H$826,5,FALSE),"")</f>
        <v>b</v>
      </c>
      <c r="G36" s="2" t="str">
        <f>IFERROR(VLOOKUP($C36,'_METADATA_TEMPLATE'!$B$2:$H$826,6,FALSE),"")</f>
        <v>Penjualan jasa</v>
      </c>
      <c r="H36" s="2" t="str">
        <f>IFERROR(VLOOKUP($C36,'_METADATA_TEMPLATE'!$B$2:$H$826,7,FALSE),"")</f>
        <v>Radio Group</v>
      </c>
      <c r="I36" s="2" t="str">
        <f>IFERROR(VLOOKUP(C36,'_METADATA_DEFAULT'!$A:$B,2,FALSE),"")</f>
        <v/>
      </c>
    </row>
    <row r="37" ht="15.75" customHeight="1">
      <c r="A37" s="3" t="s">
        <v>774</v>
      </c>
      <c r="B37" s="3" t="s">
        <v>998</v>
      </c>
      <c r="C37" s="3" t="s">
        <v>998</v>
      </c>
      <c r="D37" s="3">
        <f>IFERROR(VLOOKUP($C37,'_METADATA_TEMPLATE'!$B$2:$H$826,2,FALSE),"")</f>
        <v>81</v>
      </c>
      <c r="E37" s="3" t="str">
        <f>IFERROR(VLOOKUP($C37,'_METADATA_TEMPLATE'!$B$2:$H$826,4,FALSE),"")</f>
        <v>BLOK I</v>
      </c>
      <c r="F37" s="3" t="str">
        <f>IFERROR(VLOOKUP($C37,'_METADATA_TEMPLATE'!$B$2:$H$826,5,FALSE),"")</f>
        <v>b</v>
      </c>
      <c r="G37" s="3" t="str">
        <f>IFERROR(VLOOKUP($C37,'_METADATA_TEMPLATE'!$B$2:$H$826,6,FALSE),"")</f>
        <v>Jumlah pekerja perempuan</v>
      </c>
      <c r="H37" s="3" t="str">
        <f>IFERROR(VLOOKUP($C37,'_METADATA_TEMPLATE'!$B$2:$H$826,7,FALSE),"")</f>
        <v>Number</v>
      </c>
      <c r="I37" s="3" t="str">
        <f>IFERROR(VLOOKUP(C37,'_METADATA_DEFAULT'!$A:$B,2,FALSE),"")</f>
        <v/>
      </c>
    </row>
    <row r="38" ht="15.75" customHeight="1">
      <c r="A38" s="2" t="s">
        <v>774</v>
      </c>
      <c r="B38" s="2" t="s">
        <v>1009</v>
      </c>
      <c r="C38" s="2" t="s">
        <v>1009</v>
      </c>
      <c r="D38" s="2">
        <f>IFERROR(VLOOKUP($C38,'_METADATA_TEMPLATE'!$B$2:$H$826,2,FALSE),"")</f>
        <v>82</v>
      </c>
      <c r="E38" s="2" t="str">
        <f>IFERROR(VLOOKUP($C38,'_METADATA_TEMPLATE'!$B$2:$H$826,4,FALSE),"")</f>
        <v>BLOK I</v>
      </c>
      <c r="F38" s="2" t="str">
        <f>IFERROR(VLOOKUP($C38,'_METADATA_TEMPLATE'!$B$2:$H$826,5,FALSE),"")</f>
        <v>c</v>
      </c>
      <c r="G38" s="2" t="str">
        <f>IFERROR(VLOOKUP($C38,'_METADATA_TEMPLATE'!$B$2:$H$826,6,FALSE),"")</f>
        <v>Total pekerja (a+b)</v>
      </c>
      <c r="H38" s="2" t="str">
        <f>IFERROR(VLOOKUP($C38,'_METADATA_TEMPLATE'!$B$2:$H$826,7,FALSE),"")</f>
        <v>Variable</v>
      </c>
      <c r="I38" s="2" t="str">
        <f>IFERROR(VLOOKUP(C38,'_METADATA_DEFAULT'!$A:$B,2,FALSE),"")</f>
        <v/>
      </c>
    </row>
    <row r="39" ht="15.75" customHeight="1">
      <c r="A39" s="3" t="s">
        <v>774</v>
      </c>
      <c r="B39" s="3" t="s">
        <v>1020</v>
      </c>
      <c r="C39" s="3" t="s">
        <v>1020</v>
      </c>
      <c r="D39" s="3">
        <f>IFERROR(VLOOKUP($C39,'_METADATA_TEMPLATE'!$B$2:$H$826,2,FALSE),"")</f>
        <v>83</v>
      </c>
      <c r="E39" s="3" t="str">
        <f>IFERROR(VLOOKUP($C39,'_METADATA_TEMPLATE'!$B$2:$H$826,4,FALSE),"")</f>
        <v>BLOK I</v>
      </c>
      <c r="F39" s="3" t="str">
        <f>IFERROR(VLOOKUP($C39,'_METADATA_TEMPLATE'!$B$2:$H$826,5,FALSE),"")</f>
        <v/>
      </c>
      <c r="G39" s="3" t="str">
        <f>IFERROR(VLOOKUP($C39,'_METADATA_TEMPLATE'!$B$2:$H$826,6,FALSE),"")</f>
        <v>Cek Rincian Pekerja (Diisi oleh PML)</v>
      </c>
      <c r="H39" s="3" t="str">
        <f>IFERROR(VLOOKUP($C39,'_METADATA_TEMPLATE'!$B$2:$H$826,7,FALSE),"")</f>
        <v>Checkbox</v>
      </c>
      <c r="I39" s="3" t="str">
        <f>IFERROR(VLOOKUP(C39,'_METADATA_DEFAULT'!$A:$B,2,FALSE),"")</f>
        <v/>
      </c>
    </row>
    <row r="40" ht="15.75" customHeight="1">
      <c r="A40" s="2" t="s">
        <v>774</v>
      </c>
      <c r="B40" s="2" t="s">
        <v>1031</v>
      </c>
      <c r="C40" s="2" t="s">
        <v>1031</v>
      </c>
      <c r="D40" s="2">
        <f>IFERROR(VLOOKUP($C40,'_METADATA_TEMPLATE'!$B$2:$H$826,2,FALSE),"")</f>
        <v>91</v>
      </c>
      <c r="E40" s="2" t="str">
        <f>IFERROR(VLOOKUP($C40,'_METADATA_TEMPLATE'!$B$2:$H$826,4,FALSE),"")</f>
        <v>BLOK I</v>
      </c>
      <c r="F40" s="2" t="str">
        <f>IFERROR(VLOOKUP($C40,'_METADATA_TEMPLATE'!$B$2:$H$826,5,FALSE),"")</f>
        <v/>
      </c>
      <c r="G40" s="2" t="str">
        <f>IFERROR(VLOOKUP($C40,'_METADATA_TEMPLATE'!$B$2:$H$826,6,FALSE),"")</f>
        <v>Cek Rincian Pengeluaran 2025 (Diisi oleh PML)</v>
      </c>
      <c r="H40" s="2" t="str">
        <f>IFERROR(VLOOKUP($C40,'_METADATA_TEMPLATE'!$B$2:$H$826,7,FALSE),"")</f>
        <v>Checkbox</v>
      </c>
      <c r="I40" s="2" t="str">
        <f>IFERROR(VLOOKUP(C40,'_METADATA_DEFAULT'!$A:$B,2,FALSE),"")</f>
        <v/>
      </c>
    </row>
    <row r="41" ht="15.75" customHeight="1">
      <c r="A41" s="3" t="s">
        <v>774</v>
      </c>
      <c r="B41" s="3" t="s">
        <v>1037</v>
      </c>
      <c r="C41" s="3" t="s">
        <v>1037</v>
      </c>
      <c r="D41" s="3">
        <f>IFERROR(VLOOKUP($C41,'_METADATA_TEMPLATE'!$B$2:$H$826,2,FALSE),"")</f>
        <v>95</v>
      </c>
      <c r="E41" s="3" t="str">
        <f>IFERROR(VLOOKUP($C41,'_METADATA_TEMPLATE'!$B$2:$H$826,4,FALSE),"")</f>
        <v>BLOK I</v>
      </c>
      <c r="F41" s="3" t="str">
        <f>IFERROR(VLOOKUP($C41,'_METADATA_TEMPLATE'!$B$2:$H$826,5,FALSE),"")</f>
        <v>d</v>
      </c>
      <c r="G41" s="3" t="str">
        <f>IFERROR(VLOOKUP($C41,'_METADATA_TEMPLATE'!$B$2:$H$826,6,FALSE),"")</f>
        <v>Berapa persentase pendapatan yang diperoleh dari usaha online ?</v>
      </c>
      <c r="H41" s="3" t="str">
        <f>IFERROR(VLOOKUP($C41,'_METADATA_TEMPLATE'!$B$2:$H$826,7,FALSE),"")</f>
        <v>DecimalInput</v>
      </c>
      <c r="I41" s="3" t="str">
        <f>IFERROR(VLOOKUP(C41,'_METADATA_DEFAULT'!$A:$B,2,FALSE),"")</f>
        <v/>
      </c>
    </row>
    <row r="42" ht="15.75" customHeight="1">
      <c r="A42" s="2" t="s">
        <v>774</v>
      </c>
      <c r="B42" s="2" t="s">
        <v>1042</v>
      </c>
      <c r="C42" s="2" t="s">
        <v>1042</v>
      </c>
      <c r="D42" s="2">
        <f>IFERROR(VLOOKUP($C42,'_METADATA_TEMPLATE'!$B$2:$H$826,2,FALSE),"")</f>
        <v>96</v>
      </c>
      <c r="E42" s="2" t="str">
        <f>IFERROR(VLOOKUP($C42,'_METADATA_TEMPLATE'!$B$2:$H$826,4,FALSE),"")</f>
        <v>BLOK I</v>
      </c>
      <c r="F42" s="2" t="str">
        <f>IFERROR(VLOOKUP($C42,'_METADATA_TEMPLATE'!$B$2:$H$826,5,FALSE),"")</f>
        <v/>
      </c>
      <c r="G42" s="2" t="str">
        <f>IFERROR(VLOOKUP($C42,'_METADATA_TEMPLATE'!$B$2:$H$826,6,FALSE),"")</f>
        <v>Cek Rincian Pendapatan di satu bulan terakhir (Diisi oleh PML)</v>
      </c>
      <c r="H42" s="2" t="str">
        <f>IFERROR(VLOOKUP($C42,'_METADATA_TEMPLATE'!$B$2:$H$826,7,FALSE),"")</f>
        <v>Checkbox</v>
      </c>
      <c r="I42" s="2" t="str">
        <f>IFERROR(VLOOKUP(C42,'_METADATA_DEFAULT'!$A:$B,2,FALSE),"")</f>
        <v/>
      </c>
    </row>
    <row r="43" ht="15.75" customHeight="1">
      <c r="A43" s="3" t="s">
        <v>774</v>
      </c>
      <c r="B43" s="3" t="s">
        <v>1048</v>
      </c>
      <c r="C43" s="3" t="s">
        <v>1048</v>
      </c>
      <c r="D43" s="3">
        <f>IFERROR(VLOOKUP($C43,'_METADATA_TEMPLATE'!$B$2:$H$826,2,FALSE),"")</f>
        <v>97</v>
      </c>
      <c r="E43" s="3" t="str">
        <f>IFERROR(VLOOKUP($C43,'_METADATA_TEMPLATE'!$B$2:$H$826,4,FALSE),"")</f>
        <v>BLOK I</v>
      </c>
      <c r="F43" s="3" t="str">
        <f>IFERROR(VLOOKUP($C43,'_METADATA_TEMPLATE'!$B$2:$H$826,5,FALSE),"")</f>
        <v>a</v>
      </c>
      <c r="G43" s="3" t="str">
        <f>IFERROR(VLOOKUP($C43,'_METADATA_TEMPLATE'!$B$2:$H$826,6,FALSE),"")</f>
        <v>Nilai aset tanah dan bangunan pada 31 Desember 2025</v>
      </c>
      <c r="H43" s="3" t="str">
        <f>IFERROR(VLOOKUP($C43,'_METADATA_TEMPLATE'!$B$2:$H$826,7,FALSE),"")</f>
        <v>Currency</v>
      </c>
      <c r="I43" s="3" t="str">
        <f>IFERROR(VLOOKUP(C43,'_METADATA_DEFAULT'!$A:$B,2,FALSE),"")</f>
        <v/>
      </c>
    </row>
    <row r="44" ht="15.75" customHeight="1">
      <c r="A44" s="2" t="s">
        <v>774</v>
      </c>
      <c r="B44" s="2" t="s">
        <v>1058</v>
      </c>
      <c r="C44" s="2" t="s">
        <v>1058</v>
      </c>
      <c r="D44" s="2">
        <f>IFERROR(VLOOKUP($C44,'_METADATA_TEMPLATE'!$B$2:$H$826,2,FALSE),"")</f>
        <v>98</v>
      </c>
      <c r="E44" s="2" t="str">
        <f>IFERROR(VLOOKUP($C44,'_METADATA_TEMPLATE'!$B$2:$H$826,4,FALSE),"")</f>
        <v>BLOK I</v>
      </c>
      <c r="F44" s="2" t="str">
        <f>IFERROR(VLOOKUP($C44,'_METADATA_TEMPLATE'!$B$2:$H$826,5,FALSE),"")</f>
        <v>b</v>
      </c>
      <c r="G44" s="2" t="str">
        <f>IFERROR(VLOOKUP($C44,'_METADATA_TEMPLATE'!$B$2:$H$826,6,FALSE),"")</f>
        <v>Nilai aset selain tanah dan bangunan pada 31 Desember 2025</v>
      </c>
      <c r="H44" s="2" t="str">
        <f>IFERROR(VLOOKUP($C44,'_METADATA_TEMPLATE'!$B$2:$H$826,7,FALSE),"")</f>
        <v>Currency</v>
      </c>
      <c r="I44" s="2" t="str">
        <f>IFERROR(VLOOKUP(C44,'_METADATA_DEFAULT'!$A:$B,2,FALSE),"")</f>
        <v/>
      </c>
    </row>
    <row r="45" ht="15.75" customHeight="1">
      <c r="A45" s="3" t="s">
        <v>774</v>
      </c>
      <c r="B45" s="3" t="s">
        <v>1063</v>
      </c>
      <c r="C45" s="3" t="s">
        <v>1063</v>
      </c>
      <c r="D45" s="3">
        <f>IFERROR(VLOOKUP($C45,'_METADATA_TEMPLATE'!$B$2:$H$826,2,FALSE),"")</f>
        <v>99</v>
      </c>
      <c r="E45" s="3" t="str">
        <f>IFERROR(VLOOKUP($C45,'_METADATA_TEMPLATE'!$B$2:$H$826,4,FALSE),"")</f>
        <v>BLOK I</v>
      </c>
      <c r="F45" s="3" t="str">
        <f>IFERROR(VLOOKUP($C45,'_METADATA_TEMPLATE'!$B$2:$H$826,5,FALSE),"")</f>
        <v>c</v>
      </c>
      <c r="G45" s="3" t="str">
        <f>IFERROR(VLOOKUP($C45,'_METADATA_TEMPLATE'!$B$2:$H$826,6,FALSE),"")</f>
        <v>Nilai total aset pada 31 Desember 2025</v>
      </c>
      <c r="H45" s="3" t="str">
        <f>IFERROR(VLOOKUP($C45,'_METADATA_TEMPLATE'!$B$2:$H$826,7,FALSE),"")</f>
        <v>Currency</v>
      </c>
      <c r="I45" s="3" t="str">
        <f>IFERROR(VLOOKUP(C45,'_METADATA_DEFAULT'!$A:$B,2,FALSE),"")</f>
        <v/>
      </c>
    </row>
    <row r="46" ht="15.75" customHeight="1">
      <c r="A46" s="2" t="s">
        <v>774</v>
      </c>
      <c r="B46" s="2" t="s">
        <v>1072</v>
      </c>
      <c r="C46" s="2" t="s">
        <v>1074</v>
      </c>
      <c r="D46" s="2">
        <f>IFERROR(VLOOKUP($C46,'_METADATA_TEMPLATE'!$B$2:$H$826,2,FALSE),"")</f>
        <v>100</v>
      </c>
      <c r="E46" s="2" t="str">
        <f>IFERROR(VLOOKUP($C46,'_METADATA_TEMPLATE'!$B$2:$H$826,4,FALSE),"")</f>
        <v>BLOK I</v>
      </c>
      <c r="F46" s="2" t="str">
        <f>IFERROR(VLOOKUP($C46,'_METADATA_TEMPLATE'!$B$2:$H$826,5,FALSE),"")</f>
        <v>c1</v>
      </c>
      <c r="G46" s="2" t="str">
        <f>IFERROR(VLOOKUP($C46,'_METADATA_TEMPLATE'!$B$2:$H$826,6,FALSE),"")</f>
        <v>Jika tidak dapat mengisikan nilai nominal, pilih nilai total aset dalam rentang berikut:</v>
      </c>
      <c r="H46" s="2" t="str">
        <f>IFERROR(VLOOKUP($C46,'_METADATA_TEMPLATE'!$B$2:$H$826,7,FALSE),"")</f>
        <v>Radio Group</v>
      </c>
      <c r="I46" s="2" t="str">
        <f>IFERROR(VLOOKUP(C46,'_METADATA_DEFAULT'!$A:$B,2,FALSE),"")</f>
        <v/>
      </c>
    </row>
    <row r="47" ht="15.75" customHeight="1">
      <c r="A47" s="3" t="s">
        <v>774</v>
      </c>
      <c r="B47" s="3" t="s">
        <v>1083</v>
      </c>
      <c r="C47" s="3" t="s">
        <v>1074</v>
      </c>
      <c r="D47" s="3">
        <f>IFERROR(VLOOKUP($C47,'_METADATA_TEMPLATE'!$B$2:$H$826,2,FALSE),"")</f>
        <v>100</v>
      </c>
      <c r="E47" s="3" t="str">
        <f>IFERROR(VLOOKUP($C47,'_METADATA_TEMPLATE'!$B$2:$H$826,4,FALSE),"")</f>
        <v>BLOK I</v>
      </c>
      <c r="F47" s="3" t="str">
        <f>IFERROR(VLOOKUP($C47,'_METADATA_TEMPLATE'!$B$2:$H$826,5,FALSE),"")</f>
        <v>c1</v>
      </c>
      <c r="G47" s="3" t="str">
        <f>IFERROR(VLOOKUP($C47,'_METADATA_TEMPLATE'!$B$2:$H$826,6,FALSE),"")</f>
        <v>Jika tidak dapat mengisikan nilai nominal, pilih nilai total aset dalam rentang berikut:</v>
      </c>
      <c r="H47" s="3" t="str">
        <f>IFERROR(VLOOKUP($C47,'_METADATA_TEMPLATE'!$B$2:$H$826,7,FALSE),"")</f>
        <v>Radio Group</v>
      </c>
      <c r="I47" s="3" t="str">
        <f>IFERROR(VLOOKUP(C47,'_METADATA_DEFAULT'!$A:$B,2,FALSE),"")</f>
        <v/>
      </c>
    </row>
    <row r="48" ht="15.75" customHeight="1">
      <c r="A48" s="2" t="s">
        <v>774</v>
      </c>
      <c r="B48" s="2" t="s">
        <v>1091</v>
      </c>
      <c r="C48" s="2" t="s">
        <v>1091</v>
      </c>
      <c r="D48" s="2">
        <f>IFERROR(VLOOKUP($C48,'_METADATA_TEMPLATE'!$B$2:$H$826,2,FALSE),"")</f>
        <v>101</v>
      </c>
      <c r="E48" s="2" t="str">
        <f>IFERROR(VLOOKUP($C48,'_METADATA_TEMPLATE'!$B$2:$H$826,4,FALSE),"")</f>
        <v>BLOK I</v>
      </c>
      <c r="F48" s="2" t="str">
        <f>IFERROR(VLOOKUP($C48,'_METADATA_TEMPLATE'!$B$2:$H$826,5,FALSE),"")</f>
        <v>d</v>
      </c>
      <c r="G48" s="2" t="str">
        <f>IFERROR(VLOOKUP($C48,'_METADATA_TEMPLATE'!$B$2:$H$826,6,FALSE),"")</f>
        <v>Berapa luas tanah yang dikuasai dan digunakan untuk kegiatan usaha pada 31 Desember 2025 (m 2 ) ?</v>
      </c>
      <c r="H48" s="2" t="str">
        <f>IFERROR(VLOOKUP($C48,'_METADATA_TEMPLATE'!$B$2:$H$826,7,FALSE),"")</f>
        <v>Number</v>
      </c>
      <c r="I48" s="2" t="str">
        <f>IFERROR(VLOOKUP(C48,'_METADATA_DEFAULT'!$A:$B,2,FALSE),"")</f>
        <v/>
      </c>
    </row>
    <row r="49" ht="15.75" customHeight="1">
      <c r="A49" s="3" t="s">
        <v>774</v>
      </c>
      <c r="B49" s="3" t="s">
        <v>1100</v>
      </c>
      <c r="C49" s="3" t="s">
        <v>1100</v>
      </c>
      <c r="D49" s="3">
        <f>IFERROR(VLOOKUP($C49,'_METADATA_TEMPLATE'!$B$2:$H$826,2,FALSE),"")</f>
        <v>102</v>
      </c>
      <c r="E49" s="3" t="str">
        <f>IFERROR(VLOOKUP($C49,'_METADATA_TEMPLATE'!$B$2:$H$826,4,FALSE),"")</f>
        <v>BLOK I</v>
      </c>
      <c r="F49" s="3" t="str">
        <f>IFERROR(VLOOKUP($C49,'_METADATA_TEMPLATE'!$B$2:$H$826,5,FALSE),"")</f>
        <v/>
      </c>
      <c r="G49" s="3" t="str">
        <f>IFERROR(VLOOKUP($C49,'_METADATA_TEMPLATE'!$B$2:$H$826,6,FALSE),"")</f>
        <v>Cek Rincian aset pada akhir bulan yang lalu (Diisi oleh PML)</v>
      </c>
      <c r="H49" s="3" t="str">
        <f>IFERROR(VLOOKUP($C49,'_METADATA_TEMPLATE'!$B$2:$H$826,7,FALSE),"")</f>
        <v>Checkbox</v>
      </c>
      <c r="I49" s="3" t="str">
        <f>IFERROR(VLOOKUP(C49,'_METADATA_DEFAULT'!$A:$B,2,FALSE),"")</f>
        <v/>
      </c>
    </row>
    <row r="50" ht="15.75" customHeight="1">
      <c r="A50" s="2" t="s">
        <v>774</v>
      </c>
      <c r="B50" s="2" t="s">
        <v>1108</v>
      </c>
      <c r="C50" s="2" t="s">
        <v>1108</v>
      </c>
      <c r="D50" s="2">
        <f>IFERROR(VLOOKUP($C50,'_METADATA_TEMPLATE'!$B$2:$H$826,2,FALSE),"")</f>
        <v>103</v>
      </c>
      <c r="E50" s="2" t="str">
        <f>IFERROR(VLOOKUP($C50,'_METADATA_TEMPLATE'!$B$2:$H$826,4,FALSE),"")</f>
        <v>BLOK I</v>
      </c>
      <c r="F50" s="2" t="str">
        <f>IFERROR(VLOOKUP($C50,'_METADATA_TEMPLATE'!$B$2:$H$826,5,FALSE),"")</f>
        <v>a</v>
      </c>
      <c r="G50" s="2" t="str">
        <f>IFERROR(VLOOKUP($C50,'_METADATA_TEMPLATE'!$B$2:$H$826,6,FALSE),"")</f>
        <v>Pribadi/Perorangan (%)</v>
      </c>
      <c r="H50" s="2" t="str">
        <f>IFERROR(VLOOKUP($C50,'_METADATA_TEMPLATE'!$B$2:$H$826,7,FALSE),"")</f>
        <v>DecimalInput</v>
      </c>
      <c r="I50" s="2" t="str">
        <f>IFERROR(VLOOKUP(C50,'_METADATA_DEFAULT'!$A:$B,2,FALSE),"")</f>
        <v/>
      </c>
    </row>
    <row r="51" ht="15.75" customHeight="1">
      <c r="A51" s="3" t="s">
        <v>774</v>
      </c>
      <c r="B51" s="3" t="s">
        <v>1113</v>
      </c>
      <c r="C51" s="3" t="s">
        <v>381</v>
      </c>
      <c r="D51" s="3">
        <f>IFERROR(VLOOKUP($C51,'_METADATA_TEMPLATE'!$B$2:$H$826,2,FALSE),"")</f>
        <v>106</v>
      </c>
      <c r="E51" s="3" t="str">
        <f>IFERROR(VLOOKUP($C51,'_METADATA_TEMPLATE'!$B$2:$H$826,4,FALSE),"")</f>
        <v>SE2026 - L BLOK II</v>
      </c>
      <c r="F51" s="3" t="str">
        <f>IFERROR(VLOOKUP($C51,'_METADATA_TEMPLATE'!$B$2:$H$826,5,FALSE),"")</f>
        <v>1</v>
      </c>
      <c r="G51" s="3" t="str">
        <f>IFERROR(VLOOKUP($C51,'_METADATA_TEMPLATE'!$B$2:$H$826,6,FALSE),"")</f>
        <v>Provinsi</v>
      </c>
      <c r="H51" s="3" t="str">
        <f>IFERROR(VLOOKUP($C51,'_METADATA_TEMPLATE'!$B$2:$H$826,7,FALSE),"")</f>
        <v>Variable</v>
      </c>
      <c r="I51" s="3" t="str">
        <f>IFERROR(VLOOKUP(C51,'_METADATA_DEFAULT'!$A:$B,2,FALSE),"")</f>
        <v/>
      </c>
    </row>
    <row r="52" ht="15.75" customHeight="1">
      <c r="A52" s="2" t="s">
        <v>774</v>
      </c>
      <c r="B52" s="2" t="s">
        <v>1120</v>
      </c>
      <c r="C52" s="2" t="s">
        <v>381</v>
      </c>
      <c r="D52" s="2">
        <f>IFERROR(VLOOKUP($C52,'_METADATA_TEMPLATE'!$B$2:$H$826,2,FALSE),"")</f>
        <v>106</v>
      </c>
      <c r="E52" s="2" t="str">
        <f>IFERROR(VLOOKUP($C52,'_METADATA_TEMPLATE'!$B$2:$H$826,4,FALSE),"")</f>
        <v>SE2026 - L BLOK II</v>
      </c>
      <c r="F52" s="2" t="str">
        <f>IFERROR(VLOOKUP($C52,'_METADATA_TEMPLATE'!$B$2:$H$826,5,FALSE),"")</f>
        <v>1</v>
      </c>
      <c r="G52" s="2" t="str">
        <f>IFERROR(VLOOKUP($C52,'_METADATA_TEMPLATE'!$B$2:$H$826,6,FALSE),"")</f>
        <v>Provinsi</v>
      </c>
      <c r="H52" s="2" t="str">
        <f>IFERROR(VLOOKUP($C52,'_METADATA_TEMPLATE'!$B$2:$H$826,7,FALSE),"")</f>
        <v>Variable</v>
      </c>
      <c r="I52" s="2" t="str">
        <f>IFERROR(VLOOKUP(C52,'_METADATA_DEFAULT'!$A:$B,2,FALSE),"")</f>
        <v/>
      </c>
    </row>
    <row r="53" ht="15.75" customHeight="1">
      <c r="A53" s="3" t="s">
        <v>774</v>
      </c>
      <c r="B53" s="3" t="s">
        <v>1126</v>
      </c>
      <c r="C53" s="3" t="s">
        <v>383</v>
      </c>
      <c r="D53" s="3">
        <f>IFERROR(VLOOKUP($C53,'_METADATA_TEMPLATE'!$B$2:$H$826,2,FALSE),"")</f>
        <v>107</v>
      </c>
      <c r="E53" s="3" t="str">
        <f>IFERROR(VLOOKUP($C53,'_METADATA_TEMPLATE'!$B$2:$H$826,4,FALSE),"")</f>
        <v>SE2026 - L BLOK II</v>
      </c>
      <c r="F53" s="3" t="str">
        <f>IFERROR(VLOOKUP($C53,'_METADATA_TEMPLATE'!$B$2:$H$826,5,FALSE),"")</f>
        <v>2</v>
      </c>
      <c r="G53" s="3" t="str">
        <f>IFERROR(VLOOKUP($C53,'_METADATA_TEMPLATE'!$B$2:$H$826,6,FALSE),"")</f>
        <v>Kabupaten/Kota</v>
      </c>
      <c r="H53" s="3" t="str">
        <f>IFERROR(VLOOKUP($C53,'_METADATA_TEMPLATE'!$B$2:$H$826,7,FALSE),"")</f>
        <v>Variable</v>
      </c>
      <c r="I53" s="3" t="str">
        <f>IFERROR(VLOOKUP(C53,'_METADATA_DEFAULT'!$A:$B,2,FALSE),"")</f>
        <v/>
      </c>
    </row>
    <row r="54" ht="15.75" customHeight="1">
      <c r="A54" s="2" t="s">
        <v>774</v>
      </c>
      <c r="B54" s="2" t="s">
        <v>1135</v>
      </c>
      <c r="C54" s="2" t="s">
        <v>383</v>
      </c>
      <c r="D54" s="2">
        <f>IFERROR(VLOOKUP($C54,'_METADATA_TEMPLATE'!$B$2:$H$826,2,FALSE),"")</f>
        <v>107</v>
      </c>
      <c r="E54" s="2" t="str">
        <f>IFERROR(VLOOKUP($C54,'_METADATA_TEMPLATE'!$B$2:$H$826,4,FALSE),"")</f>
        <v>SE2026 - L BLOK II</v>
      </c>
      <c r="F54" s="2" t="str">
        <f>IFERROR(VLOOKUP($C54,'_METADATA_TEMPLATE'!$B$2:$H$826,5,FALSE),"")</f>
        <v>2</v>
      </c>
      <c r="G54" s="2" t="str">
        <f>IFERROR(VLOOKUP($C54,'_METADATA_TEMPLATE'!$B$2:$H$826,6,FALSE),"")</f>
        <v>Kabupaten/Kota</v>
      </c>
      <c r="H54" s="2" t="str">
        <f>IFERROR(VLOOKUP($C54,'_METADATA_TEMPLATE'!$B$2:$H$826,7,FALSE),"")</f>
        <v>Variable</v>
      </c>
      <c r="I54" s="2" t="str">
        <f>IFERROR(VLOOKUP(C54,'_METADATA_DEFAULT'!$A:$B,2,FALSE),"")</f>
        <v/>
      </c>
    </row>
    <row r="55" ht="15.75" customHeight="1">
      <c r="A55" s="3" t="s">
        <v>774</v>
      </c>
      <c r="B55" s="3" t="s">
        <v>1141</v>
      </c>
      <c r="C55" s="3" t="s">
        <v>1141</v>
      </c>
      <c r="D55" s="3">
        <f>IFERROR(VLOOKUP($C55,'_METADATA_TEMPLATE'!$B$2:$H$826,2,FALSE),"")</f>
        <v>109</v>
      </c>
      <c r="E55" s="3" t="str">
        <f>IFERROR(VLOOKUP($C55,'_METADATA_TEMPLATE'!$B$2:$H$826,4,FALSE),"")</f>
        <v>BLOK I</v>
      </c>
      <c r="F55" s="3" t="str">
        <f>IFERROR(VLOOKUP($C55,'_METADATA_TEMPLATE'!$B$2:$H$826,5,FALSE),"")</f>
        <v>g</v>
      </c>
      <c r="G55" s="3" t="str">
        <f>IFERROR(VLOOKUP($C55,'_METADATA_TEMPLATE'!$B$2:$H$826,6,FALSE),"")</f>
        <v>Total (a+b+c+d+e+f)</v>
      </c>
      <c r="H55" s="3" t="str">
        <f>IFERROR(VLOOKUP($C55,'_METADATA_TEMPLATE'!$B$2:$H$826,7,FALSE),"")</f>
        <v>DecimalInput</v>
      </c>
      <c r="I55" s="3" t="str">
        <f>IFERROR(VLOOKUP(C55,'_METADATA_DEFAULT'!$A:$B,2,FALSE),"")</f>
        <v/>
      </c>
    </row>
    <row r="56" ht="15.75" customHeight="1">
      <c r="A56" s="2" t="s">
        <v>774</v>
      </c>
      <c r="B56" s="2" t="s">
        <v>1148</v>
      </c>
      <c r="C56" s="2" t="s">
        <v>386</v>
      </c>
      <c r="D56" s="2">
        <f>IFERROR(VLOOKUP($C56,'_METADATA_TEMPLATE'!$B$2:$H$826,2,FALSE),"")</f>
        <v>110</v>
      </c>
      <c r="E56" s="2" t="str">
        <f>IFERROR(VLOOKUP($C56,'_METADATA_TEMPLATE'!$B$2:$H$826,4,FALSE),"")</f>
        <v>SE2026 - L BLOK II</v>
      </c>
      <c r="F56" s="2" t="str">
        <f>IFERROR(VLOOKUP($C56,'_METADATA_TEMPLATE'!$B$2:$H$826,5,FALSE),"")</f>
        <v>3</v>
      </c>
      <c r="G56" s="2" t="str">
        <f>IFERROR(VLOOKUP($C56,'_METADATA_TEMPLATE'!$B$2:$H$826,6,FALSE),"")</f>
        <v>Kecamatan</v>
      </c>
      <c r="H56" s="2" t="str">
        <f>IFERROR(VLOOKUP($C56,'_METADATA_TEMPLATE'!$B$2:$H$826,7,FALSE),"")</f>
        <v>Variable</v>
      </c>
      <c r="I56" s="2" t="str">
        <f>IFERROR(VLOOKUP(C56,'_METADATA_DEFAULT'!$A:$B,2,FALSE),"")</f>
        <v/>
      </c>
    </row>
    <row r="57" ht="15.75" customHeight="1">
      <c r="A57" s="3" t="s">
        <v>774</v>
      </c>
      <c r="B57" s="3" t="s">
        <v>1156</v>
      </c>
      <c r="C57" s="3" t="s">
        <v>386</v>
      </c>
      <c r="D57" s="3">
        <f>IFERROR(VLOOKUP($C57,'_METADATA_TEMPLATE'!$B$2:$H$826,2,FALSE),"")</f>
        <v>110</v>
      </c>
      <c r="E57" s="3" t="str">
        <f>IFERROR(VLOOKUP($C57,'_METADATA_TEMPLATE'!$B$2:$H$826,4,FALSE),"")</f>
        <v>SE2026 - L BLOK II</v>
      </c>
      <c r="F57" s="3" t="str">
        <f>IFERROR(VLOOKUP($C57,'_METADATA_TEMPLATE'!$B$2:$H$826,5,FALSE),"")</f>
        <v>3</v>
      </c>
      <c r="G57" s="3" t="str">
        <f>IFERROR(VLOOKUP($C57,'_METADATA_TEMPLATE'!$B$2:$H$826,6,FALSE),"")</f>
        <v>Kecamatan</v>
      </c>
      <c r="H57" s="3" t="str">
        <f>IFERROR(VLOOKUP($C57,'_METADATA_TEMPLATE'!$B$2:$H$826,7,FALSE),"")</f>
        <v>Variable</v>
      </c>
      <c r="I57" s="3" t="str">
        <f>IFERROR(VLOOKUP(C57,'_METADATA_DEFAULT'!$A:$B,2,FALSE),"")</f>
        <v/>
      </c>
    </row>
    <row r="58" ht="15.75" customHeight="1">
      <c r="A58" s="2" t="s">
        <v>774</v>
      </c>
      <c r="B58" s="2" t="s">
        <v>1163</v>
      </c>
      <c r="C58" s="2" t="s">
        <v>388</v>
      </c>
      <c r="D58" s="2">
        <f>IFERROR(VLOOKUP($C58,'_METADATA_TEMPLATE'!$B$2:$H$826,2,FALSE),"")</f>
        <v>112</v>
      </c>
      <c r="E58" s="2" t="str">
        <f>IFERROR(VLOOKUP($C58,'_METADATA_TEMPLATE'!$B$2:$H$826,4,FALSE),"")</f>
        <v>SE2026 - L BLOK II</v>
      </c>
      <c r="F58" s="2" t="str">
        <f>IFERROR(VLOOKUP($C58,'_METADATA_TEMPLATE'!$B$2:$H$826,5,FALSE),"")</f>
        <v>4</v>
      </c>
      <c r="G58" s="2" t="str">
        <f>IFERROR(VLOOKUP($C58,'_METADATA_TEMPLATE'!$B$2:$H$826,6,FALSE),"")</f>
        <v>Kelurahan/Desa/Nagari</v>
      </c>
      <c r="H58" s="2" t="str">
        <f>IFERROR(VLOOKUP($C58,'_METADATA_TEMPLATE'!$B$2:$H$826,7,FALSE),"")</f>
        <v>Variable</v>
      </c>
      <c r="I58" s="2" t="str">
        <f>IFERROR(VLOOKUP(C58,'_METADATA_DEFAULT'!$A:$B,2,FALSE),"")</f>
        <v/>
      </c>
    </row>
    <row r="59" ht="15.75" customHeight="1">
      <c r="A59" s="3" t="s">
        <v>774</v>
      </c>
      <c r="B59" s="3" t="s">
        <v>1172</v>
      </c>
      <c r="C59" s="3" t="s">
        <v>388</v>
      </c>
      <c r="D59" s="3">
        <f>IFERROR(VLOOKUP($C59,'_METADATA_TEMPLATE'!$B$2:$H$826,2,FALSE),"")</f>
        <v>112</v>
      </c>
      <c r="E59" s="3" t="str">
        <f>IFERROR(VLOOKUP($C59,'_METADATA_TEMPLATE'!$B$2:$H$826,4,FALSE),"")</f>
        <v>SE2026 - L BLOK II</v>
      </c>
      <c r="F59" s="3" t="str">
        <f>IFERROR(VLOOKUP($C59,'_METADATA_TEMPLATE'!$B$2:$H$826,5,FALSE),"")</f>
        <v>4</v>
      </c>
      <c r="G59" s="3" t="str">
        <f>IFERROR(VLOOKUP($C59,'_METADATA_TEMPLATE'!$B$2:$H$826,6,FALSE),"")</f>
        <v>Kelurahan/Desa/Nagari</v>
      </c>
      <c r="H59" s="3" t="str">
        <f>IFERROR(VLOOKUP($C59,'_METADATA_TEMPLATE'!$B$2:$H$826,7,FALSE),"")</f>
        <v>Variable</v>
      </c>
      <c r="I59" s="3" t="str">
        <f>IFERROR(VLOOKUP(C59,'_METADATA_DEFAULT'!$A:$B,2,FALSE),"")</f>
        <v/>
      </c>
    </row>
    <row r="60" ht="15.75" customHeight="1">
      <c r="A60" s="2" t="s">
        <v>774</v>
      </c>
      <c r="B60" s="2" t="s">
        <v>405</v>
      </c>
      <c r="C60" s="2" t="s">
        <v>405</v>
      </c>
      <c r="D60" s="2">
        <f>IFERROR(VLOOKUP($C60,'_METADATA_TEMPLATE'!$B$2:$H$826,2,FALSE),"")</f>
        <v>120</v>
      </c>
      <c r="E60" s="2" t="str">
        <f>IFERROR(VLOOKUP($C60,'_METADATA_TEMPLATE'!$B$2:$H$826,4,FALSE),"")</f>
        <v>SE2026 - L BLOK II</v>
      </c>
      <c r="F60" s="2" t="str">
        <f>IFERROR(VLOOKUP($C60,'_METADATA_TEMPLATE'!$B$2:$H$826,5,FALSE),"")</f>
        <v>8</v>
      </c>
      <c r="G60" s="2" t="str">
        <f>IFERROR(VLOOKUP($C60,'_METADATA_TEMPLATE'!$B$2:$H$826,6,FALSE),"")</f>
        <v>a. Nama usaha/perusahaan</v>
      </c>
      <c r="H60" s="2" t="str">
        <f>IFERROR(VLOOKUP($C60,'_METADATA_TEMPLATE'!$B$2:$H$826,7,FALSE),"")</f>
        <v>Variable</v>
      </c>
      <c r="I60" s="2" t="str">
        <f>IFERROR(VLOOKUP(C60,'_METADATA_DEFAULT'!$A:$B,2,FALSE),"")</f>
        <v/>
      </c>
    </row>
    <row r="61" ht="15.75" customHeight="1">
      <c r="A61" s="3" t="s">
        <v>774</v>
      </c>
      <c r="B61" s="3" t="s">
        <v>417</v>
      </c>
      <c r="C61" s="3" t="s">
        <v>417</v>
      </c>
      <c r="D61" s="3">
        <f>IFERROR(VLOOKUP($C61,'_METADATA_TEMPLATE'!$B$2:$H$826,2,FALSE),"")</f>
        <v>123</v>
      </c>
      <c r="E61" s="3" t="str">
        <f>IFERROR(VLOOKUP($C61,'_METADATA_TEMPLATE'!$B$2:$H$826,4,FALSE),"")</f>
        <v>SE2026 - L BLOK II</v>
      </c>
      <c r="F61" s="3" t="str">
        <f>IFERROR(VLOOKUP($C61,'_METADATA_TEMPLATE'!$B$2:$H$826,5,FALSE),"")</f>
        <v>8</v>
      </c>
      <c r="G61" s="3" t="str">
        <f>IFERROR(VLOOKUP($C61,'_METADATA_TEMPLATE'!$B$2:$H$826,6,FALSE),"")</f>
        <v>b. Nama komersial usaha/perusahaan Jika tidak memiliki nama komersial, maka tuliskan nama usaha/perusahaan.</v>
      </c>
      <c r="H61" s="3" t="str">
        <f>IFERROR(VLOOKUP($C61,'_METADATA_TEMPLATE'!$B$2:$H$826,7,FALSE),"")</f>
        <v>Text Input</v>
      </c>
      <c r="I61" s="3" t="str">
        <f>IFERROR(VLOOKUP(C61,'_METADATA_DEFAULT'!$A:$B,2,FALSE),"")</f>
        <v/>
      </c>
    </row>
    <row r="62" ht="15.75" customHeight="1">
      <c r="A62" s="2" t="s">
        <v>774</v>
      </c>
      <c r="B62" s="2" t="s">
        <v>1195</v>
      </c>
      <c r="C62" s="2" t="s">
        <v>1195</v>
      </c>
      <c r="D62" s="2">
        <f>IFERROR(VLOOKUP($C62,'_METADATA_TEMPLATE'!$B$2:$H$826,2,FALSE),"")</f>
        <v>124</v>
      </c>
      <c r="E62" s="2" t="str">
        <f>IFERROR(VLOOKUP($C62,'_METADATA_TEMPLATE'!$B$2:$H$826,4,FALSE),"")</f>
        <v>BLOK III</v>
      </c>
      <c r="F62" s="2" t="str">
        <f>IFERROR(VLOOKUP($C62,'_METADATA_TEMPLATE'!$B$2:$H$826,5,FALSE),"")</f>
        <v/>
      </c>
      <c r="G62" s="2" t="str">
        <f>IFERROR(VLOOKUP($C62,'_METADATA_TEMPLATE'!$B$2:$H$826,6,FALSE),"")</f>
        <v>Nama</v>
      </c>
      <c r="H62" s="2" t="str">
        <f>IFERROR(VLOOKUP($C62,'_METADATA_TEMPLATE'!$B$2:$H$826,7,FALSE),"")</f>
        <v>Text Input</v>
      </c>
      <c r="I62" s="2" t="str">
        <f>IFERROR(VLOOKUP(C62,'_METADATA_DEFAULT'!$A:$B,2,FALSE),"")</f>
        <v/>
      </c>
    </row>
    <row r="63" ht="15.75" customHeight="1">
      <c r="A63" s="3" t="s">
        <v>774</v>
      </c>
      <c r="B63" s="3" t="s">
        <v>1204</v>
      </c>
      <c r="C63" s="3" t="s">
        <v>1204</v>
      </c>
      <c r="D63" s="3">
        <f>IFERROR(VLOOKUP($C63,'_METADATA_TEMPLATE'!$B$2:$H$826,2,FALSE),"")</f>
        <v>125</v>
      </c>
      <c r="E63" s="3" t="str">
        <f>IFERROR(VLOOKUP($C63,'_METADATA_TEMPLATE'!$B$2:$H$826,4,FALSE),"")</f>
        <v>BLOK III</v>
      </c>
      <c r="F63" s="3" t="str">
        <f>IFERROR(VLOOKUP($C63,'_METADATA_TEMPLATE'!$B$2:$H$826,5,FALSE),"")</f>
        <v/>
      </c>
      <c r="G63" s="3" t="str">
        <f>IFERROR(VLOOKUP($C63,'_METADATA_TEMPLATE'!$B$2:$H$826,6,FALSE),"")</f>
        <v>Nomor HP/Telepon</v>
      </c>
      <c r="H63" s="3" t="str">
        <f>IFERROR(VLOOKUP($C63,'_METADATA_TEMPLATE'!$B$2:$H$826,7,FALSE),"")</f>
        <v>Text Input</v>
      </c>
      <c r="I63" s="3" t="str">
        <f>IFERROR(VLOOKUP(C63,'_METADATA_DEFAULT'!$A:$B,2,FALSE),"")</f>
        <v/>
      </c>
    </row>
    <row r="64" ht="15.75" customHeight="1">
      <c r="A64" s="2" t="s">
        <v>774</v>
      </c>
      <c r="B64" s="2" t="s">
        <v>424</v>
      </c>
      <c r="C64" s="2" t="s">
        <v>424</v>
      </c>
      <c r="D64" s="2">
        <f>IFERROR(VLOOKUP($C64,'_METADATA_TEMPLATE'!$B$2:$H$826,2,FALSE),"")</f>
        <v>125</v>
      </c>
      <c r="E64" s="2" t="str">
        <f>IFERROR(VLOOKUP($C64,'_METADATA_TEMPLATE'!$B$2:$H$826,4,FALSE),"")</f>
        <v>SE2026 - L BLOK II</v>
      </c>
      <c r="F64" s="2" t="str">
        <f>IFERROR(VLOOKUP($C64,'_METADATA_TEMPLATE'!$B$2:$H$826,5,FALSE),"")</f>
        <v/>
      </c>
      <c r="G64" s="2" t="str">
        <f>IFERROR(VLOOKUP($C64,'_METADATA_TEMPLATE'!$B$2:$H$826,6,FALSE),"")</f>
        <v>• RT</v>
      </c>
      <c r="H64" s="2" t="str">
        <f>IFERROR(VLOOKUP($C64,'_METADATA_TEMPLATE'!$B$2:$H$826,7,FALSE),"")</f>
        <v>Text Input</v>
      </c>
      <c r="I64" s="2" t="str">
        <f>IFERROR(VLOOKUP(C64,'_METADATA_DEFAULT'!$A:$B,2,FALSE),"")</f>
        <v/>
      </c>
    </row>
    <row r="65" ht="15.75" customHeight="1">
      <c r="A65" s="3" t="s">
        <v>774</v>
      </c>
      <c r="B65" s="3" t="s">
        <v>1219</v>
      </c>
      <c r="C65" s="3" t="s">
        <v>1219</v>
      </c>
      <c r="D65" s="3">
        <f>IFERROR(VLOOKUP($C65,'_METADATA_TEMPLATE'!$B$2:$H$826,2,FALSE),"")</f>
        <v>126</v>
      </c>
      <c r="E65" s="3" t="str">
        <f>IFERROR(VLOOKUP($C65,'_METADATA_TEMPLATE'!$B$2:$H$826,4,FALSE),"")</f>
        <v>BLOK III</v>
      </c>
      <c r="F65" s="3" t="str">
        <f>IFERROR(VLOOKUP($C65,'_METADATA_TEMPLATE'!$B$2:$H$826,5,FALSE),"")</f>
        <v/>
      </c>
      <c r="G65" s="3" t="str">
        <f>IFERROR(VLOOKUP($C65,'_METADATA_TEMPLATE'!$B$2:$H$826,6,FALSE),"")</f>
        <v>Email</v>
      </c>
      <c r="H65" s="3" t="str">
        <f>IFERROR(VLOOKUP($C65,'_METADATA_TEMPLATE'!$B$2:$H$826,7,FALSE),"")</f>
        <v>Text Input</v>
      </c>
      <c r="I65" s="3" t="str">
        <f>IFERROR(VLOOKUP(C65,'_METADATA_DEFAULT'!$A:$B,2,FALSE),"")</f>
        <v/>
      </c>
    </row>
    <row r="66" ht="15.75" customHeight="1">
      <c r="A66" s="2" t="s">
        <v>774</v>
      </c>
      <c r="B66" s="2" t="s">
        <v>426</v>
      </c>
      <c r="C66" s="2" t="s">
        <v>426</v>
      </c>
      <c r="D66" s="2">
        <f>IFERROR(VLOOKUP($C66,'_METADATA_TEMPLATE'!$B$2:$H$826,2,FALSE),"")</f>
        <v>126</v>
      </c>
      <c r="E66" s="2" t="str">
        <f>IFERROR(VLOOKUP($C66,'_METADATA_TEMPLATE'!$B$2:$H$826,4,FALSE),"")</f>
        <v>SE2026 - L BLOK II</v>
      </c>
      <c r="F66" s="2" t="str">
        <f>IFERROR(VLOOKUP($C66,'_METADATA_TEMPLATE'!$B$2:$H$826,5,FALSE),"")</f>
        <v/>
      </c>
      <c r="G66" s="2" t="str">
        <f>IFERROR(VLOOKUP($C66,'_METADATA_TEMPLATE'!$B$2:$H$826,6,FALSE),"")</f>
        <v>• RW</v>
      </c>
      <c r="H66" s="2" t="str">
        <f>IFERROR(VLOOKUP($C66,'_METADATA_TEMPLATE'!$B$2:$H$826,7,FALSE),"")</f>
        <v>Text Input</v>
      </c>
      <c r="I66" s="2" t="str">
        <f>IFERROR(VLOOKUP(C66,'_METADATA_DEFAULT'!$A:$B,2,FALSE),"")</f>
        <v/>
      </c>
    </row>
    <row r="67" ht="15.75" customHeight="1">
      <c r="A67" s="3" t="s">
        <v>774</v>
      </c>
      <c r="B67" s="3" t="s">
        <v>428</v>
      </c>
      <c r="C67" s="3" t="s">
        <v>428</v>
      </c>
      <c r="D67" s="3">
        <f>IFERROR(VLOOKUP($C67,'_METADATA_TEMPLATE'!$B$2:$H$826,2,FALSE),"")</f>
        <v>127</v>
      </c>
      <c r="E67" s="3" t="str">
        <f>IFERROR(VLOOKUP($C67,'_METADATA_TEMPLATE'!$B$2:$H$826,4,FALSE),"")</f>
        <v>SE2026 - L BLOK II</v>
      </c>
      <c r="F67" s="3" t="str">
        <f>IFERROR(VLOOKUP($C67,'_METADATA_TEMPLATE'!$B$2:$H$826,5,FALSE),"")</f>
        <v/>
      </c>
      <c r="G67" s="3" t="str">
        <f>IFERROR(VLOOKUP($C67,'_METADATA_TEMPLATE'!$B$2:$H$826,6,FALSE),"")</f>
        <v>• Kode Pos</v>
      </c>
      <c r="H67" s="3" t="str">
        <f>IFERROR(VLOOKUP($C67,'_METADATA_TEMPLATE'!$B$2:$H$826,7,FALSE),"")</f>
        <v>Variable</v>
      </c>
      <c r="I67" s="3" t="str">
        <f>IFERROR(VLOOKUP(C67,'_METADATA_DEFAULT'!$A:$B,2,FALSE),"")</f>
        <v/>
      </c>
    </row>
    <row r="68" ht="15.75" customHeight="1">
      <c r="A68" s="2" t="s">
        <v>774</v>
      </c>
      <c r="B68" s="2" t="s">
        <v>1244</v>
      </c>
      <c r="C68" s="2" t="s">
        <v>1244</v>
      </c>
      <c r="D68" s="2">
        <f>IFERROR(VLOOKUP($C68,'_METADATA_TEMPLATE'!$B$2:$H$826,2,FALSE),"")</f>
        <v>127</v>
      </c>
      <c r="E68" s="2" t="str">
        <f>IFERROR(VLOOKUP($C68,'_METADATA_TEMPLATE'!$B$2:$H$826,4,FALSE),"")</f>
        <v>BLOK III</v>
      </c>
      <c r="F68" s="2" t="str">
        <f>IFERROR(VLOOKUP($C68,'_METADATA_TEMPLATE'!$B$2:$H$826,5,FALSE),"")</f>
        <v/>
      </c>
      <c r="G68" s="2" t="str">
        <f>IFERROR(VLOOKUP($C68,'_METADATA_TEMPLATE'!$B$2:$H$826,6,FALSE),"")</f>
        <v>Tanggal Pelaksanaan</v>
      </c>
      <c r="H68" s="2" t="str">
        <f>IFERROR(VLOOKUP($C68,'_METADATA_TEMPLATE'!$B$2:$H$826,7,FALSE),"")</f>
        <v>Date</v>
      </c>
      <c r="I68" s="2" t="str">
        <f>IFERROR(VLOOKUP(C68,'_METADATA_DEFAULT'!$A:$B,2,FALSE),"")</f>
        <v/>
      </c>
    </row>
    <row r="69" ht="15.75" customHeight="1">
      <c r="A69" s="3" t="s">
        <v>774</v>
      </c>
      <c r="B69" s="3" t="s">
        <v>432</v>
      </c>
      <c r="C69" s="3" t="s">
        <v>432</v>
      </c>
      <c r="D69" s="3">
        <f>IFERROR(VLOOKUP($C69,'_METADATA_TEMPLATE'!$B$2:$H$826,2,FALSE),"")</f>
        <v>128</v>
      </c>
      <c r="E69" s="3" t="str">
        <f>IFERROR(VLOOKUP($C69,'_METADATA_TEMPLATE'!$B$2:$H$826,4,FALSE),"")</f>
        <v>SE2026 - L BLOK II</v>
      </c>
      <c r="F69" s="3" t="str">
        <f>IFERROR(VLOOKUP($C69,'_METADATA_TEMPLATE'!$B$2:$H$826,5,FALSE),"")</f>
        <v/>
      </c>
      <c r="G69" s="3" t="str">
        <f>IFERROR(VLOOKUP($C69,'_METADATA_TEMPLATE'!$B$2:$H$826,6,FALSE),"")</f>
        <v>- Kode Area</v>
      </c>
      <c r="H69" s="3" t="str">
        <f>IFERROR(VLOOKUP($C69,'_METADATA_TEMPLATE'!$B$2:$H$826,7,FALSE),"")</f>
        <v>Text Input</v>
      </c>
      <c r="I69" s="3" t="str">
        <f>IFERROR(VLOOKUP(C69,'_METADATA_DEFAULT'!$A:$B,2,FALSE),"")</f>
        <v/>
      </c>
    </row>
    <row r="70" ht="15.75" customHeight="1">
      <c r="A70" s="2" t="s">
        <v>774</v>
      </c>
      <c r="B70" s="2" t="s">
        <v>1257</v>
      </c>
      <c r="C70" s="2" t="s">
        <v>1257</v>
      </c>
      <c r="D70" s="2">
        <f>IFERROR(VLOOKUP($C70,'_METADATA_TEMPLATE'!$B$2:$H$826,2,FALSE),"")</f>
        <v>128</v>
      </c>
      <c r="E70" s="2" t="str">
        <f>IFERROR(VLOOKUP($C70,'_METADATA_TEMPLATE'!$B$2:$H$826,4,FALSE),"")</f>
        <v>BLOK III</v>
      </c>
      <c r="F70" s="2" t="str">
        <f>IFERROR(VLOOKUP($C70,'_METADATA_TEMPLATE'!$B$2:$H$826,5,FALSE),"")</f>
        <v/>
      </c>
      <c r="G70" s="2" t="str">
        <f>IFERROR(VLOOKUP($C70,'_METADATA_TEMPLATE'!$B$2:$H$826,6,FALSE),"")</f>
        <v>Tanda Tangan</v>
      </c>
      <c r="H70" s="2" t="str">
        <f>IFERROR(VLOOKUP($C70,'_METADATA_TEMPLATE'!$B$2:$H$826,7,FALSE),"")</f>
        <v>SignatureInput</v>
      </c>
      <c r="I70" s="2" t="str">
        <f>IFERROR(VLOOKUP(C70,'_METADATA_DEFAULT'!$A:$B,2,FALSE),"")</f>
        <v/>
      </c>
    </row>
    <row r="71" ht="15.75" customHeight="1">
      <c r="A71" s="3" t="s">
        <v>774</v>
      </c>
      <c r="B71" s="3" t="s">
        <v>435</v>
      </c>
      <c r="C71" s="3" t="s">
        <v>435</v>
      </c>
      <c r="D71" s="3">
        <f>IFERROR(VLOOKUP($C71,'_METADATA_TEMPLATE'!$B$2:$H$826,2,FALSE),"")</f>
        <v>129</v>
      </c>
      <c r="E71" s="3" t="str">
        <f>IFERROR(VLOOKUP($C71,'_METADATA_TEMPLATE'!$B$2:$H$826,4,FALSE),"")</f>
        <v>SE2026 - L BLOK II</v>
      </c>
      <c r="F71" s="3" t="str">
        <f>IFERROR(VLOOKUP($C71,'_METADATA_TEMPLATE'!$B$2:$H$826,5,FALSE),"")</f>
        <v/>
      </c>
      <c r="G71" s="3" t="str">
        <f>IFERROR(VLOOKUP($C71,'_METADATA_TEMPLATE'!$B$2:$H$826,6,FALSE),"")</f>
        <v>- Nomor Telepon</v>
      </c>
      <c r="H71" s="3" t="str">
        <f>IFERROR(VLOOKUP($C71,'_METADATA_TEMPLATE'!$B$2:$H$826,7,FALSE),"")</f>
        <v>Text Input</v>
      </c>
      <c r="I71" s="3" t="str">
        <f>IFERROR(VLOOKUP(C71,'_METADATA_DEFAULT'!$A:$B,2,FALSE),"")</f>
        <v/>
      </c>
    </row>
    <row r="72" ht="15.75" customHeight="1">
      <c r="A72" s="2" t="s">
        <v>774</v>
      </c>
      <c r="B72" s="2" t="s">
        <v>437</v>
      </c>
      <c r="C72" s="2" t="s">
        <v>437</v>
      </c>
      <c r="D72" s="2">
        <f>IFERROR(VLOOKUP($C72,'_METADATA_TEMPLATE'!$B$2:$H$826,2,FALSE),"")</f>
        <v>130</v>
      </c>
      <c r="E72" s="2" t="str">
        <f>IFERROR(VLOOKUP($C72,'_METADATA_TEMPLATE'!$B$2:$H$826,4,FALSE),"")</f>
        <v>SE2026 - L BLOK II</v>
      </c>
      <c r="F72" s="2" t="str">
        <f>IFERROR(VLOOKUP($C72,'_METADATA_TEMPLATE'!$B$2:$H$826,5,FALSE),"")</f>
        <v/>
      </c>
      <c r="G72" s="2" t="str">
        <f>IFERROR(VLOOKUP($C72,'_METADATA_TEMPLATE'!$B$2:$H$826,6,FALSE),"")</f>
        <v>- Ekstensi</v>
      </c>
      <c r="H72" s="2" t="str">
        <f>IFERROR(VLOOKUP($C72,'_METADATA_TEMPLATE'!$B$2:$H$826,7,FALSE),"")</f>
        <v>Text Input</v>
      </c>
      <c r="I72" s="2" t="str">
        <f>IFERROR(VLOOKUP(C72,'_METADATA_DEFAULT'!$A:$B,2,FALSE),"")</f>
        <v/>
      </c>
    </row>
    <row r="73" ht="15.75" customHeight="1">
      <c r="A73" s="3" t="s">
        <v>774</v>
      </c>
      <c r="B73" s="3" t="s">
        <v>10</v>
      </c>
      <c r="C73" s="3" t="s">
        <v>10</v>
      </c>
      <c r="D73" s="3">
        <f>IFERROR(VLOOKUP($C73,'_METADATA_TEMPLATE'!$B$2:$H$826,2,FALSE),"")</f>
        <v>131</v>
      </c>
      <c r="E73" s="3" t="str">
        <f>IFERROR(VLOOKUP($C73,'_METADATA_TEMPLATE'!$B$2:$H$826,4,FALSE),"")</f>
        <v>SE2026 - L BLOK II</v>
      </c>
      <c r="F73" s="3" t="str">
        <f>IFERROR(VLOOKUP($C73,'_METADATA_TEMPLATE'!$B$2:$H$826,5,FALSE),"")</f>
        <v/>
      </c>
      <c r="G73" s="3" t="str">
        <f>IFERROR(VLOOKUP($C73,'_METADATA_TEMPLATE'!$B$2:$H$826,6,FALSE),"")</f>
        <v>• Email</v>
      </c>
      <c r="H73" s="3" t="str">
        <f>IFERROR(VLOOKUP($C73,'_METADATA_TEMPLATE'!$B$2:$H$826,7,FALSE),"")</f>
        <v>Text Input</v>
      </c>
      <c r="I73" s="3" t="str">
        <f>IFERROR(VLOOKUP(C73,'_METADATA_DEFAULT'!$A:$B,2,FALSE),"")</f>
        <v/>
      </c>
    </row>
    <row r="74" ht="15.75" customHeight="1">
      <c r="A74" s="2" t="s">
        <v>774</v>
      </c>
      <c r="B74" s="2" t="s">
        <v>445</v>
      </c>
      <c r="C74" s="2" t="s">
        <v>445</v>
      </c>
      <c r="D74" s="2">
        <f>IFERROR(VLOOKUP($C74,'_METADATA_TEMPLATE'!$B$2:$H$826,2,FALSE),"")</f>
        <v>132</v>
      </c>
      <c r="E74" s="2" t="str">
        <f>IFERROR(VLOOKUP($C74,'_METADATA_TEMPLATE'!$B$2:$H$826,4,FALSE),"")</f>
        <v>SE2026 - L BLOK II</v>
      </c>
      <c r="F74" s="2" t="str">
        <f>IFERROR(VLOOKUP($C74,'_METADATA_TEMPLATE'!$B$2:$H$826,5,FALSE),"")</f>
        <v/>
      </c>
      <c r="G74" s="2" t="str">
        <f>IFERROR(VLOOKUP($C74,'_METADATA_TEMPLATE'!$B$2:$H$826,6,FALSE),"")</f>
        <v>• Nomor HP/whatsapp:</v>
      </c>
      <c r="H74" s="2" t="str">
        <f>IFERROR(VLOOKUP($C74,'_METADATA_TEMPLATE'!$B$2:$H$826,7,FALSE),"")</f>
        <v>Text Input</v>
      </c>
      <c r="I74" s="2" t="str">
        <f>IFERROR(VLOOKUP(C74,'_METADATA_DEFAULT'!$A:$B,2,FALSE),"")</f>
        <v/>
      </c>
    </row>
    <row r="75" ht="15.75" customHeight="1">
      <c r="A75" s="3" t="s">
        <v>774</v>
      </c>
      <c r="B75" s="3" t="s">
        <v>447</v>
      </c>
      <c r="C75" s="3" t="s">
        <v>447</v>
      </c>
      <c r="D75" s="3">
        <f>IFERROR(VLOOKUP($C75,'_METADATA_TEMPLATE'!$B$2:$H$826,2,FALSE),"")</f>
        <v>133</v>
      </c>
      <c r="E75" s="3" t="str">
        <f>IFERROR(VLOOKUP($C75,'_METADATA_TEMPLATE'!$B$2:$H$826,4,FALSE),"")</f>
        <v>SE2026 - L BLOK II</v>
      </c>
      <c r="F75" s="3" t="str">
        <f>IFERROR(VLOOKUP($C75,'_METADATA_TEMPLATE'!$B$2:$H$826,5,FALSE),"")</f>
        <v/>
      </c>
      <c r="G75" s="3" t="str">
        <f>IFERROR(VLOOKUP($C75,'_METADATA_TEMPLATE'!$B$2:$H$826,6,FALSE),"")</f>
        <v>• Homepage/website Alamat website diawali dengan www. Contoh : www.bps.go.id</v>
      </c>
      <c r="H75" s="3" t="str">
        <f>IFERROR(VLOOKUP($C75,'_METADATA_TEMPLATE'!$B$2:$H$826,7,FALSE),"")</f>
        <v>Text Input</v>
      </c>
      <c r="I75" s="3" t="str">
        <f>IFERROR(VLOOKUP(C75,'_METADATA_DEFAULT'!$A:$B,2,FALSE),"")</f>
        <v/>
      </c>
    </row>
    <row r="76" ht="15.75" customHeight="1">
      <c r="A76" s="2" t="s">
        <v>774</v>
      </c>
      <c r="B76" s="2" t="s">
        <v>451</v>
      </c>
      <c r="C76" s="2" t="s">
        <v>452</v>
      </c>
      <c r="D76" s="2">
        <f>IFERROR(VLOOKUP($C76,'_METADATA_TEMPLATE'!$B$2:$H$826,2,FALSE),"")</f>
        <v>134</v>
      </c>
      <c r="E76" s="2" t="str">
        <f>IFERROR(VLOOKUP($C76,'_METADATA_TEMPLATE'!$B$2:$H$826,4,FALSE),"")</f>
        <v>SE2026 - L BLOK II</v>
      </c>
      <c r="F76" s="2" t="str">
        <f>IFERROR(VLOOKUP($C76,'_METADATA_TEMPLATE'!$B$2:$H$826,5,FALSE),"")</f>
        <v>8</v>
      </c>
      <c r="G76" s="2" t="str">
        <f>IFERROR(VLOOKUP($C76,'_METADATA_TEMPLATE'!$B$2:$H$826,6,FALSE),"")</f>
        <v>d. Jenis kawasan beroperasi</v>
      </c>
      <c r="H76" s="2" t="str">
        <f>IFERROR(VLOOKUP($C76,'_METADATA_TEMPLATE'!$B$2:$H$826,7,FALSE),"")</f>
        <v>Radio Group</v>
      </c>
      <c r="I76" s="2" t="str">
        <f>IFERROR(VLOOKUP(C76,'_METADATA_DEFAULT'!$A:$B,2,FALSE),"")</f>
        <v/>
      </c>
    </row>
    <row r="77" ht="15.75" customHeight="1">
      <c r="A77" s="3" t="s">
        <v>774</v>
      </c>
      <c r="B77" s="3" t="s">
        <v>454</v>
      </c>
      <c r="C77" s="3" t="s">
        <v>452</v>
      </c>
      <c r="D77" s="3">
        <f>IFERROR(VLOOKUP($C77,'_METADATA_TEMPLATE'!$B$2:$H$826,2,FALSE),"")</f>
        <v>134</v>
      </c>
      <c r="E77" s="3" t="str">
        <f>IFERROR(VLOOKUP($C77,'_METADATA_TEMPLATE'!$B$2:$H$826,4,FALSE),"")</f>
        <v>SE2026 - L BLOK II</v>
      </c>
      <c r="F77" s="3" t="str">
        <f>IFERROR(VLOOKUP($C77,'_METADATA_TEMPLATE'!$B$2:$H$826,5,FALSE),"")</f>
        <v>8</v>
      </c>
      <c r="G77" s="3" t="str">
        <f>IFERROR(VLOOKUP($C77,'_METADATA_TEMPLATE'!$B$2:$H$826,6,FALSE),"")</f>
        <v>d. Jenis kawasan beroperasi</v>
      </c>
      <c r="H77" s="3" t="str">
        <f>IFERROR(VLOOKUP($C77,'_METADATA_TEMPLATE'!$B$2:$H$826,7,FALSE),"")</f>
        <v>Radio Group</v>
      </c>
      <c r="I77" s="3" t="str">
        <f>IFERROR(VLOOKUP(C77,'_METADATA_DEFAULT'!$A:$B,2,FALSE),"")</f>
        <v/>
      </c>
    </row>
    <row r="78" ht="15.75" customHeight="1">
      <c r="A78" s="2" t="s">
        <v>774</v>
      </c>
      <c r="B78" s="2" t="s">
        <v>456</v>
      </c>
      <c r="C78" s="2" t="s">
        <v>457</v>
      </c>
      <c r="D78" s="2">
        <f>IFERROR(VLOOKUP($C78,'_METADATA_TEMPLATE'!$B$2:$H$826,2,FALSE),"")</f>
        <v>135</v>
      </c>
      <c r="E78" s="2" t="str">
        <f>IFERROR(VLOOKUP($C78,'_METADATA_TEMPLATE'!$B$2:$H$826,4,FALSE),"")</f>
        <v>SE2026 - L BLOK II</v>
      </c>
      <c r="F78" s="2" t="str">
        <f>IFERROR(VLOOKUP($C78,'_METADATA_TEMPLATE'!$B$2:$H$826,5,FALSE),"")</f>
        <v>8</v>
      </c>
      <c r="G78" s="2" t="str">
        <f>IFERROR(VLOOKUP($C78,'_METADATA_TEMPLATE'!$B$2:$H$826,6,FALSE),"")</f>
        <v>e. Nama KEK/KI</v>
      </c>
      <c r="H78" s="2" t="str">
        <f>IFERROR(VLOOKUP($C78,'_METADATA_TEMPLATE'!$B$2:$H$826,7,FALSE),"")</f>
        <v>Select</v>
      </c>
      <c r="I78" s="2" t="str">
        <f>IFERROR(VLOOKUP(C78,'_METADATA_DEFAULT'!$A:$B,2,FALSE),"")</f>
        <v/>
      </c>
    </row>
    <row r="79" ht="15.75" customHeight="1">
      <c r="A79" s="3" t="s">
        <v>774</v>
      </c>
      <c r="B79" s="3" t="s">
        <v>461</v>
      </c>
      <c r="C79" s="3" t="s">
        <v>457</v>
      </c>
      <c r="D79" s="3">
        <f>IFERROR(VLOOKUP($C79,'_METADATA_TEMPLATE'!$B$2:$H$826,2,FALSE),"")</f>
        <v>135</v>
      </c>
      <c r="E79" s="3" t="str">
        <f>IFERROR(VLOOKUP($C79,'_METADATA_TEMPLATE'!$B$2:$H$826,4,FALSE),"")</f>
        <v>SE2026 - L BLOK II</v>
      </c>
      <c r="F79" s="3" t="str">
        <f>IFERROR(VLOOKUP($C79,'_METADATA_TEMPLATE'!$B$2:$H$826,5,FALSE),"")</f>
        <v>8</v>
      </c>
      <c r="G79" s="3" t="str">
        <f>IFERROR(VLOOKUP($C79,'_METADATA_TEMPLATE'!$B$2:$H$826,6,FALSE),"")</f>
        <v>e. Nama KEK/KI</v>
      </c>
      <c r="H79" s="3" t="str">
        <f>IFERROR(VLOOKUP($C79,'_METADATA_TEMPLATE'!$B$2:$H$826,7,FALSE),"")</f>
        <v>Select</v>
      </c>
      <c r="I79" s="3" t="str">
        <f>IFERROR(VLOOKUP(C79,'_METADATA_DEFAULT'!$A:$B,2,FALSE),"")</f>
        <v/>
      </c>
    </row>
    <row r="80" ht="15.75" customHeight="1">
      <c r="A80" s="2" t="s">
        <v>774</v>
      </c>
      <c r="B80" s="2" t="s">
        <v>463</v>
      </c>
      <c r="C80" s="2" t="s">
        <v>463</v>
      </c>
      <c r="D80" s="2">
        <f>IFERROR(VLOOKUP($C80,'_METADATA_TEMPLATE'!$B$2:$H$826,2,FALSE),"")</f>
        <v>136</v>
      </c>
      <c r="E80" s="2" t="str">
        <f>IFERROR(VLOOKUP($C80,'_METADATA_TEMPLATE'!$B$2:$H$826,4,FALSE),"")</f>
        <v>SE2026 - L BLOK II</v>
      </c>
      <c r="F80" s="2" t="str">
        <f>IFERROR(VLOOKUP($C80,'_METADATA_TEMPLATE'!$B$2:$H$826,5,FALSE),"")</f>
        <v>8</v>
      </c>
      <c r="G80" s="2" t="str">
        <f>IFERROR(VLOOKUP($C80,'_METADATA_TEMPLATE'!$B$2:$H$826,6,FALSE),"")</f>
        <v>e. Nama kawasan Contoh: KEK Mandalika, Kawasan Industri Jababeka, Stasiun Gambir, Bandara Soekarno-Hatta, Pelabuhan Tanjung Priok, Terminal Pulo Gebang, Rest Area KM 57 Tol Jakarta–Cikampek, Sentra Batik Laweyan, Kompleks Pertokoan ITC Mangga Dua</v>
      </c>
      <c r="H80" s="2" t="str">
        <f>IFERROR(VLOOKUP($C80,'_METADATA_TEMPLATE'!$B$2:$H$826,7,FALSE),"")</f>
        <v>Text Input</v>
      </c>
      <c r="I80" s="2" t="str">
        <f>IFERROR(VLOOKUP(C80,'_METADATA_DEFAULT'!$A:$B,2,FALSE),"")</f>
        <v/>
      </c>
    </row>
    <row r="81" ht="15.75" customHeight="1">
      <c r="A81" s="3" t="s">
        <v>774</v>
      </c>
      <c r="B81" s="3" t="s">
        <v>491</v>
      </c>
      <c r="C81" s="3" t="s">
        <v>492</v>
      </c>
      <c r="D81" s="3">
        <f>IFERROR(VLOOKUP($C81,'_METADATA_TEMPLATE'!$B$2:$H$826,2,FALSE),"")</f>
        <v>141</v>
      </c>
      <c r="E81" s="3" t="str">
        <f>IFERROR(VLOOKUP($C81,'_METADATA_TEMPLATE'!$B$2:$H$826,4,FALSE),"")</f>
        <v>SE2026 - L BLOK II</v>
      </c>
      <c r="F81" s="3" t="str">
        <f>IFERROR(VLOOKUP($C81,'_METADATA_TEMPLATE'!$B$2:$H$826,5,FALSE),"")</f>
        <v>10</v>
      </c>
      <c r="G81" s="3" t="str">
        <f>IFERROR(VLOOKUP($C81,'_METADATA_TEMPLATE'!$B$2:$H$826,6,FALSE),"")</f>
        <v>a. Apakah memiliki Nomor Induk Berusaha (NIB)?</v>
      </c>
      <c r="H81" s="3" t="str">
        <f>IFERROR(VLOOKUP($C81,'_METADATA_TEMPLATE'!$B$2:$H$826,7,FALSE),"")</f>
        <v>Radio Group</v>
      </c>
      <c r="I81" s="3" t="str">
        <f>IFERROR(VLOOKUP(C81,'_METADATA_DEFAULT'!$A:$B,2,FALSE),"")</f>
        <v/>
      </c>
    </row>
    <row r="82" ht="15.75" customHeight="1">
      <c r="A82" s="2" t="s">
        <v>774</v>
      </c>
      <c r="B82" s="2" t="s">
        <v>494</v>
      </c>
      <c r="C82" s="2" t="s">
        <v>492</v>
      </c>
      <c r="D82" s="2">
        <f>IFERROR(VLOOKUP($C82,'_METADATA_TEMPLATE'!$B$2:$H$826,2,FALSE),"")</f>
        <v>141</v>
      </c>
      <c r="E82" s="2" t="str">
        <f>IFERROR(VLOOKUP($C82,'_METADATA_TEMPLATE'!$B$2:$H$826,4,FALSE),"")</f>
        <v>SE2026 - L BLOK II</v>
      </c>
      <c r="F82" s="2" t="str">
        <f>IFERROR(VLOOKUP($C82,'_METADATA_TEMPLATE'!$B$2:$H$826,5,FALSE),"")</f>
        <v>10</v>
      </c>
      <c r="G82" s="2" t="str">
        <f>IFERROR(VLOOKUP($C82,'_METADATA_TEMPLATE'!$B$2:$H$826,6,FALSE),"")</f>
        <v>a. Apakah memiliki Nomor Induk Berusaha (NIB)?</v>
      </c>
      <c r="H82" s="2" t="str">
        <f>IFERROR(VLOOKUP($C82,'_METADATA_TEMPLATE'!$B$2:$H$826,7,FALSE),"")</f>
        <v>Radio Group</v>
      </c>
      <c r="I82" s="2" t="str">
        <f>IFERROR(VLOOKUP(C82,'_METADATA_DEFAULT'!$A:$B,2,FALSE),"")</f>
        <v/>
      </c>
    </row>
    <row r="83" ht="15.75" customHeight="1">
      <c r="A83" s="3" t="s">
        <v>774</v>
      </c>
      <c r="B83" s="3" t="s">
        <v>497</v>
      </c>
      <c r="C83" s="3" t="s">
        <v>497</v>
      </c>
      <c r="D83" s="3">
        <f>IFERROR(VLOOKUP($C83,'_METADATA_TEMPLATE'!$B$2:$H$826,2,FALSE),"")</f>
        <v>142</v>
      </c>
      <c r="E83" s="3" t="str">
        <f>IFERROR(VLOOKUP($C83,'_METADATA_TEMPLATE'!$B$2:$H$826,4,FALSE),"")</f>
        <v>SE2026 - L BLOK II</v>
      </c>
      <c r="F83" s="3" t="str">
        <f>IFERROR(VLOOKUP($C83,'_METADATA_TEMPLATE'!$B$2:$H$826,5,FALSE),"")</f>
        <v>10</v>
      </c>
      <c r="G83" s="3" t="str">
        <f>IFERROR(VLOOKUP($C83,'_METADATA_TEMPLATE'!$B$2:$H$826,6,FALSE),"")</f>
        <v>b. Tuliskan NIB:</v>
      </c>
      <c r="H83" s="3" t="str">
        <f>IFERROR(VLOOKUP($C83,'_METADATA_TEMPLATE'!$B$2:$H$826,7,FALSE),"")</f>
        <v>Text Input</v>
      </c>
      <c r="I83" s="3" t="str">
        <f>IFERROR(VLOOKUP(C83,'_METADATA_DEFAULT'!$A:$B,2,FALSE),"")</f>
        <v/>
      </c>
    </row>
    <row r="84" ht="15.75" customHeight="1">
      <c r="A84" s="2" t="s">
        <v>774</v>
      </c>
      <c r="B84" s="2" t="s">
        <v>508</v>
      </c>
      <c r="C84" s="2" t="s">
        <v>509</v>
      </c>
      <c r="D84" s="2">
        <f>IFERROR(VLOOKUP($C84,'_METADATA_TEMPLATE'!$B$2:$H$826,2,FALSE),"")</f>
        <v>146</v>
      </c>
      <c r="E84" s="2" t="str">
        <f>IFERROR(VLOOKUP($C84,'_METADATA_TEMPLATE'!$B$2:$H$826,4,FALSE),"")</f>
        <v>SE2026 - L BLOK II</v>
      </c>
      <c r="F84" s="2" t="str">
        <f>IFERROR(VLOOKUP($C84,'_METADATA_TEMPLATE'!$B$2:$H$826,5,FALSE),"")</f>
        <v>11</v>
      </c>
      <c r="G84" s="2" t="str">
        <f>IFERROR(VLOOKUP($C84,'_METADATA_TEMPLATE'!$B$2:$H$826,6,FALSE),"")</f>
        <v>a. Apa status badan usaha dari usaha/perusahaan ini?</v>
      </c>
      <c r="H84" s="2" t="str">
        <f>IFERROR(VLOOKUP($C84,'_METADATA_TEMPLATE'!$B$2:$H$826,7,FALSE),"")</f>
        <v>Radio Group</v>
      </c>
      <c r="I84" s="2" t="str">
        <f>IFERROR(VLOOKUP(C84,'_METADATA_DEFAULT'!$A:$B,2,FALSE),"")</f>
        <v/>
      </c>
    </row>
    <row r="85" ht="15.75" customHeight="1">
      <c r="A85" s="3" t="s">
        <v>774</v>
      </c>
      <c r="B85" s="3" t="s">
        <v>511</v>
      </c>
      <c r="C85" s="3" t="s">
        <v>509</v>
      </c>
      <c r="D85" s="3">
        <f>IFERROR(VLOOKUP($C85,'_METADATA_TEMPLATE'!$B$2:$H$826,2,FALSE),"")</f>
        <v>146</v>
      </c>
      <c r="E85" s="3" t="str">
        <f>IFERROR(VLOOKUP($C85,'_METADATA_TEMPLATE'!$B$2:$H$826,4,FALSE),"")</f>
        <v>SE2026 - L BLOK II</v>
      </c>
      <c r="F85" s="3" t="str">
        <f>IFERROR(VLOOKUP($C85,'_METADATA_TEMPLATE'!$B$2:$H$826,5,FALSE),"")</f>
        <v>11</v>
      </c>
      <c r="G85" s="3" t="str">
        <f>IFERROR(VLOOKUP($C85,'_METADATA_TEMPLATE'!$B$2:$H$826,6,FALSE),"")</f>
        <v>a. Apa status badan usaha dari usaha/perusahaan ini?</v>
      </c>
      <c r="H85" s="3" t="str">
        <f>IFERROR(VLOOKUP($C85,'_METADATA_TEMPLATE'!$B$2:$H$826,7,FALSE),"")</f>
        <v>Radio Group</v>
      </c>
      <c r="I85" s="3" t="str">
        <f>IFERROR(VLOOKUP(C85,'_METADATA_DEFAULT'!$A:$B,2,FALSE),"")</f>
        <v/>
      </c>
    </row>
    <row r="86" ht="15.75" customHeight="1">
      <c r="A86" s="2" t="s">
        <v>774</v>
      </c>
      <c r="B86" s="2" t="s">
        <v>514</v>
      </c>
      <c r="C86" s="2" t="s">
        <v>515</v>
      </c>
      <c r="D86" s="2">
        <f>IFERROR(VLOOKUP($C86,'_METADATA_TEMPLATE'!$B$2:$H$826,2,FALSE),"")</f>
        <v>147</v>
      </c>
      <c r="E86" s="2" t="str">
        <f>IFERROR(VLOOKUP($C86,'_METADATA_TEMPLATE'!$B$2:$H$826,4,FALSE),"")</f>
        <v>SE2026 - L BLOK II</v>
      </c>
      <c r="F86" s="2" t="str">
        <f>IFERROR(VLOOKUP($C86,'_METADATA_TEMPLATE'!$B$2:$H$826,5,FALSE),"")</f>
        <v>11</v>
      </c>
      <c r="G86" s="2" t="str">
        <f>IFERROR(VLOOKUP($C86,'_METADATA_TEMPLATE'!$B$2:$H$826,6,FALSE),"")</f>
        <v>b. Apakah koperasi ini merupakan Koperasi Desa/Kelurahan Merah Putih (KDKMP)?</v>
      </c>
      <c r="H86" s="2" t="str">
        <f>IFERROR(VLOOKUP($C86,'_METADATA_TEMPLATE'!$B$2:$H$826,7,FALSE),"")</f>
        <v>Radio Group</v>
      </c>
      <c r="I86" s="2" t="str">
        <f>IFERROR(VLOOKUP(C86,'_METADATA_DEFAULT'!$A:$B,2,FALSE),"")</f>
        <v/>
      </c>
    </row>
    <row r="87" ht="15.75" customHeight="1">
      <c r="A87" s="3" t="s">
        <v>774</v>
      </c>
      <c r="B87" s="3" t="s">
        <v>517</v>
      </c>
      <c r="C87" s="3" t="s">
        <v>515</v>
      </c>
      <c r="D87" s="3">
        <f>IFERROR(VLOOKUP($C87,'_METADATA_TEMPLATE'!$B$2:$H$826,2,FALSE),"")</f>
        <v>147</v>
      </c>
      <c r="E87" s="3" t="str">
        <f>IFERROR(VLOOKUP($C87,'_METADATA_TEMPLATE'!$B$2:$H$826,4,FALSE),"")</f>
        <v>SE2026 - L BLOK II</v>
      </c>
      <c r="F87" s="3" t="str">
        <f>IFERROR(VLOOKUP($C87,'_METADATA_TEMPLATE'!$B$2:$H$826,5,FALSE),"")</f>
        <v>11</v>
      </c>
      <c r="G87" s="3" t="str">
        <f>IFERROR(VLOOKUP($C87,'_METADATA_TEMPLATE'!$B$2:$H$826,6,FALSE),"")</f>
        <v>b. Apakah koperasi ini merupakan Koperasi Desa/Kelurahan Merah Putih (KDKMP)?</v>
      </c>
      <c r="H87" s="3" t="str">
        <f>IFERROR(VLOOKUP($C87,'_METADATA_TEMPLATE'!$B$2:$H$826,7,FALSE),"")</f>
        <v>Radio Group</v>
      </c>
      <c r="I87" s="3" t="str">
        <f>IFERROR(VLOOKUP(C87,'_METADATA_DEFAULT'!$A:$B,2,FALSE),"")</f>
        <v/>
      </c>
    </row>
    <row r="88" ht="15.75" customHeight="1">
      <c r="A88" s="2" t="s">
        <v>774</v>
      </c>
      <c r="B88" s="2" t="s">
        <v>520</v>
      </c>
      <c r="C88" s="2" t="s">
        <v>521</v>
      </c>
      <c r="D88" s="2">
        <f>IFERROR(VLOOKUP($C88,'_METADATA_TEMPLATE'!$B$2:$H$826,2,FALSE),"")</f>
        <v>148</v>
      </c>
      <c r="E88" s="2" t="str">
        <f>IFERROR(VLOOKUP($C88,'_METADATA_TEMPLATE'!$B$2:$H$826,4,FALSE),"")</f>
        <v>SE2026 - L BLOK II</v>
      </c>
      <c r="F88" s="2" t="str">
        <f>IFERROR(VLOOKUP($C88,'_METADATA_TEMPLATE'!$B$2:$H$826,5,FALSE),"")</f>
        <v>11</v>
      </c>
      <c r="G88" s="2" t="str">
        <f>IFERROR(VLOOKUP($C88,'_METADATA_TEMPLATE'!$B$2:$H$826,6,FALSE),"")</f>
        <v>c. Apa jenis koperasi ini berdasarkan layanannya?</v>
      </c>
      <c r="H88" s="2" t="str">
        <f>IFERROR(VLOOKUP($C88,'_METADATA_TEMPLATE'!$B$2:$H$826,7,FALSE),"")</f>
        <v>Radio Group</v>
      </c>
      <c r="I88" s="2" t="str">
        <f>IFERROR(VLOOKUP(C88,'_METADATA_DEFAULT'!$A:$B,2,FALSE),"")</f>
        <v/>
      </c>
    </row>
    <row r="89" ht="15.75" customHeight="1">
      <c r="A89" s="3" t="s">
        <v>774</v>
      </c>
      <c r="B89" s="3" t="s">
        <v>523</v>
      </c>
      <c r="C89" s="3" t="s">
        <v>521</v>
      </c>
      <c r="D89" s="3">
        <f>IFERROR(VLOOKUP($C89,'_METADATA_TEMPLATE'!$B$2:$H$826,2,FALSE),"")</f>
        <v>148</v>
      </c>
      <c r="E89" s="3" t="str">
        <f>IFERROR(VLOOKUP($C89,'_METADATA_TEMPLATE'!$B$2:$H$826,4,FALSE),"")</f>
        <v>SE2026 - L BLOK II</v>
      </c>
      <c r="F89" s="3" t="str">
        <f>IFERROR(VLOOKUP($C89,'_METADATA_TEMPLATE'!$B$2:$H$826,5,FALSE),"")</f>
        <v>11</v>
      </c>
      <c r="G89" s="3" t="str">
        <f>IFERROR(VLOOKUP($C89,'_METADATA_TEMPLATE'!$B$2:$H$826,6,FALSE),"")</f>
        <v>c. Apa jenis koperasi ini berdasarkan layanannya?</v>
      </c>
      <c r="H89" s="3" t="str">
        <f>IFERROR(VLOOKUP($C89,'_METADATA_TEMPLATE'!$B$2:$H$826,7,FALSE),"")</f>
        <v>Radio Group</v>
      </c>
      <c r="I89" s="3" t="str">
        <f>IFERROR(VLOOKUP(C89,'_METADATA_DEFAULT'!$A:$B,2,FALSE),"")</f>
        <v/>
      </c>
    </row>
    <row r="90" ht="15.75" customHeight="1">
      <c r="A90" s="2" t="s">
        <v>774</v>
      </c>
      <c r="B90" s="2" t="s">
        <v>526</v>
      </c>
      <c r="C90" s="2" t="s">
        <v>527</v>
      </c>
      <c r="D90" s="2">
        <f>IFERROR(VLOOKUP($C90,'_METADATA_TEMPLATE'!$B$2:$H$826,2,FALSE),"")</f>
        <v>149</v>
      </c>
      <c r="E90" s="2" t="str">
        <f>IFERROR(VLOOKUP($C90,'_METADATA_TEMPLATE'!$B$2:$H$826,4,FALSE),"")</f>
        <v>SE2026 - L BLOK II</v>
      </c>
      <c r="F90" s="2" t="str">
        <f>IFERROR(VLOOKUP($C90,'_METADATA_TEMPLATE'!$B$2:$H$826,5,FALSE),"")</f>
        <v>11</v>
      </c>
      <c r="G90" s="2" t="str">
        <f>IFERROR(VLOOKUP($C90,'_METADATA_TEMPLATE'!$B$2:$H$826,6,FALSE),"")</f>
        <v>d. Apakah mempunyai laporan/catatan keuangan?</v>
      </c>
      <c r="H90" s="2" t="str">
        <f>IFERROR(VLOOKUP($C90,'_METADATA_TEMPLATE'!$B$2:$H$826,7,FALSE),"")</f>
        <v>Radio Group</v>
      </c>
      <c r="I90" s="2" t="str">
        <f>IFERROR(VLOOKUP(C90,'_METADATA_DEFAULT'!$A:$B,2,FALSE),"")</f>
        <v/>
      </c>
    </row>
    <row r="91" ht="15.75" customHeight="1">
      <c r="A91" s="3" t="s">
        <v>774</v>
      </c>
      <c r="B91" s="3" t="s">
        <v>530</v>
      </c>
      <c r="C91" s="3" t="s">
        <v>527</v>
      </c>
      <c r="D91" s="3">
        <f>IFERROR(VLOOKUP($C91,'_METADATA_TEMPLATE'!$B$2:$H$826,2,FALSE),"")</f>
        <v>149</v>
      </c>
      <c r="E91" s="3" t="str">
        <f>IFERROR(VLOOKUP($C91,'_METADATA_TEMPLATE'!$B$2:$H$826,4,FALSE),"")</f>
        <v>SE2026 - L BLOK II</v>
      </c>
      <c r="F91" s="3" t="str">
        <f>IFERROR(VLOOKUP($C91,'_METADATA_TEMPLATE'!$B$2:$H$826,5,FALSE),"")</f>
        <v>11</v>
      </c>
      <c r="G91" s="3" t="str">
        <f>IFERROR(VLOOKUP($C91,'_METADATA_TEMPLATE'!$B$2:$H$826,6,FALSE),"")</f>
        <v>d. Apakah mempunyai laporan/catatan keuangan?</v>
      </c>
      <c r="H91" s="3" t="str">
        <f>IFERROR(VLOOKUP($C91,'_METADATA_TEMPLATE'!$B$2:$H$826,7,FALSE),"")</f>
        <v>Radio Group</v>
      </c>
      <c r="I91" s="3" t="str">
        <f>IFERROR(VLOOKUP(C91,'_METADATA_DEFAULT'!$A:$B,2,FALSE),"")</f>
        <v/>
      </c>
    </row>
    <row r="92" ht="15.75" customHeight="1">
      <c r="A92" s="2" t="s">
        <v>774</v>
      </c>
      <c r="B92" s="2" t="s">
        <v>556</v>
      </c>
      <c r="C92" s="2" t="s">
        <v>556</v>
      </c>
      <c r="D92" s="2">
        <f>IFERROR(VLOOKUP($C92,'_METADATA_TEMPLATE'!$B$2:$H$826,2,FALSE),"")</f>
        <v>159</v>
      </c>
      <c r="E92" s="2" t="str">
        <f>IFERROR(VLOOKUP($C92,'_METADATA_TEMPLATE'!$B$2:$H$826,4,FALSE),"")</f>
        <v>SE2026 - L BLOK II</v>
      </c>
      <c r="F92" s="2" t="str">
        <f>IFERROR(VLOOKUP($C92,'_METADATA_TEMPLATE'!$B$2:$H$826,5,FALSE),"")</f>
        <v>13</v>
      </c>
      <c r="G92" s="2" t="str">
        <f>IFERROR(VLOOKUP($C92,'_METADATA_TEMPLATE'!$B$2:$H$826,6,FALSE),"")</f>
        <v>a. Apa kegiatan utama usaha/perusahaan ini? Tuliskan selengkapnya</v>
      </c>
      <c r="H92" s="2" t="str">
        <f>IFERROR(VLOOKUP($C92,'_METADATA_TEMPLATE'!$B$2:$H$826,7,FALSE),"")</f>
        <v>Text Input</v>
      </c>
      <c r="I92" s="2" t="str">
        <f>IFERROR(VLOOKUP(C92,'_METADATA_DEFAULT'!$A:$B,2,FALSE),"")</f>
        <v/>
      </c>
    </row>
    <row r="93" ht="15.75" customHeight="1">
      <c r="A93" s="3" t="s">
        <v>774</v>
      </c>
      <c r="B93" s="3" t="s">
        <v>558</v>
      </c>
      <c r="C93" s="3" t="s">
        <v>559</v>
      </c>
      <c r="D93" s="3">
        <f>IFERROR(VLOOKUP($C93,'_METADATA_TEMPLATE'!$B$2:$H$826,2,FALSE),"")</f>
        <v>160</v>
      </c>
      <c r="E93" s="3" t="str">
        <f>IFERROR(VLOOKUP($C93,'_METADATA_TEMPLATE'!$B$2:$H$826,4,FALSE),"")</f>
        <v>SE2026 - L BLOK II</v>
      </c>
      <c r="F93" s="3" t="str">
        <f>IFERROR(VLOOKUP($C93,'_METADATA_TEMPLATE'!$B$2:$H$826,5,FALSE),"")</f>
        <v>13</v>
      </c>
      <c r="G93" s="3" t="str">
        <f>IFERROR(VLOOKUP($C93,'_METADATA_TEMPLATE'!$B$2:$H$826,6,FALSE),"")</f>
        <v>b1. Apakah memproduksi barang di lokasi ini?</v>
      </c>
      <c r="H93" s="3" t="str">
        <f>IFERROR(VLOOKUP($C93,'_METADATA_TEMPLATE'!$B$2:$H$826,7,FALSE),"")</f>
        <v>Radio Group</v>
      </c>
      <c r="I93" s="3" t="str">
        <f>IFERROR(VLOOKUP(C93,'_METADATA_DEFAULT'!$A:$B,2,FALSE),"")</f>
        <v/>
      </c>
    </row>
    <row r="94" ht="15.75" customHeight="1">
      <c r="A94" s="2" t="s">
        <v>774</v>
      </c>
      <c r="B94" s="2" t="s">
        <v>561</v>
      </c>
      <c r="C94" s="2" t="s">
        <v>559</v>
      </c>
      <c r="D94" s="2">
        <f>IFERROR(VLOOKUP($C94,'_METADATA_TEMPLATE'!$B$2:$H$826,2,FALSE),"")</f>
        <v>160</v>
      </c>
      <c r="E94" s="2" t="str">
        <f>IFERROR(VLOOKUP($C94,'_METADATA_TEMPLATE'!$B$2:$H$826,4,FALSE),"")</f>
        <v>SE2026 - L BLOK II</v>
      </c>
      <c r="F94" s="2" t="str">
        <f>IFERROR(VLOOKUP($C94,'_METADATA_TEMPLATE'!$B$2:$H$826,5,FALSE),"")</f>
        <v>13</v>
      </c>
      <c r="G94" s="2" t="str">
        <f>IFERROR(VLOOKUP($C94,'_METADATA_TEMPLATE'!$B$2:$H$826,6,FALSE),"")</f>
        <v>b1. Apakah memproduksi barang di lokasi ini?</v>
      </c>
      <c r="H94" s="2" t="str">
        <f>IFERROR(VLOOKUP($C94,'_METADATA_TEMPLATE'!$B$2:$H$826,7,FALSE),"")</f>
        <v>Radio Group</v>
      </c>
      <c r="I94" s="2" t="str">
        <f>IFERROR(VLOOKUP(C94,'_METADATA_DEFAULT'!$A:$B,2,FALSE),"")</f>
        <v/>
      </c>
    </row>
    <row r="95" ht="15.75" customHeight="1">
      <c r="A95" s="3" t="s">
        <v>774</v>
      </c>
      <c r="B95" s="3" t="s">
        <v>564</v>
      </c>
      <c r="C95" s="3" t="s">
        <v>565</v>
      </c>
      <c r="D95" s="3">
        <f>IFERROR(VLOOKUP($C95,'_METADATA_TEMPLATE'!$B$2:$H$826,2,FALSE),"")</f>
        <v>161</v>
      </c>
      <c r="E95" s="3" t="str">
        <f>IFERROR(VLOOKUP($C95,'_METADATA_TEMPLATE'!$B$2:$H$826,4,FALSE),"")</f>
        <v>SE2026 - L BLOK II</v>
      </c>
      <c r="F95" s="3" t="str">
        <f>IFERROR(VLOOKUP($C95,'_METADATA_TEMPLATE'!$B$2:$H$826,5,FALSE),"")</f>
        <v>13</v>
      </c>
      <c r="G95" s="3" t="str">
        <f>IFERROR(VLOOKUP($C95,'_METADATA_TEMPLATE'!$B$2:$H$826,6,FALSE),"")</f>
        <v>b2. Apakah menyediakan layanan makan minum? Ciri: terdapat kegiatan peracikkan, pemanasan ulang, atau pembuatan produk berdasarkan pesanan/permintaan pelanggan</v>
      </c>
      <c r="H95" s="3" t="str">
        <f>IFERROR(VLOOKUP($C95,'_METADATA_TEMPLATE'!$B$2:$H$826,7,FALSE),"")</f>
        <v>Radio Group</v>
      </c>
      <c r="I95" s="3" t="str">
        <f>IFERROR(VLOOKUP(C95,'_METADATA_DEFAULT'!$A:$B,2,FALSE),"")</f>
        <v/>
      </c>
    </row>
    <row r="96" ht="15.75" customHeight="1">
      <c r="A96" s="2" t="s">
        <v>774</v>
      </c>
      <c r="B96" s="2" t="s">
        <v>567</v>
      </c>
      <c r="C96" s="2" t="s">
        <v>565</v>
      </c>
      <c r="D96" s="2">
        <f>IFERROR(VLOOKUP($C96,'_METADATA_TEMPLATE'!$B$2:$H$826,2,FALSE),"")</f>
        <v>161</v>
      </c>
      <c r="E96" s="2" t="str">
        <f>IFERROR(VLOOKUP($C96,'_METADATA_TEMPLATE'!$B$2:$H$826,4,FALSE),"")</f>
        <v>SE2026 - L BLOK II</v>
      </c>
      <c r="F96" s="2" t="str">
        <f>IFERROR(VLOOKUP($C96,'_METADATA_TEMPLATE'!$B$2:$H$826,5,FALSE),"")</f>
        <v>13</v>
      </c>
      <c r="G96" s="2" t="str">
        <f>IFERROR(VLOOKUP($C96,'_METADATA_TEMPLATE'!$B$2:$H$826,6,FALSE),"")</f>
        <v>b2. Apakah menyediakan layanan makan minum? Ciri: terdapat kegiatan peracikkan, pemanasan ulang, atau pembuatan produk berdasarkan pesanan/permintaan pelanggan</v>
      </c>
      <c r="H96" s="2" t="str">
        <f>IFERROR(VLOOKUP($C96,'_METADATA_TEMPLATE'!$B$2:$H$826,7,FALSE),"")</f>
        <v>Radio Group</v>
      </c>
      <c r="I96" s="2" t="str">
        <f>IFERROR(VLOOKUP(C96,'_METADATA_DEFAULT'!$A:$B,2,FALSE),"")</f>
        <v/>
      </c>
    </row>
    <row r="97" ht="15.75" customHeight="1">
      <c r="A97" s="3" t="s">
        <v>774</v>
      </c>
      <c r="B97" s="3" t="s">
        <v>569</v>
      </c>
      <c r="C97" s="3" t="s">
        <v>570</v>
      </c>
      <c r="D97" s="3">
        <f>IFERROR(VLOOKUP($C97,'_METADATA_TEMPLATE'!$B$2:$H$826,2,FALSE),"")</f>
        <v>162</v>
      </c>
      <c r="E97" s="3" t="str">
        <f>IFERROR(VLOOKUP($C97,'_METADATA_TEMPLATE'!$B$2:$H$826,4,FALSE),"")</f>
        <v>SE2026 - L BLOK II</v>
      </c>
      <c r="F97" s="3" t="str">
        <f>IFERROR(VLOOKUP($C97,'_METADATA_TEMPLATE'!$B$2:$H$826,5,FALSE),"")</f>
        <v>13</v>
      </c>
      <c r="G97" s="3" t="str">
        <f>IFERROR(VLOOKUP($C97,'_METADATA_TEMPLATE'!$B$2:$H$826,6,FALSE),"")</f>
        <v>b3. Apakah melakukan penjualan barang?</v>
      </c>
      <c r="H97" s="3" t="str">
        <f>IFERROR(VLOOKUP($C97,'_METADATA_TEMPLATE'!$B$2:$H$826,7,FALSE),"")</f>
        <v>Radio Group</v>
      </c>
      <c r="I97" s="3" t="str">
        <f>IFERROR(VLOOKUP(C97,'_METADATA_DEFAULT'!$A:$B,2,FALSE),"")</f>
        <v/>
      </c>
    </row>
    <row r="98" ht="15.75" customHeight="1">
      <c r="A98" s="2" t="s">
        <v>774</v>
      </c>
      <c r="B98" s="2" t="s">
        <v>572</v>
      </c>
      <c r="C98" s="2" t="s">
        <v>570</v>
      </c>
      <c r="D98" s="2">
        <f>IFERROR(VLOOKUP($C98,'_METADATA_TEMPLATE'!$B$2:$H$826,2,FALSE),"")</f>
        <v>162</v>
      </c>
      <c r="E98" s="2" t="str">
        <f>IFERROR(VLOOKUP($C98,'_METADATA_TEMPLATE'!$B$2:$H$826,4,FALSE),"")</f>
        <v>SE2026 - L BLOK II</v>
      </c>
      <c r="F98" s="2" t="str">
        <f>IFERROR(VLOOKUP($C98,'_METADATA_TEMPLATE'!$B$2:$H$826,5,FALSE),"")</f>
        <v>13</v>
      </c>
      <c r="G98" s="2" t="str">
        <f>IFERROR(VLOOKUP($C98,'_METADATA_TEMPLATE'!$B$2:$H$826,6,FALSE),"")</f>
        <v>b3. Apakah melakukan penjualan barang?</v>
      </c>
      <c r="H98" s="2" t="str">
        <f>IFERROR(VLOOKUP($C98,'_METADATA_TEMPLATE'!$B$2:$H$826,7,FALSE),"")</f>
        <v>Radio Group</v>
      </c>
      <c r="I98" s="2" t="str">
        <f>IFERROR(VLOOKUP(C98,'_METADATA_DEFAULT'!$A:$B,2,FALSE),"")</f>
        <v/>
      </c>
    </row>
    <row r="99" ht="15.75" customHeight="1">
      <c r="A99" s="3" t="s">
        <v>774</v>
      </c>
      <c r="B99" s="3" t="s">
        <v>574</v>
      </c>
      <c r="C99" s="3" t="s">
        <v>575</v>
      </c>
      <c r="D99" s="3">
        <f>IFERROR(VLOOKUP($C99,'_METADATA_TEMPLATE'!$B$2:$H$826,2,FALSE),"")</f>
        <v>163</v>
      </c>
      <c r="E99" s="3" t="str">
        <f>IFERROR(VLOOKUP($C99,'_METADATA_TEMPLATE'!$B$2:$H$826,4,FALSE),"")</f>
        <v>SE2026 - L BLOK II</v>
      </c>
      <c r="F99" s="3" t="str">
        <f>IFERROR(VLOOKUP($C99,'_METADATA_TEMPLATE'!$B$2:$H$826,5,FALSE),"")</f>
        <v>13</v>
      </c>
      <c r="G99" s="3" t="str">
        <f>IFERROR(VLOOKUP($C99,'_METADATA_TEMPLATE'!$B$2:$H$826,6,FALSE),"")</f>
        <v>b4. Pilih salah satu aktivitas yang dilakukan:</v>
      </c>
      <c r="H99" s="3" t="str">
        <f>IFERROR(VLOOKUP($C99,'_METADATA_TEMPLATE'!$B$2:$H$826,7,FALSE),"")</f>
        <v>Radio Group</v>
      </c>
      <c r="I99" s="3" t="str">
        <f>IFERROR(VLOOKUP(C99,'_METADATA_DEFAULT'!$A:$B,2,FALSE),"")</f>
        <v/>
      </c>
    </row>
    <row r="100" ht="15.75" customHeight="1">
      <c r="A100" s="2" t="s">
        <v>774</v>
      </c>
      <c r="B100" s="2" t="s">
        <v>577</v>
      </c>
      <c r="C100" s="2" t="s">
        <v>575</v>
      </c>
      <c r="D100" s="2">
        <f>IFERROR(VLOOKUP($C100,'_METADATA_TEMPLATE'!$B$2:$H$826,2,FALSE),"")</f>
        <v>163</v>
      </c>
      <c r="E100" s="2" t="str">
        <f>IFERROR(VLOOKUP($C100,'_METADATA_TEMPLATE'!$B$2:$H$826,4,FALSE),"")</f>
        <v>SE2026 - L BLOK II</v>
      </c>
      <c r="F100" s="2" t="str">
        <f>IFERROR(VLOOKUP($C100,'_METADATA_TEMPLATE'!$B$2:$H$826,5,FALSE),"")</f>
        <v>13</v>
      </c>
      <c r="G100" s="2" t="str">
        <f>IFERROR(VLOOKUP($C100,'_METADATA_TEMPLATE'!$B$2:$H$826,6,FALSE),"")</f>
        <v>b4. Pilih salah satu aktivitas yang dilakukan:</v>
      </c>
      <c r="H100" s="2" t="str">
        <f>IFERROR(VLOOKUP($C100,'_METADATA_TEMPLATE'!$B$2:$H$826,7,FALSE),"")</f>
        <v>Radio Group</v>
      </c>
      <c r="I100" s="2" t="str">
        <f>IFERROR(VLOOKUP(C100,'_METADATA_DEFAULT'!$A:$B,2,FALSE),"")</f>
        <v/>
      </c>
    </row>
    <row r="101" ht="15.75" customHeight="1">
      <c r="A101" s="3" t="s">
        <v>774</v>
      </c>
      <c r="B101" s="3" t="s">
        <v>1441</v>
      </c>
      <c r="C101" s="3" t="s">
        <v>1441</v>
      </c>
      <c r="D101" s="3">
        <f>IFERROR(VLOOKUP($C101,'_METADATA_TEMPLATE'!$B$2:$H$826,2,FALSE),"")</f>
        <v>163</v>
      </c>
      <c r="E101" s="3" t="str">
        <f>IFERROR(VLOOKUP($C101,'_METADATA_TEMPLATE'!$B$2:$H$826,4,FALSE),"")</f>
        <v/>
      </c>
      <c r="F101" s="3" t="str">
        <f>IFERROR(VLOOKUP($C101,'_METADATA_TEMPLATE'!$B$2:$H$826,5,FALSE),"")</f>
        <v/>
      </c>
      <c r="G101" s="3" t="str">
        <f>IFERROR(VLOOKUP($C101,'_METADATA_TEMPLATE'!$B$2:$H$826,6,FALSE),"")</f>
        <v>kab_prelist</v>
      </c>
      <c r="H101" s="3" t="str">
        <f>IFERROR(VLOOKUP($C101,'_METADATA_TEMPLATE'!$B$2:$H$826,7,FALSE),"")</f>
        <v>Variable</v>
      </c>
      <c r="I101" s="3" t="str">
        <f>IFERROR(VLOOKUP(C101,'_METADATA_DEFAULT'!$A:$B,2,FALSE),"")</f>
        <v/>
      </c>
    </row>
    <row r="102" ht="15.75" customHeight="1">
      <c r="A102" s="2" t="s">
        <v>774</v>
      </c>
      <c r="B102" s="2" t="s">
        <v>579</v>
      </c>
      <c r="C102" s="2" t="s">
        <v>581</v>
      </c>
      <c r="D102" s="2">
        <f>IFERROR(VLOOKUP($C102,'_METADATA_TEMPLATE'!$B$2:$H$826,2,FALSE),"")</f>
        <v>164</v>
      </c>
      <c r="E102" s="2" t="str">
        <f>IFERROR(VLOOKUP($C102,'_METADATA_TEMPLATE'!$B$2:$H$826,4,FALSE),"")</f>
        <v>SE2026 - L BLOK II</v>
      </c>
      <c r="F102" s="2" t="str">
        <f>IFERROR(VLOOKUP($C102,'_METADATA_TEMPLATE'!$B$2:$H$826,5,FALSE),"")</f>
        <v>13</v>
      </c>
      <c r="G102" s="2" t="str">
        <f>IFERROR(VLOOKUP($C102,'_METADATA_TEMPLATE'!$B$2:$H$826,6,FALSE),"")</f>
        <v>c. Di mana usaha tersebut biasa dilakukan?</v>
      </c>
      <c r="H102" s="2" t="str">
        <f>IFERROR(VLOOKUP($C102,'_METADATA_TEMPLATE'!$B$2:$H$826,7,FALSE),"")</f>
        <v>Radio Group</v>
      </c>
      <c r="I102" s="2" t="str">
        <f>IFERROR(VLOOKUP(C102,'_METADATA_DEFAULT'!$A:$B,2,FALSE),"")</f>
        <v/>
      </c>
    </row>
    <row r="103" ht="15.75" customHeight="1">
      <c r="A103" s="3" t="s">
        <v>774</v>
      </c>
      <c r="B103" s="3" t="s">
        <v>583</v>
      </c>
      <c r="C103" s="3" t="s">
        <v>581</v>
      </c>
      <c r="D103" s="3">
        <f>IFERROR(VLOOKUP($C103,'_METADATA_TEMPLATE'!$B$2:$H$826,2,FALSE),"")</f>
        <v>164</v>
      </c>
      <c r="E103" s="3" t="str">
        <f>IFERROR(VLOOKUP($C103,'_METADATA_TEMPLATE'!$B$2:$H$826,4,FALSE),"")</f>
        <v>SE2026 - L BLOK II</v>
      </c>
      <c r="F103" s="3" t="str">
        <f>IFERROR(VLOOKUP($C103,'_METADATA_TEMPLATE'!$B$2:$H$826,5,FALSE),"")</f>
        <v>13</v>
      </c>
      <c r="G103" s="3" t="str">
        <f>IFERROR(VLOOKUP($C103,'_METADATA_TEMPLATE'!$B$2:$H$826,6,FALSE),"")</f>
        <v>c. Di mana usaha tersebut biasa dilakukan?</v>
      </c>
      <c r="H103" s="3" t="str">
        <f>IFERROR(VLOOKUP($C103,'_METADATA_TEMPLATE'!$B$2:$H$826,7,FALSE),"")</f>
        <v>Radio Group</v>
      </c>
      <c r="I103" s="3" t="str">
        <f>IFERROR(VLOOKUP(C103,'_METADATA_DEFAULT'!$A:$B,2,FALSE),"")</f>
        <v/>
      </c>
    </row>
    <row r="104" ht="15.75" customHeight="1">
      <c r="A104" s="2" t="s">
        <v>774</v>
      </c>
      <c r="B104" s="2" t="s">
        <v>1455</v>
      </c>
      <c r="C104" s="2" t="s">
        <v>1455</v>
      </c>
      <c r="D104" s="2">
        <f>IFERROR(VLOOKUP($C104,'_METADATA_TEMPLATE'!$B$2:$H$826,2,FALSE),"")</f>
        <v>164</v>
      </c>
      <c r="E104" s="2" t="str">
        <f>IFERROR(VLOOKUP($C104,'_METADATA_TEMPLATE'!$B$2:$H$826,4,FALSE),"")</f>
        <v/>
      </c>
      <c r="F104" s="2" t="str">
        <f>IFERROR(VLOOKUP($C104,'_METADATA_TEMPLATE'!$B$2:$H$826,5,FALSE),"")</f>
        <v/>
      </c>
      <c r="G104" s="2" t="str">
        <f>IFERROR(VLOOKUP($C104,'_METADATA_TEMPLATE'!$B$2:$H$826,6,FALSE),"")</f>
        <v>kab_l_loaded</v>
      </c>
      <c r="H104" s="2" t="str">
        <f>IFERROR(VLOOKUP($C104,'_METADATA_TEMPLATE'!$B$2:$H$826,7,FALSE),"")</f>
        <v>Variable</v>
      </c>
      <c r="I104" s="2" t="str">
        <f>IFERROR(VLOOKUP(C104,'_METADATA_DEFAULT'!$A:$B,2,FALSE),"")</f>
        <v/>
      </c>
    </row>
    <row r="105" ht="15.75" customHeight="1">
      <c r="A105" s="3" t="s">
        <v>774</v>
      </c>
      <c r="B105" s="3" t="s">
        <v>587</v>
      </c>
      <c r="C105" s="3" t="s">
        <v>587</v>
      </c>
      <c r="D105" s="3">
        <f>IFERROR(VLOOKUP($C105,'_METADATA_TEMPLATE'!$B$2:$H$826,2,FALSE),"")</f>
        <v>165</v>
      </c>
      <c r="E105" s="3" t="str">
        <f>IFERROR(VLOOKUP($C105,'_METADATA_TEMPLATE'!$B$2:$H$826,4,FALSE),"")</f>
        <v>SE2026 - L BLOK II</v>
      </c>
      <c r="F105" s="3" t="str">
        <f>IFERROR(VLOOKUP($C105,'_METADATA_TEMPLATE'!$B$2:$H$826,5,FALSE),"")</f>
        <v>13</v>
      </c>
      <c r="G105" s="3" t="str">
        <f>IFERROR(VLOOKUP($C105,'_METADATA_TEMPLATE'!$B$2:$H$826,6,FALSE),"")</f>
        <v>d. Apa input yang digunakan? Contoh: daging ikan, tepung; daging kebab, kulit kebab, sayuran; bambu; jagung pipil; kaca; kain; kulit sapi; kayu bulat; rotan; kunci polos</v>
      </c>
      <c r="H105" s="3" t="str">
        <f>IFERROR(VLOOKUP($C105,'_METADATA_TEMPLATE'!$B$2:$H$826,7,FALSE),"")</f>
        <v>Text Area</v>
      </c>
      <c r="I105" s="3" t="str">
        <f>IFERROR(VLOOKUP(C105,'_METADATA_DEFAULT'!$A:$B,2,FALSE),"")</f>
        <v/>
      </c>
    </row>
    <row r="106" ht="15.75" customHeight="1">
      <c r="A106" s="2" t="s">
        <v>774</v>
      </c>
      <c r="B106" s="2" t="s">
        <v>589</v>
      </c>
      <c r="C106" s="2" t="s">
        <v>589</v>
      </c>
      <c r="D106" s="2">
        <f>IFERROR(VLOOKUP($C106,'_METADATA_TEMPLATE'!$B$2:$H$826,2,FALSE),"")</f>
        <v>166</v>
      </c>
      <c r="E106" s="2" t="str">
        <f>IFERROR(VLOOKUP($C106,'_METADATA_TEMPLATE'!$B$2:$H$826,4,FALSE),"")</f>
        <v>SE2026 - L BLOK II</v>
      </c>
      <c r="F106" s="2" t="str">
        <f>IFERROR(VLOOKUP($C106,'_METADATA_TEMPLATE'!$B$2:$H$826,5,FALSE),"")</f>
        <v>13</v>
      </c>
      <c r="G106" s="2" t="str">
        <f>IFERROR(VLOOKUP($C106,'_METADATA_TEMPLATE'!$B$2:$H$826,6,FALSE),"")</f>
        <v>e. Bagaimana proses mengubah input tersebut menjadi produk output (beserta alatnya)? Contoh: menggiling daging ikan menjadi sosis; membuat kebab di rumah dan sudah dikemasi kemudian dititipkan di warung; penggaraman; pengasapan; pemindangan; pembekuan.</v>
      </c>
      <c r="H106" s="2" t="str">
        <f>IFERROR(VLOOKUP($C106,'_METADATA_TEMPLATE'!$B$2:$H$826,7,FALSE),"")</f>
        <v>Text Area</v>
      </c>
      <c r="I106" s="2" t="str">
        <f>IFERROR(VLOOKUP(C106,'_METADATA_DEFAULT'!$A:$B,2,FALSE),"")</f>
        <v/>
      </c>
    </row>
    <row r="107" ht="15.75" customHeight="1">
      <c r="A107" s="3" t="s">
        <v>774</v>
      </c>
      <c r="B107" s="3" t="s">
        <v>592</v>
      </c>
      <c r="C107" s="3" t="s">
        <v>592</v>
      </c>
      <c r="D107" s="3">
        <f>IFERROR(VLOOKUP($C107,'_METADATA_TEMPLATE'!$B$2:$H$826,2,FALSE),"")</f>
        <v>167</v>
      </c>
      <c r="E107" s="3" t="str">
        <f>IFERROR(VLOOKUP($C107,'_METADATA_TEMPLATE'!$B$2:$H$826,4,FALSE),"")</f>
        <v>SE2026 - L BLOK II</v>
      </c>
      <c r="F107" s="3" t="str">
        <f>IFERROR(VLOOKUP($C107,'_METADATA_TEMPLATE'!$B$2:$H$826,5,FALSE),"")</f>
        <v>13</v>
      </c>
      <c r="G107" s="3" t="str">
        <f>IFERROR(VLOOKUP($C107,'_METADATA_TEMPLATE'!$B$2:$H$826,6,FALSE),"")</f>
        <v>f. Apa produk utama yang dihasilkan?</v>
      </c>
      <c r="H107" s="3" t="str">
        <f>IFERROR(VLOOKUP($C107,'_METADATA_TEMPLATE'!$B$2:$H$826,7,FALSE),"")</f>
        <v>Text Input</v>
      </c>
      <c r="I107" s="3" t="str">
        <f>IFERROR(VLOOKUP(C107,'_METADATA_DEFAULT'!$A:$B,2,FALSE),"")</f>
        <v/>
      </c>
    </row>
    <row r="108" ht="15.75" customHeight="1">
      <c r="A108" s="2" t="s">
        <v>774</v>
      </c>
      <c r="B108" s="2" t="s">
        <v>1478</v>
      </c>
      <c r="C108" s="2" t="s">
        <v>1478</v>
      </c>
      <c r="D108" s="2">
        <f>IFERROR(VLOOKUP($C108,'_METADATA_TEMPLATE'!$B$2:$H$826,2,FALSE),"")</f>
        <v>167</v>
      </c>
      <c r="E108" s="2" t="str">
        <f>IFERROR(VLOOKUP($C108,'_METADATA_TEMPLATE'!$B$2:$H$826,4,FALSE),"")</f>
        <v/>
      </c>
      <c r="F108" s="2" t="str">
        <f>IFERROR(VLOOKUP($C108,'_METADATA_TEMPLATE'!$B$2:$H$826,5,FALSE),"")</f>
        <v/>
      </c>
      <c r="G108" s="2" t="str">
        <f>IFERROR(VLOOKUP($C108,'_METADATA_TEMPLATE'!$B$2:$H$826,6,FALSE),"")</f>
        <v>set_kab_l</v>
      </c>
      <c r="H108" s="2" t="str">
        <f>IFERROR(VLOOKUP($C108,'_METADATA_TEMPLATE'!$B$2:$H$826,7,FALSE),"")</f>
        <v>Variable</v>
      </c>
      <c r="I108" s="2" t="str">
        <f>IFERROR(VLOOKUP(C108,'_METADATA_DEFAULT'!$A:$B,2,FALSE),"")</f>
        <v/>
      </c>
    </row>
    <row r="109" ht="15.75" customHeight="1">
      <c r="A109" s="3" t="s">
        <v>774</v>
      </c>
      <c r="B109" s="3" t="s">
        <v>594</v>
      </c>
      <c r="C109" s="3" t="s">
        <v>595</v>
      </c>
      <c r="D109" s="3">
        <f>IFERROR(VLOOKUP($C109,'_METADATA_TEMPLATE'!$B$2:$H$826,2,FALSE),"")</f>
        <v>168</v>
      </c>
      <c r="E109" s="3" t="str">
        <f>IFERROR(VLOOKUP($C109,'_METADATA_TEMPLATE'!$B$2:$H$826,4,FALSE),"")</f>
        <v>SE2026 - L BLOK II</v>
      </c>
      <c r="F109" s="3" t="str">
        <f>IFERROR(VLOOKUP($C109,'_METADATA_TEMPLATE'!$B$2:$H$826,5,FALSE),"")</f>
        <v>13</v>
      </c>
      <c r="G109" s="3" t="str">
        <f>IFERROR(VLOOKUP($C109,'_METADATA_TEMPLATE'!$B$2:$H$826,6,FALSE),"")</f>
        <v>g. Kode KBLI</v>
      </c>
      <c r="H109" s="3" t="str">
        <f>IFERROR(VLOOKUP($C109,'_METADATA_TEMPLATE'!$B$2:$H$826,7,FALSE),"")</f>
        <v>Radio Group</v>
      </c>
      <c r="I109" s="3" t="str">
        <f>IFERROR(VLOOKUP(C109,'_METADATA_DEFAULT'!$A:$B,2,FALSE),"")</f>
        <v/>
      </c>
    </row>
    <row r="110" ht="15.75" customHeight="1">
      <c r="A110" s="2" t="s">
        <v>774</v>
      </c>
      <c r="B110" s="2" t="s">
        <v>598</v>
      </c>
      <c r="C110" s="2" t="s">
        <v>595</v>
      </c>
      <c r="D110" s="2">
        <f>IFERROR(VLOOKUP($C110,'_METADATA_TEMPLATE'!$B$2:$H$826,2,FALSE),"")</f>
        <v>168</v>
      </c>
      <c r="E110" s="2" t="str">
        <f>IFERROR(VLOOKUP($C110,'_METADATA_TEMPLATE'!$B$2:$H$826,4,FALSE),"")</f>
        <v>SE2026 - L BLOK II</v>
      </c>
      <c r="F110" s="2" t="str">
        <f>IFERROR(VLOOKUP($C110,'_METADATA_TEMPLATE'!$B$2:$H$826,5,FALSE),"")</f>
        <v>13</v>
      </c>
      <c r="G110" s="2" t="str">
        <f>IFERROR(VLOOKUP($C110,'_METADATA_TEMPLATE'!$B$2:$H$826,6,FALSE),"")</f>
        <v>g. Kode KBLI</v>
      </c>
      <c r="H110" s="2" t="str">
        <f>IFERROR(VLOOKUP($C110,'_METADATA_TEMPLATE'!$B$2:$H$826,7,FALSE),"")</f>
        <v>Radio Group</v>
      </c>
      <c r="I110" s="2" t="str">
        <f>IFERROR(VLOOKUP(C110,'_METADATA_DEFAULT'!$A:$B,2,FALSE),"")</f>
        <v/>
      </c>
    </row>
    <row r="111" ht="15.75" customHeight="1">
      <c r="A111" s="3" t="s">
        <v>774</v>
      </c>
      <c r="B111" s="3" t="s">
        <v>600</v>
      </c>
      <c r="C111" s="3" t="s">
        <v>602</v>
      </c>
      <c r="D111" s="3">
        <f>IFERROR(VLOOKUP($C111,'_METADATA_TEMPLATE'!$B$2:$H$826,2,FALSE),"")</f>
        <v>169</v>
      </c>
      <c r="E111" s="3" t="str">
        <f>IFERROR(VLOOKUP($C111,'_METADATA_TEMPLATE'!$B$2:$H$826,4,FALSE),"")</f>
        <v>SE2026 - L BLOK II</v>
      </c>
      <c r="F111" s="3" t="str">
        <f>IFERROR(VLOOKUP($C111,'_METADATA_TEMPLATE'!$B$2:$H$826,5,FALSE),"")</f>
        <v/>
      </c>
      <c r="G111" s="3" t="str">
        <f>IFERROR(VLOOKUP($C111,'_METADATA_TEMPLATE'!$B$2:$H$826,6,FALSE),"")</f>
        <v>Pilih dari Master KBLI</v>
      </c>
      <c r="H111" s="3" t="str">
        <f>IFERROR(VLOOKUP($C111,'_METADATA_TEMPLATE'!$B$2:$H$826,7,FALSE),"")</f>
        <v>Select</v>
      </c>
      <c r="I111" s="3" t="str">
        <f>IFERROR(VLOOKUP(C111,'_METADATA_DEFAULT'!$A:$B,2,FALSE),"")</f>
        <v/>
      </c>
    </row>
    <row r="112" ht="15.75" customHeight="1">
      <c r="A112" s="2" t="s">
        <v>774</v>
      </c>
      <c r="B112" s="2" t="s">
        <v>605</v>
      </c>
      <c r="C112" s="2" t="s">
        <v>602</v>
      </c>
      <c r="D112" s="2">
        <f>IFERROR(VLOOKUP($C112,'_METADATA_TEMPLATE'!$B$2:$H$826,2,FALSE),"")</f>
        <v>169</v>
      </c>
      <c r="E112" s="2" t="str">
        <f>IFERROR(VLOOKUP($C112,'_METADATA_TEMPLATE'!$B$2:$H$826,4,FALSE),"")</f>
        <v>SE2026 - L BLOK II</v>
      </c>
      <c r="F112" s="2" t="str">
        <f>IFERROR(VLOOKUP($C112,'_METADATA_TEMPLATE'!$B$2:$H$826,5,FALSE),"")</f>
        <v/>
      </c>
      <c r="G112" s="2" t="str">
        <f>IFERROR(VLOOKUP($C112,'_METADATA_TEMPLATE'!$B$2:$H$826,6,FALSE),"")</f>
        <v>Pilih dari Master KBLI</v>
      </c>
      <c r="H112" s="2" t="str">
        <f>IFERROR(VLOOKUP($C112,'_METADATA_TEMPLATE'!$B$2:$H$826,7,FALSE),"")</f>
        <v>Select</v>
      </c>
      <c r="I112" s="2" t="str">
        <f>IFERROR(VLOOKUP(C112,'_METADATA_DEFAULT'!$A:$B,2,FALSE),"")</f>
        <v/>
      </c>
    </row>
    <row r="113" ht="15.75" customHeight="1">
      <c r="A113" s="3" t="s">
        <v>774</v>
      </c>
      <c r="B113" s="3" t="s">
        <v>1507</v>
      </c>
      <c r="C113" s="3" t="s">
        <v>1507</v>
      </c>
      <c r="D113" s="3">
        <f>IFERROR(VLOOKUP($C113,'_METADATA_TEMPLATE'!$B$2:$H$826,2,FALSE),"")</f>
        <v>169</v>
      </c>
      <c r="E113" s="3" t="str">
        <f>IFERROR(VLOOKUP($C113,'_METADATA_TEMPLATE'!$B$2:$H$826,4,FALSE),"")</f>
        <v/>
      </c>
      <c r="F113" s="3" t="str">
        <f>IFERROR(VLOOKUP($C113,'_METADATA_TEMPLATE'!$B$2:$H$826,5,FALSE),"")</f>
        <v/>
      </c>
      <c r="G113" s="3" t="str">
        <f>IFERROR(VLOOKUP($C113,'_METADATA_TEMPLATE'!$B$2:$H$826,6,FALSE),"")</f>
        <v>kode_kab</v>
      </c>
      <c r="H113" s="3" t="str">
        <f>IFERROR(VLOOKUP($C113,'_METADATA_TEMPLATE'!$B$2:$H$826,7,FALSE),"")</f>
        <v>Variable</v>
      </c>
      <c r="I113" s="3" t="str">
        <f>IFERROR(VLOOKUP(C113,'_METADATA_DEFAULT'!$A:$B,2,FALSE),"")</f>
        <v/>
      </c>
    </row>
    <row r="114" ht="15.75" customHeight="1">
      <c r="A114" s="2" t="s">
        <v>774</v>
      </c>
      <c r="B114" s="2" t="s">
        <v>606</v>
      </c>
      <c r="C114" s="2" t="s">
        <v>606</v>
      </c>
      <c r="D114" s="2">
        <f>IFERROR(VLOOKUP($C114,'_METADATA_TEMPLATE'!$B$2:$H$826,2,FALSE),"")</f>
        <v>170</v>
      </c>
      <c r="E114" s="2" t="str">
        <f>IFERROR(VLOOKUP($C114,'_METADATA_TEMPLATE'!$B$2:$H$826,4,FALSE),"")</f>
        <v>SE2026 - L BLOK II</v>
      </c>
      <c r="F114" s="2" t="str">
        <f>IFERROR(VLOOKUP($C114,'_METADATA_TEMPLATE'!$B$2:$H$826,5,FALSE),"")</f>
        <v>13</v>
      </c>
      <c r="G114" s="2" t="str">
        <f>IFERROR(VLOOKUP($C114,'_METADATA_TEMPLATE'!$B$2:$H$826,6,FALSE),"")</f>
        <v>h. Kategori Lapangan Usaha:</v>
      </c>
      <c r="H114" s="2" t="str">
        <f>IFERROR(VLOOKUP($C114,'_METADATA_TEMPLATE'!$B$2:$H$826,7,FALSE),"")</f>
        <v>Variable</v>
      </c>
      <c r="I114" s="2" t="str">
        <f>IFERROR(VLOOKUP(C114,'_METADATA_DEFAULT'!$A:$B,2,FALSE),"")</f>
        <v/>
      </c>
    </row>
    <row r="115" ht="15.75" customHeight="1">
      <c r="A115" s="3" t="s">
        <v>774</v>
      </c>
      <c r="B115" s="3" t="s">
        <v>1512</v>
      </c>
      <c r="C115" s="3" t="s">
        <v>1512</v>
      </c>
      <c r="D115" s="3">
        <f>IFERROR(VLOOKUP($C115,'_METADATA_TEMPLATE'!$B$2:$H$826,2,FALSE),"")</f>
        <v>170</v>
      </c>
      <c r="E115" s="3" t="str">
        <f>IFERROR(VLOOKUP($C115,'_METADATA_TEMPLATE'!$B$2:$H$826,4,FALSE),"")</f>
        <v/>
      </c>
      <c r="F115" s="3" t="str">
        <f>IFERROR(VLOOKUP($C115,'_METADATA_TEMPLATE'!$B$2:$H$826,5,FALSE),"")</f>
        <v/>
      </c>
      <c r="G115" s="3" t="str">
        <f>IFERROR(VLOOKUP($C115,'_METADATA_TEMPLATE'!$B$2:$H$826,6,FALSE),"")</f>
        <v>kode_kab_full</v>
      </c>
      <c r="H115" s="3" t="str">
        <f>IFERROR(VLOOKUP($C115,'_METADATA_TEMPLATE'!$B$2:$H$826,7,FALSE),"")</f>
        <v>Variable</v>
      </c>
      <c r="I115" s="3" t="str">
        <f>IFERROR(VLOOKUP(C115,'_METADATA_DEFAULT'!$A:$B,2,FALSE),"")</f>
        <v/>
      </c>
    </row>
    <row r="116" ht="15.75" customHeight="1">
      <c r="A116" s="2" t="s">
        <v>774</v>
      </c>
      <c r="B116" s="2" t="s">
        <v>611</v>
      </c>
      <c r="C116" s="2" t="s">
        <v>611</v>
      </c>
      <c r="D116" s="2">
        <f>IFERROR(VLOOKUP($C116,'_METADATA_TEMPLATE'!$B$2:$H$826,2,FALSE),"")</f>
        <v>171</v>
      </c>
      <c r="E116" s="2" t="str">
        <f>IFERROR(VLOOKUP($C116,'_METADATA_TEMPLATE'!$B$2:$H$826,4,FALSE),"")</f>
        <v>SE2026 - L BLOK II</v>
      </c>
      <c r="F116" s="2" t="str">
        <f>IFERROR(VLOOKUP($C116,'_METADATA_TEMPLATE'!$B$2:$H$826,5,FALSE),"")</f>
        <v/>
      </c>
      <c r="G116" s="2" t="str">
        <f>IFERROR(VLOOKUP($C116,'_METADATA_TEMPLATE'!$B$2:$H$826,6,FALSE),"")</f>
        <v>Cek Kategori &amp; KBLI (Diisi oleh PML)</v>
      </c>
      <c r="H116" s="2" t="str">
        <f>IFERROR(VLOOKUP($C116,'_METADATA_TEMPLATE'!$B$2:$H$826,7,FALSE),"")</f>
        <v>Radio Group</v>
      </c>
      <c r="I116" s="2" t="str">
        <f>IFERROR(VLOOKUP(C116,'_METADATA_DEFAULT'!$A:$B,2,FALSE),"")</f>
        <v/>
      </c>
    </row>
    <row r="117" ht="15.75" customHeight="1">
      <c r="A117" s="3" t="s">
        <v>774</v>
      </c>
      <c r="B117" s="3" t="s">
        <v>616</v>
      </c>
      <c r="C117" s="3" t="s">
        <v>617</v>
      </c>
      <c r="D117" s="3">
        <f>IFERROR(VLOOKUP($C117,'_METADATA_TEMPLATE'!$B$2:$H$826,2,FALSE),"")</f>
        <v>172</v>
      </c>
      <c r="E117" s="3" t="str">
        <f>IFERROR(VLOOKUP($C117,'_METADATA_TEMPLATE'!$B$2:$H$826,4,FALSE),"")</f>
        <v>SE2026 - L BLOK II</v>
      </c>
      <c r="F117" s="3" t="str">
        <f>IFERROR(VLOOKUP($C117,'_METADATA_TEMPLATE'!$B$2:$H$826,5,FALSE),"")</f>
        <v>13</v>
      </c>
      <c r="G117" s="3" t="str">
        <f>IFERROR(VLOOKUP($C117,'_METADATA_TEMPLATE'!$B$2:$H$826,6,FALSE),"")</f>
        <v>i. Jika usaha/perusahaan merupakan akomodasi jangka pendek, apa klasifikasi usaha/perusahaan ini?</v>
      </c>
      <c r="H117" s="3" t="str">
        <f>IFERROR(VLOOKUP($C117,'_METADATA_TEMPLATE'!$B$2:$H$826,7,FALSE),"")</f>
        <v>Radio Group</v>
      </c>
      <c r="I117" s="3" t="str">
        <f>IFERROR(VLOOKUP(C117,'_METADATA_DEFAULT'!$A:$B,2,FALSE),"")</f>
        <v/>
      </c>
    </row>
    <row r="118" ht="15.75" customHeight="1">
      <c r="A118" s="2" t="s">
        <v>774</v>
      </c>
      <c r="B118" s="2" t="s">
        <v>620</v>
      </c>
      <c r="C118" s="2" t="s">
        <v>617</v>
      </c>
      <c r="D118" s="2">
        <f>IFERROR(VLOOKUP($C118,'_METADATA_TEMPLATE'!$B$2:$H$826,2,FALSE),"")</f>
        <v>172</v>
      </c>
      <c r="E118" s="2" t="str">
        <f>IFERROR(VLOOKUP($C118,'_METADATA_TEMPLATE'!$B$2:$H$826,4,FALSE),"")</f>
        <v>SE2026 - L BLOK II</v>
      </c>
      <c r="F118" s="2" t="str">
        <f>IFERROR(VLOOKUP($C118,'_METADATA_TEMPLATE'!$B$2:$H$826,5,FALSE),"")</f>
        <v>13</v>
      </c>
      <c r="G118" s="2" t="str">
        <f>IFERROR(VLOOKUP($C118,'_METADATA_TEMPLATE'!$B$2:$H$826,6,FALSE),"")</f>
        <v>i. Jika usaha/perusahaan merupakan akomodasi jangka pendek, apa klasifikasi usaha/perusahaan ini?</v>
      </c>
      <c r="H118" s="2" t="str">
        <f>IFERROR(VLOOKUP($C118,'_METADATA_TEMPLATE'!$B$2:$H$826,7,FALSE),"")</f>
        <v>Radio Group</v>
      </c>
      <c r="I118" s="2" t="str">
        <f>IFERROR(VLOOKUP(C118,'_METADATA_DEFAULT'!$A:$B,2,FALSE),"")</f>
        <v/>
      </c>
    </row>
    <row r="119" ht="15.75" customHeight="1">
      <c r="A119" s="3" t="s">
        <v>774</v>
      </c>
      <c r="B119" s="3" t="s">
        <v>1584</v>
      </c>
      <c r="C119" s="3" t="s">
        <v>1584</v>
      </c>
      <c r="D119" s="3">
        <f>IFERROR(VLOOKUP($C119,'_METADATA_TEMPLATE'!$B$2:$H$826,2,FALSE),"")</f>
        <v>172</v>
      </c>
      <c r="E119" s="3" t="str">
        <f>IFERROR(VLOOKUP($C119,'_METADATA_TEMPLATE'!$B$2:$H$826,4,FALSE),"")</f>
        <v/>
      </c>
      <c r="F119" s="3" t="str">
        <f>IFERROR(VLOOKUP($C119,'_METADATA_TEMPLATE'!$B$2:$H$826,5,FALSE),"")</f>
        <v/>
      </c>
      <c r="G119" s="3" t="str">
        <f>IFERROR(VLOOKUP($C119,'_METADATA_TEMPLATE'!$B$2:$H$826,6,FALSE),"")</f>
        <v>kec_l_loaded</v>
      </c>
      <c r="H119" s="3" t="str">
        <f>IFERROR(VLOOKUP($C119,'_METADATA_TEMPLATE'!$B$2:$H$826,7,FALSE),"")</f>
        <v>Variable</v>
      </c>
      <c r="I119" s="3" t="str">
        <f>IFERROR(VLOOKUP(C119,'_METADATA_DEFAULT'!$A:$B,2,FALSE),"")</f>
        <v/>
      </c>
    </row>
    <row r="120" ht="15.75" customHeight="1">
      <c r="A120" s="2" t="s">
        <v>774</v>
      </c>
      <c r="B120" s="2" t="s">
        <v>622</v>
      </c>
      <c r="C120" s="2" t="s">
        <v>623</v>
      </c>
      <c r="D120" s="2">
        <f>IFERROR(VLOOKUP($C120,'_METADATA_TEMPLATE'!$B$2:$H$826,2,FALSE),"")</f>
        <v>173</v>
      </c>
      <c r="E120" s="2" t="str">
        <f>IFERROR(VLOOKUP($C120,'_METADATA_TEMPLATE'!$B$2:$H$826,4,FALSE),"")</f>
        <v>SE2026 - L BLOK II</v>
      </c>
      <c r="F120" s="2" t="str">
        <f>IFERROR(VLOOKUP($C120,'_METADATA_TEMPLATE'!$B$2:$H$826,5,FALSE),"")</f>
        <v>14</v>
      </c>
      <c r="G120" s="2" t="str">
        <f>IFERROR(VLOOKUP($C120,'_METADATA_TEMPLATE'!$B$2:$H$826,6,FALSE),"")</f>
        <v>a. Apa jaringan usaha dari usaha/perusahaan ini?</v>
      </c>
      <c r="H120" s="2" t="str">
        <f>IFERROR(VLOOKUP($C120,'_METADATA_TEMPLATE'!$B$2:$H$826,7,FALSE),"")</f>
        <v>Radio Group</v>
      </c>
      <c r="I120" s="2" t="str">
        <f>IFERROR(VLOOKUP(C120,'_METADATA_DEFAULT'!$A:$B,2,FALSE),"")</f>
        <v/>
      </c>
    </row>
    <row r="121" ht="15.75" customHeight="1">
      <c r="A121" s="3" t="s">
        <v>774</v>
      </c>
      <c r="B121" s="3" t="s">
        <v>626</v>
      </c>
      <c r="C121" s="3" t="s">
        <v>623</v>
      </c>
      <c r="D121" s="3">
        <f>IFERROR(VLOOKUP($C121,'_METADATA_TEMPLATE'!$B$2:$H$826,2,FALSE),"")</f>
        <v>173</v>
      </c>
      <c r="E121" s="3" t="str">
        <f>IFERROR(VLOOKUP($C121,'_METADATA_TEMPLATE'!$B$2:$H$826,4,FALSE),"")</f>
        <v>SE2026 - L BLOK II</v>
      </c>
      <c r="F121" s="3" t="str">
        <f>IFERROR(VLOOKUP($C121,'_METADATA_TEMPLATE'!$B$2:$H$826,5,FALSE),"")</f>
        <v>14</v>
      </c>
      <c r="G121" s="3" t="str">
        <f>IFERROR(VLOOKUP($C121,'_METADATA_TEMPLATE'!$B$2:$H$826,6,FALSE),"")</f>
        <v>a. Apa jaringan usaha dari usaha/perusahaan ini?</v>
      </c>
      <c r="H121" s="3" t="str">
        <f>IFERROR(VLOOKUP($C121,'_METADATA_TEMPLATE'!$B$2:$H$826,7,FALSE),"")</f>
        <v>Radio Group</v>
      </c>
      <c r="I121" s="3" t="str">
        <f>IFERROR(VLOOKUP(C121,'_METADATA_DEFAULT'!$A:$B,2,FALSE),"")</f>
        <v/>
      </c>
    </row>
    <row r="122" ht="15.75" customHeight="1">
      <c r="A122" s="2" t="s">
        <v>774</v>
      </c>
      <c r="B122" s="2" t="s">
        <v>1604</v>
      </c>
      <c r="C122" s="2" t="s">
        <v>1604</v>
      </c>
      <c r="D122" s="2">
        <f>IFERROR(VLOOKUP($C122,'_METADATA_TEMPLATE'!$B$2:$H$826,2,FALSE),"")</f>
        <v>173</v>
      </c>
      <c r="E122" s="2" t="str">
        <f>IFERROR(VLOOKUP($C122,'_METADATA_TEMPLATE'!$B$2:$H$826,4,FALSE),"")</f>
        <v/>
      </c>
      <c r="F122" s="2" t="str">
        <f>IFERROR(VLOOKUP($C122,'_METADATA_TEMPLATE'!$B$2:$H$826,5,FALSE),"")</f>
        <v/>
      </c>
      <c r="G122" s="2" t="str">
        <f>IFERROR(VLOOKUP($C122,'_METADATA_TEMPLATE'!$B$2:$H$826,6,FALSE),"")</f>
        <v>set_kec_l</v>
      </c>
      <c r="H122" s="2" t="str">
        <f>IFERROR(VLOOKUP($C122,'_METADATA_TEMPLATE'!$B$2:$H$826,7,FALSE),"")</f>
        <v>Variable</v>
      </c>
      <c r="I122" s="2" t="str">
        <f>IFERROR(VLOOKUP(C122,'_METADATA_DEFAULT'!$A:$B,2,FALSE),"")</f>
        <v/>
      </c>
    </row>
    <row r="123" ht="15.75" customHeight="1">
      <c r="A123" s="3" t="s">
        <v>774</v>
      </c>
      <c r="B123" s="3" t="s">
        <v>1610</v>
      </c>
      <c r="C123" s="3" t="s">
        <v>1610</v>
      </c>
      <c r="D123" s="3">
        <f>IFERROR(VLOOKUP($C123,'_METADATA_TEMPLATE'!$B$2:$H$826,2,FALSE),"")</f>
        <v>174</v>
      </c>
      <c r="E123" s="3" t="str">
        <f>IFERROR(VLOOKUP($C123,'_METADATA_TEMPLATE'!$B$2:$H$826,4,FALSE),"")</f>
        <v/>
      </c>
      <c r="F123" s="3" t="str">
        <f>IFERROR(VLOOKUP($C123,'_METADATA_TEMPLATE'!$B$2:$H$826,5,FALSE),"")</f>
        <v/>
      </c>
      <c r="G123" s="3" t="str">
        <f>IFERROR(VLOOKUP($C123,'_METADATA_TEMPLATE'!$B$2:$H$826,6,FALSE),"")</f>
        <v>kode_kec_full</v>
      </c>
      <c r="H123" s="3" t="str">
        <f>IFERROR(VLOOKUP($C123,'_METADATA_TEMPLATE'!$B$2:$H$826,7,FALSE),"")</f>
        <v>Variable</v>
      </c>
      <c r="I123" s="3" t="str">
        <f>IFERROR(VLOOKUP(C123,'_METADATA_DEFAULT'!$A:$B,2,FALSE),"")</f>
        <v/>
      </c>
    </row>
    <row r="124" ht="15.75" customHeight="1">
      <c r="A124" s="2" t="s">
        <v>774</v>
      </c>
      <c r="B124" s="2" t="s">
        <v>1614</v>
      </c>
      <c r="C124" s="2" t="s">
        <v>1614</v>
      </c>
      <c r="D124" s="2">
        <f>IFERROR(VLOOKUP($C124,'_METADATA_TEMPLATE'!$B$2:$H$826,2,FALSE),"")</f>
        <v>175</v>
      </c>
      <c r="E124" s="2" t="str">
        <f>IFERROR(VLOOKUP($C124,'_METADATA_TEMPLATE'!$B$2:$H$826,4,FALSE),"")</f>
        <v/>
      </c>
      <c r="F124" s="2" t="str">
        <f>IFERROR(VLOOKUP($C124,'_METADATA_TEMPLATE'!$B$2:$H$826,5,FALSE),"")</f>
        <v/>
      </c>
      <c r="G124" s="2" t="str">
        <f>IFERROR(VLOOKUP($C124,'_METADATA_TEMPLATE'!$B$2:$H$826,6,FALSE),"")</f>
        <v>Kelurahan/Desa/Nagari</v>
      </c>
      <c r="H124" s="2" t="str">
        <f>IFERROR(VLOOKUP($C124,'_METADATA_TEMPLATE'!$B$2:$H$826,7,FALSE),"")</f>
        <v>Variable</v>
      </c>
      <c r="I124" s="2" t="str">
        <f>IFERROR(VLOOKUP(C124,'_METADATA_DEFAULT'!$A:$B,2,FALSE),"")</f>
        <v/>
      </c>
    </row>
    <row r="125" ht="15.75" customHeight="1">
      <c r="A125" s="3" t="s">
        <v>774</v>
      </c>
      <c r="B125" s="3" t="s">
        <v>632</v>
      </c>
      <c r="C125" s="3" t="s">
        <v>632</v>
      </c>
      <c r="D125" s="3">
        <f>IFERROR(VLOOKUP($C125,'_METADATA_TEMPLATE'!$B$2:$H$826,2,FALSE),"")</f>
        <v>175</v>
      </c>
      <c r="E125" s="3" t="str">
        <f>IFERROR(VLOOKUP($C125,'_METADATA_TEMPLATE'!$B$2:$H$826,4,FALSE),"")</f>
        <v>SE2026 - L BLOK II</v>
      </c>
      <c r="F125" s="3" t="str">
        <f>IFERROR(VLOOKUP($C125,'_METADATA_TEMPLATE'!$B$2:$H$826,5,FALSE),"")</f>
        <v>15</v>
      </c>
      <c r="G125" s="3" t="str">
        <f>IFERROR(VLOOKUP($C125,'_METADATA_TEMPLATE'!$B$2:$H$826,6,FALSE),"")</f>
        <v>a. Nama Kantor Pusat</v>
      </c>
      <c r="H125" s="3" t="str">
        <f>IFERROR(VLOOKUP($C125,'_METADATA_TEMPLATE'!$B$2:$H$826,7,FALSE),"")</f>
        <v>Text Input</v>
      </c>
      <c r="I125" s="3" t="str">
        <f>IFERROR(VLOOKUP(C125,'_METADATA_DEFAULT'!$A:$B,2,FALSE),"")</f>
        <v/>
      </c>
    </row>
    <row r="126" ht="15.75" customHeight="1">
      <c r="A126" s="2" t="s">
        <v>774</v>
      </c>
      <c r="B126" s="2" t="s">
        <v>634</v>
      </c>
      <c r="C126" s="2" t="s">
        <v>634</v>
      </c>
      <c r="D126" s="2">
        <f>IFERROR(VLOOKUP($C126,'_METADATA_TEMPLATE'!$B$2:$H$826,2,FALSE),"")</f>
        <v>176</v>
      </c>
      <c r="E126" s="2" t="str">
        <f>IFERROR(VLOOKUP($C126,'_METADATA_TEMPLATE'!$B$2:$H$826,4,FALSE),"")</f>
        <v>SE2026 - L BLOK II</v>
      </c>
      <c r="F126" s="2" t="str">
        <f>IFERROR(VLOOKUP($C126,'_METADATA_TEMPLATE'!$B$2:$H$826,5,FALSE),"")</f>
        <v>15</v>
      </c>
      <c r="G126" s="2" t="str">
        <f>IFERROR(VLOOKUP($C126,'_METADATA_TEMPLATE'!$B$2:$H$826,6,FALSE),"")</f>
        <v>b. Alamat Kantor Pusat</v>
      </c>
      <c r="H126" s="2" t="str">
        <f>IFERROR(VLOOKUP($C126,'_METADATA_TEMPLATE'!$B$2:$H$826,7,FALSE),"")</f>
        <v>Text Area</v>
      </c>
      <c r="I126" s="2" t="str">
        <f>IFERROR(VLOOKUP(C126,'_METADATA_DEFAULT'!$A:$B,2,FALSE),"")</f>
        <v/>
      </c>
    </row>
    <row r="127" ht="15.75" customHeight="1">
      <c r="A127" s="3" t="s">
        <v>774</v>
      </c>
      <c r="B127" s="3" t="s">
        <v>1624</v>
      </c>
      <c r="C127" s="3" t="s">
        <v>1624</v>
      </c>
      <c r="D127" s="3">
        <f>IFERROR(VLOOKUP($C127,'_METADATA_TEMPLATE'!$B$2:$H$826,2,FALSE),"")</f>
        <v>176</v>
      </c>
      <c r="E127" s="3" t="str">
        <f>IFERROR(VLOOKUP($C127,'_METADATA_TEMPLATE'!$B$2:$H$826,4,FALSE),"")</f>
        <v/>
      </c>
      <c r="F127" s="3" t="str">
        <f>IFERROR(VLOOKUP($C127,'_METADATA_TEMPLATE'!$B$2:$H$826,5,FALSE),"")</f>
        <v/>
      </c>
      <c r="G127" s="3" t="str">
        <f>IFERROR(VLOOKUP($C127,'_METADATA_TEMPLATE'!$B$2:$H$826,6,FALSE),"")</f>
        <v>desa_l_loaded</v>
      </c>
      <c r="H127" s="3" t="str">
        <f>IFERROR(VLOOKUP($C127,'_METADATA_TEMPLATE'!$B$2:$H$826,7,FALSE),"")</f>
        <v>Variable</v>
      </c>
      <c r="I127" s="3" t="str">
        <f>IFERROR(VLOOKUP(C127,'_METADATA_DEFAULT'!$A:$B,2,FALSE),"")</f>
        <v/>
      </c>
    </row>
    <row r="128" ht="15.75" customHeight="1">
      <c r="A128" s="2" t="s">
        <v>774</v>
      </c>
      <c r="B128" s="2" t="s">
        <v>637</v>
      </c>
      <c r="C128" s="2" t="s">
        <v>637</v>
      </c>
      <c r="D128" s="2">
        <f>IFERROR(VLOOKUP($C128,'_METADATA_TEMPLATE'!$B$2:$H$826,2,FALSE),"")</f>
        <v>177</v>
      </c>
      <c r="E128" s="2" t="str">
        <f>IFERROR(VLOOKUP($C128,'_METADATA_TEMPLATE'!$B$2:$H$826,4,FALSE),"")</f>
        <v>SE2026 - L BLOK II</v>
      </c>
      <c r="F128" s="2" t="str">
        <f>IFERROR(VLOOKUP($C128,'_METADATA_TEMPLATE'!$B$2:$H$826,5,FALSE),"")</f>
        <v>15</v>
      </c>
      <c r="G128" s="2" t="str">
        <f>IFERROR(VLOOKUP($C128,'_METADATA_TEMPLATE'!$B$2:$H$826,6,FALSE),"")</f>
        <v>c. Email</v>
      </c>
      <c r="H128" s="2" t="str">
        <f>IFERROR(VLOOKUP($C128,'_METADATA_TEMPLATE'!$B$2:$H$826,7,FALSE),"")</f>
        <v>Text Input</v>
      </c>
      <c r="I128" s="2" t="str">
        <f>IFERROR(VLOOKUP(C128,'_METADATA_DEFAULT'!$A:$B,2,FALSE),"")</f>
        <v/>
      </c>
    </row>
    <row r="129" ht="15.75" customHeight="1">
      <c r="A129" s="3" t="s">
        <v>774</v>
      </c>
      <c r="B129" s="3" t="s">
        <v>639</v>
      </c>
      <c r="C129" s="3" t="s">
        <v>640</v>
      </c>
      <c r="D129" s="3">
        <f>IFERROR(VLOOKUP($C129,'_METADATA_TEMPLATE'!$B$2:$H$826,2,FALSE),"")</f>
        <v>178</v>
      </c>
      <c r="E129" s="3" t="str">
        <f>IFERROR(VLOOKUP($C129,'_METADATA_TEMPLATE'!$B$2:$H$826,4,FALSE),"")</f>
        <v>SE2026 - L BLOK II</v>
      </c>
      <c r="F129" s="3" t="str">
        <f>IFERROR(VLOOKUP($C129,'_METADATA_TEMPLATE'!$B$2:$H$826,5,FALSE),"")</f>
        <v>15</v>
      </c>
      <c r="G129" s="3" t="str">
        <f>IFERROR(VLOOKUP($C129,'_METADATA_TEMPLATE'!$B$2:$H$826,6,FALSE),"")</f>
        <v>d. Negara</v>
      </c>
      <c r="H129" s="3" t="str">
        <f>IFERROR(VLOOKUP($C129,'_METADATA_TEMPLATE'!$B$2:$H$826,7,FALSE),"")</f>
        <v>Select</v>
      </c>
      <c r="I129" s="3" t="str">
        <f>IFERROR(VLOOKUP(C129,'_METADATA_DEFAULT'!$A:$B,2,FALSE),"")</f>
        <v/>
      </c>
    </row>
    <row r="130" ht="15.75" customHeight="1">
      <c r="A130" s="2" t="s">
        <v>774</v>
      </c>
      <c r="B130" s="2" t="s">
        <v>642</v>
      </c>
      <c r="C130" s="2" t="s">
        <v>640</v>
      </c>
      <c r="D130" s="2">
        <f>IFERROR(VLOOKUP($C130,'_METADATA_TEMPLATE'!$B$2:$H$826,2,FALSE),"")</f>
        <v>178</v>
      </c>
      <c r="E130" s="2" t="str">
        <f>IFERROR(VLOOKUP($C130,'_METADATA_TEMPLATE'!$B$2:$H$826,4,FALSE),"")</f>
        <v>SE2026 - L BLOK II</v>
      </c>
      <c r="F130" s="2" t="str">
        <f>IFERROR(VLOOKUP($C130,'_METADATA_TEMPLATE'!$B$2:$H$826,5,FALSE),"")</f>
        <v>15</v>
      </c>
      <c r="G130" s="2" t="str">
        <f>IFERROR(VLOOKUP($C130,'_METADATA_TEMPLATE'!$B$2:$H$826,6,FALSE),"")</f>
        <v>d. Negara</v>
      </c>
      <c r="H130" s="2" t="str">
        <f>IFERROR(VLOOKUP($C130,'_METADATA_TEMPLATE'!$B$2:$H$826,7,FALSE),"")</f>
        <v>Select</v>
      </c>
      <c r="I130" s="2" t="str">
        <f>IFERROR(VLOOKUP(C130,'_METADATA_DEFAULT'!$A:$B,2,FALSE),"")</f>
        <v/>
      </c>
    </row>
    <row r="131" ht="15.75" customHeight="1">
      <c r="A131" s="3" t="s">
        <v>774</v>
      </c>
      <c r="B131" s="3" t="s">
        <v>1641</v>
      </c>
      <c r="C131" s="3" t="s">
        <v>1641</v>
      </c>
      <c r="D131" s="3">
        <f>IFERROR(VLOOKUP($C131,'_METADATA_TEMPLATE'!$B$2:$H$826,2,FALSE),"")</f>
        <v>178</v>
      </c>
      <c r="E131" s="3" t="str">
        <f>IFERROR(VLOOKUP($C131,'_METADATA_TEMPLATE'!$B$2:$H$826,4,FALSE),"")</f>
        <v/>
      </c>
      <c r="F131" s="3" t="str">
        <f>IFERROR(VLOOKUP($C131,'_METADATA_TEMPLATE'!$B$2:$H$826,5,FALSE),"")</f>
        <v/>
      </c>
      <c r="G131" s="3" t="str">
        <f>IFERROR(VLOOKUP($C131,'_METADATA_TEMPLATE'!$B$2:$H$826,6,FALSE),"")</f>
        <v>set_desa_l</v>
      </c>
      <c r="H131" s="3" t="str">
        <f>IFERROR(VLOOKUP($C131,'_METADATA_TEMPLATE'!$B$2:$H$826,7,FALSE),"")</f>
        <v>Variable</v>
      </c>
      <c r="I131" s="3" t="str">
        <f>IFERROR(VLOOKUP(C131,'_METADATA_DEFAULT'!$A:$B,2,FALSE),"")</f>
        <v/>
      </c>
    </row>
    <row r="132" ht="15.75" customHeight="1">
      <c r="A132" s="2" t="s">
        <v>774</v>
      </c>
      <c r="B132" s="2" t="s">
        <v>647</v>
      </c>
      <c r="C132" s="2" t="s">
        <v>648</v>
      </c>
      <c r="D132" s="2">
        <f>IFERROR(VLOOKUP($C132,'_METADATA_TEMPLATE'!$B$2:$H$826,2,FALSE),"")</f>
        <v>179</v>
      </c>
      <c r="E132" s="2" t="str">
        <f>IFERROR(VLOOKUP($C132,'_METADATA_TEMPLATE'!$B$2:$H$826,4,FALSE),"")</f>
        <v>SE2026 - L BLOK II</v>
      </c>
      <c r="F132" s="2" t="str">
        <f>IFERROR(VLOOKUP($C132,'_METADATA_TEMPLATE'!$B$2:$H$826,5,FALSE),"")</f>
        <v>15</v>
      </c>
      <c r="G132" s="2" t="str">
        <f>IFERROR(VLOOKUP($C132,'_METADATA_TEMPLATE'!$B$2:$H$826,6,FALSE),"")</f>
        <v>e. Provinsi</v>
      </c>
      <c r="H132" s="2" t="str">
        <f>IFERROR(VLOOKUP($C132,'_METADATA_TEMPLATE'!$B$2:$H$826,7,FALSE),"")</f>
        <v>Select</v>
      </c>
      <c r="I132" s="2" t="str">
        <f>IFERROR(VLOOKUP(C132,'_METADATA_DEFAULT'!$A:$B,2,FALSE),"")</f>
        <v/>
      </c>
    </row>
    <row r="133" ht="15.75" customHeight="1">
      <c r="A133" s="3" t="s">
        <v>774</v>
      </c>
      <c r="B133" s="3" t="s">
        <v>650</v>
      </c>
      <c r="C133" s="3" t="s">
        <v>648</v>
      </c>
      <c r="D133" s="3">
        <f>IFERROR(VLOOKUP($C133,'_METADATA_TEMPLATE'!$B$2:$H$826,2,FALSE),"")</f>
        <v>179</v>
      </c>
      <c r="E133" s="3" t="str">
        <f>IFERROR(VLOOKUP($C133,'_METADATA_TEMPLATE'!$B$2:$H$826,4,FALSE),"")</f>
        <v>SE2026 - L BLOK II</v>
      </c>
      <c r="F133" s="3" t="str">
        <f>IFERROR(VLOOKUP($C133,'_METADATA_TEMPLATE'!$B$2:$H$826,5,FALSE),"")</f>
        <v>15</v>
      </c>
      <c r="G133" s="3" t="str">
        <f>IFERROR(VLOOKUP($C133,'_METADATA_TEMPLATE'!$B$2:$H$826,6,FALSE),"")</f>
        <v>e. Provinsi</v>
      </c>
      <c r="H133" s="3" t="str">
        <f>IFERROR(VLOOKUP($C133,'_METADATA_TEMPLATE'!$B$2:$H$826,7,FALSE),"")</f>
        <v>Select</v>
      </c>
      <c r="I133" s="3" t="str">
        <f>IFERROR(VLOOKUP(C133,'_METADATA_DEFAULT'!$A:$B,2,FALSE),"")</f>
        <v/>
      </c>
    </row>
    <row r="134" ht="15.75" customHeight="1">
      <c r="A134" s="2" t="s">
        <v>774</v>
      </c>
      <c r="B134" s="2" t="s">
        <v>1656</v>
      </c>
      <c r="C134" s="2" t="s">
        <v>1656</v>
      </c>
      <c r="D134" s="2">
        <f>IFERROR(VLOOKUP($C134,'_METADATA_TEMPLATE'!$B$2:$H$826,2,FALSE),"")</f>
        <v>179</v>
      </c>
      <c r="E134" s="2" t="str">
        <f>IFERROR(VLOOKUP($C134,'_METADATA_TEMPLATE'!$B$2:$H$826,4,FALSE),"")</f>
        <v/>
      </c>
      <c r="F134" s="2" t="str">
        <f>IFERROR(VLOOKUP($C134,'_METADATA_TEMPLATE'!$B$2:$H$826,5,FALSE),"")</f>
        <v/>
      </c>
      <c r="G134" s="2" t="str">
        <f>IFERROR(VLOOKUP($C134,'_METADATA_TEMPLATE'!$B$2:$H$826,6,FALSE),"")</f>
        <v>kode_desa_full</v>
      </c>
      <c r="H134" s="2" t="str">
        <f>IFERROR(VLOOKUP($C134,'_METADATA_TEMPLATE'!$B$2:$H$826,7,FALSE),"")</f>
        <v>Variable</v>
      </c>
      <c r="I134" s="2" t="str">
        <f>IFERROR(VLOOKUP(C134,'_METADATA_DEFAULT'!$A:$B,2,FALSE),"")</f>
        <v/>
      </c>
    </row>
    <row r="135" ht="15.75" customHeight="1">
      <c r="A135" s="3" t="s">
        <v>774</v>
      </c>
      <c r="B135" s="3" t="s">
        <v>1659</v>
      </c>
      <c r="C135" s="3" t="s">
        <v>1659</v>
      </c>
      <c r="D135" s="3">
        <f>IFERROR(VLOOKUP($C135,'_METADATA_TEMPLATE'!$B$2:$H$826,2,FALSE),"")</f>
        <v>180</v>
      </c>
      <c r="E135" s="3" t="str">
        <f>IFERROR(VLOOKUP($C135,'_METADATA_TEMPLATE'!$B$2:$H$826,4,FALSE),"")</f>
        <v/>
      </c>
      <c r="F135" s="3" t="str">
        <f>IFERROR(VLOOKUP($C135,'_METADATA_TEMPLATE'!$B$2:$H$826,5,FALSE),"")</f>
        <v/>
      </c>
      <c r="G135" s="3" t="str">
        <f>IFERROR(VLOOKUP($C135,'_METADATA_TEMPLATE'!$B$2:$H$826,6,FALSE),"")</f>
        <v>ID SLS</v>
      </c>
      <c r="H135" s="3" t="str">
        <f>IFERROR(VLOOKUP($C135,'_METADATA_TEMPLATE'!$B$2:$H$826,7,FALSE),"")</f>
        <v>Variable</v>
      </c>
      <c r="I135" s="3" t="str">
        <f>IFERROR(VLOOKUP(C135,'_METADATA_DEFAULT'!$A:$B,2,FALSE),"")</f>
        <v/>
      </c>
    </row>
    <row r="136" ht="15.75" customHeight="1">
      <c r="A136" s="2" t="s">
        <v>774</v>
      </c>
      <c r="B136" s="2" t="s">
        <v>652</v>
      </c>
      <c r="C136" s="2" t="s">
        <v>653</v>
      </c>
      <c r="D136" s="2">
        <f>IFERROR(VLOOKUP($C136,'_METADATA_TEMPLATE'!$B$2:$H$826,2,FALSE),"")</f>
        <v>180</v>
      </c>
      <c r="E136" s="2" t="str">
        <f>IFERROR(VLOOKUP($C136,'_METADATA_TEMPLATE'!$B$2:$H$826,4,FALSE),"")</f>
        <v>SE2026 - L BLOK II</v>
      </c>
      <c r="F136" s="2" t="str">
        <f>IFERROR(VLOOKUP($C136,'_METADATA_TEMPLATE'!$B$2:$H$826,5,FALSE),"")</f>
        <v>15</v>
      </c>
      <c r="G136" s="2" t="str">
        <f>IFERROR(VLOOKUP($C136,'_METADATA_TEMPLATE'!$B$2:$H$826,6,FALSE),"")</f>
        <v>f. Kabupaten/Kota</v>
      </c>
      <c r="H136" s="2" t="str">
        <f>IFERROR(VLOOKUP($C136,'_METADATA_TEMPLATE'!$B$2:$H$826,7,FALSE),"")</f>
        <v>Select</v>
      </c>
      <c r="I136" s="2" t="str">
        <f>IFERROR(VLOOKUP(C136,'_METADATA_DEFAULT'!$A:$B,2,FALSE),"")</f>
        <v/>
      </c>
    </row>
    <row r="137" ht="15.75" customHeight="1">
      <c r="A137" s="3" t="s">
        <v>774</v>
      </c>
      <c r="B137" s="3" t="s">
        <v>655</v>
      </c>
      <c r="C137" s="3" t="s">
        <v>653</v>
      </c>
      <c r="D137" s="3">
        <f>IFERROR(VLOOKUP($C137,'_METADATA_TEMPLATE'!$B$2:$H$826,2,FALSE),"")</f>
        <v>180</v>
      </c>
      <c r="E137" s="3" t="str">
        <f>IFERROR(VLOOKUP($C137,'_METADATA_TEMPLATE'!$B$2:$H$826,4,FALSE),"")</f>
        <v>SE2026 - L BLOK II</v>
      </c>
      <c r="F137" s="3" t="str">
        <f>IFERROR(VLOOKUP($C137,'_METADATA_TEMPLATE'!$B$2:$H$826,5,FALSE),"")</f>
        <v>15</v>
      </c>
      <c r="G137" s="3" t="str">
        <f>IFERROR(VLOOKUP($C137,'_METADATA_TEMPLATE'!$B$2:$H$826,6,FALSE),"")</f>
        <v>f. Kabupaten/Kota</v>
      </c>
      <c r="H137" s="3" t="str">
        <f>IFERROR(VLOOKUP($C137,'_METADATA_TEMPLATE'!$B$2:$H$826,7,FALSE),"")</f>
        <v>Select</v>
      </c>
      <c r="I137" s="3" t="str">
        <f>IFERROR(VLOOKUP(C137,'_METADATA_DEFAULT'!$A:$B,2,FALSE),"")</f>
        <v/>
      </c>
    </row>
    <row r="138" ht="15.75" customHeight="1">
      <c r="A138" s="2" t="s">
        <v>774</v>
      </c>
      <c r="B138" s="2" t="s">
        <v>657</v>
      </c>
      <c r="C138" s="2" t="s">
        <v>658</v>
      </c>
      <c r="D138" s="2">
        <f>IFERROR(VLOOKUP($C138,'_METADATA_TEMPLATE'!$B$2:$H$826,2,FALSE),"")</f>
        <v>181</v>
      </c>
      <c r="E138" s="2" t="str">
        <f>IFERROR(VLOOKUP($C138,'_METADATA_TEMPLATE'!$B$2:$H$826,4,FALSE),"")</f>
        <v>SE2026 - L BLOK II</v>
      </c>
      <c r="F138" s="2" t="str">
        <f>IFERROR(VLOOKUP($C138,'_METADATA_TEMPLATE'!$B$2:$H$826,5,FALSE),"")</f>
        <v>16</v>
      </c>
      <c r="G138" s="2" t="str">
        <f>IFERROR(VLOOKUP($C138,'_METADATA_TEMPLATE'!$B$2:$H$826,6,FALSE),"")</f>
        <v>a. Apakah usaha/perusahaan ini menggunakan internet dalam menjalankan usaha?</v>
      </c>
      <c r="H138" s="2" t="str">
        <f>IFERROR(VLOOKUP($C138,'_METADATA_TEMPLATE'!$B$2:$H$826,7,FALSE),"")</f>
        <v>Radio Group</v>
      </c>
      <c r="I138" s="2" t="str">
        <f>IFERROR(VLOOKUP(C138,'_METADATA_DEFAULT'!$A:$B,2,FALSE),"")</f>
        <v/>
      </c>
    </row>
    <row r="139" ht="15.75" customHeight="1">
      <c r="A139" s="3" t="s">
        <v>774</v>
      </c>
      <c r="B139" s="3" t="s">
        <v>660</v>
      </c>
      <c r="C139" s="3" t="s">
        <v>658</v>
      </c>
      <c r="D139" s="3">
        <f>IFERROR(VLOOKUP($C139,'_METADATA_TEMPLATE'!$B$2:$H$826,2,FALSE),"")</f>
        <v>181</v>
      </c>
      <c r="E139" s="3" t="str">
        <f>IFERROR(VLOOKUP($C139,'_METADATA_TEMPLATE'!$B$2:$H$826,4,FALSE),"")</f>
        <v>SE2026 - L BLOK II</v>
      </c>
      <c r="F139" s="3" t="str">
        <f>IFERROR(VLOOKUP($C139,'_METADATA_TEMPLATE'!$B$2:$H$826,5,FALSE),"")</f>
        <v>16</v>
      </c>
      <c r="G139" s="3" t="str">
        <f>IFERROR(VLOOKUP($C139,'_METADATA_TEMPLATE'!$B$2:$H$826,6,FALSE),"")</f>
        <v>a. Apakah usaha/perusahaan ini menggunakan internet dalam menjalankan usaha?</v>
      </c>
      <c r="H139" s="3" t="str">
        <f>IFERROR(VLOOKUP($C139,'_METADATA_TEMPLATE'!$B$2:$H$826,7,FALSE),"")</f>
        <v>Radio Group</v>
      </c>
      <c r="I139" s="3" t="str">
        <f>IFERROR(VLOOKUP(C139,'_METADATA_DEFAULT'!$A:$B,2,FALSE),"")</f>
        <v/>
      </c>
    </row>
    <row r="140" ht="15.75" customHeight="1">
      <c r="A140" s="2" t="s">
        <v>774</v>
      </c>
      <c r="B140" s="2" t="s">
        <v>1676</v>
      </c>
      <c r="C140" s="2" t="s">
        <v>1676</v>
      </c>
      <c r="D140" s="2">
        <f>IFERROR(VLOOKUP($C140,'_METADATA_TEMPLATE'!$B$2:$H$826,2,FALSE),"")</f>
        <v>182</v>
      </c>
      <c r="E140" s="2" t="str">
        <f>IFERROR(VLOOKUP($C140,'_METADATA_TEMPLATE'!$B$2:$H$826,4,FALSE),"")</f>
        <v/>
      </c>
      <c r="F140" s="2" t="str">
        <f>IFERROR(VLOOKUP($C140,'_METADATA_TEMPLATE'!$B$2:$H$826,5,FALSE),"")</f>
        <v/>
      </c>
      <c r="G140" s="2" t="str">
        <f>IFERROR(VLOOKUP($C140,'_METADATA_TEMPLATE'!$B$2:$H$826,6,FALSE),"")</f>
        <v>ID PMSS</v>
      </c>
      <c r="H140" s="2" t="str">
        <f>IFERROR(VLOOKUP($C140,'_METADATA_TEMPLATE'!$B$2:$H$826,7,FALSE),"")</f>
        <v>Variable</v>
      </c>
      <c r="I140" s="2" t="str">
        <f>IFERROR(VLOOKUP(C140,'_METADATA_DEFAULT'!$A:$B,2,FALSE),"")</f>
        <v/>
      </c>
    </row>
    <row r="141" ht="15.75" customHeight="1">
      <c r="A141" s="3" t="s">
        <v>774</v>
      </c>
      <c r="B141" s="3" t="s">
        <v>662</v>
      </c>
      <c r="C141" s="3" t="s">
        <v>663</v>
      </c>
      <c r="D141" s="3">
        <f>IFERROR(VLOOKUP($C141,'_METADATA_TEMPLATE'!$B$2:$H$826,2,FALSE),"")</f>
        <v>182</v>
      </c>
      <c r="E141" s="3" t="str">
        <f>IFERROR(VLOOKUP($C141,'_METADATA_TEMPLATE'!$B$2:$H$826,4,FALSE),"")</f>
        <v>SE2026 - L BLOK II</v>
      </c>
      <c r="F141" s="3" t="str">
        <f>IFERROR(VLOOKUP($C141,'_METADATA_TEMPLATE'!$B$2:$H$826,5,FALSE),"")</f>
        <v>16</v>
      </c>
      <c r="G141" s="3" t="str">
        <f>IFERROR(VLOOKUP($C141,'_METADATA_TEMPLATE'!$B$2:$H$826,6,FALSE),"")</f>
        <v>b2. Produksi barang/jasa</v>
      </c>
      <c r="H141" s="3" t="str">
        <f>IFERROR(VLOOKUP($C141,'_METADATA_TEMPLATE'!$B$2:$H$826,7,FALSE),"")</f>
        <v>Radio Group</v>
      </c>
      <c r="I141" s="3" t="str">
        <f>IFERROR(VLOOKUP(C141,'_METADATA_DEFAULT'!$A:$B,2,FALSE),"")</f>
        <v/>
      </c>
    </row>
    <row r="142" ht="15.75" customHeight="1">
      <c r="A142" s="2" t="s">
        <v>774</v>
      </c>
      <c r="B142" s="2" t="s">
        <v>665</v>
      </c>
      <c r="C142" s="2" t="s">
        <v>663</v>
      </c>
      <c r="D142" s="2">
        <f>IFERROR(VLOOKUP($C142,'_METADATA_TEMPLATE'!$B$2:$H$826,2,FALSE),"")</f>
        <v>182</v>
      </c>
      <c r="E142" s="2" t="str">
        <f>IFERROR(VLOOKUP($C142,'_METADATA_TEMPLATE'!$B$2:$H$826,4,FALSE),"")</f>
        <v>SE2026 - L BLOK II</v>
      </c>
      <c r="F142" s="2" t="str">
        <f>IFERROR(VLOOKUP($C142,'_METADATA_TEMPLATE'!$B$2:$H$826,5,FALSE),"")</f>
        <v>16</v>
      </c>
      <c r="G142" s="2" t="str">
        <f>IFERROR(VLOOKUP($C142,'_METADATA_TEMPLATE'!$B$2:$H$826,6,FALSE),"")</f>
        <v>b2. Produksi barang/jasa</v>
      </c>
      <c r="H142" s="2" t="str">
        <f>IFERROR(VLOOKUP($C142,'_METADATA_TEMPLATE'!$B$2:$H$826,7,FALSE),"")</f>
        <v>Radio Group</v>
      </c>
      <c r="I142" s="2" t="str">
        <f>IFERROR(VLOOKUP(C142,'_METADATA_DEFAULT'!$A:$B,2,FALSE),"")</f>
        <v/>
      </c>
    </row>
    <row r="143" ht="15.75" customHeight="1">
      <c r="A143" s="3" t="s">
        <v>774</v>
      </c>
      <c r="B143" s="3" t="s">
        <v>667</v>
      </c>
      <c r="C143" s="3" t="s">
        <v>668</v>
      </c>
      <c r="D143" s="3">
        <f>IFERROR(VLOOKUP($C143,'_METADATA_TEMPLATE'!$B$2:$H$826,2,FALSE),"")</f>
        <v>183</v>
      </c>
      <c r="E143" s="3" t="str">
        <f>IFERROR(VLOOKUP($C143,'_METADATA_TEMPLATE'!$B$2:$H$826,4,FALSE),"")</f>
        <v>SE2026 - L BLOK II</v>
      </c>
      <c r="F143" s="3" t="str">
        <f>IFERROR(VLOOKUP($C143,'_METADATA_TEMPLATE'!$B$2:$H$826,5,FALSE),"")</f>
        <v>16</v>
      </c>
      <c r="G143" s="3" t="str">
        <f>IFERROR(VLOOKUP($C143,'_METADATA_TEMPLATE'!$B$2:$H$826,6,FALSE),"")</f>
        <v>b1. Menerima pesanan barang/jasa</v>
      </c>
      <c r="H143" s="3" t="str">
        <f>IFERROR(VLOOKUP($C143,'_METADATA_TEMPLATE'!$B$2:$H$826,7,FALSE),"")</f>
        <v>Radio Group</v>
      </c>
      <c r="I143" s="3" t="str">
        <f>IFERROR(VLOOKUP(C143,'_METADATA_DEFAULT'!$A:$B,2,FALSE),"")</f>
        <v/>
      </c>
    </row>
    <row r="144" ht="15.75" customHeight="1">
      <c r="A144" s="2" t="s">
        <v>774</v>
      </c>
      <c r="B144" s="2" t="s">
        <v>670</v>
      </c>
      <c r="C144" s="2" t="s">
        <v>668</v>
      </c>
      <c r="D144" s="2">
        <f>IFERROR(VLOOKUP($C144,'_METADATA_TEMPLATE'!$B$2:$H$826,2,FALSE),"")</f>
        <v>183</v>
      </c>
      <c r="E144" s="2" t="str">
        <f>IFERROR(VLOOKUP($C144,'_METADATA_TEMPLATE'!$B$2:$H$826,4,FALSE),"")</f>
        <v>SE2026 - L BLOK II</v>
      </c>
      <c r="F144" s="2" t="str">
        <f>IFERROR(VLOOKUP($C144,'_METADATA_TEMPLATE'!$B$2:$H$826,5,FALSE),"")</f>
        <v>16</v>
      </c>
      <c r="G144" s="2" t="str">
        <f>IFERROR(VLOOKUP($C144,'_METADATA_TEMPLATE'!$B$2:$H$826,6,FALSE),"")</f>
        <v>b1. Menerima pesanan barang/jasa</v>
      </c>
      <c r="H144" s="2" t="str">
        <f>IFERROR(VLOOKUP($C144,'_METADATA_TEMPLATE'!$B$2:$H$826,7,FALSE),"")</f>
        <v>Radio Group</v>
      </c>
      <c r="I144" s="2" t="str">
        <f>IFERROR(VLOOKUP(C144,'_METADATA_DEFAULT'!$A:$B,2,FALSE),"")</f>
        <v/>
      </c>
    </row>
    <row r="145" ht="15.75" customHeight="1">
      <c r="A145" s="3" t="s">
        <v>774</v>
      </c>
      <c r="B145" s="3" t="s">
        <v>1705</v>
      </c>
      <c r="C145" s="3" t="s">
        <v>1705</v>
      </c>
      <c r="D145" s="3">
        <f>IFERROR(VLOOKUP($C145,'_METADATA_TEMPLATE'!$B$2:$H$826,2,FALSE),"")</f>
        <v>183</v>
      </c>
      <c r="E145" s="3" t="str">
        <f>IFERROR(VLOOKUP($C145,'_METADATA_TEMPLATE'!$B$2:$H$826,4,FALSE),"")</f>
        <v/>
      </c>
      <c r="F145" s="3" t="str">
        <f>IFERROR(VLOOKUP($C145,'_METADATA_TEMPLATE'!$B$2:$H$826,5,FALSE),"")</f>
        <v/>
      </c>
      <c r="G145" s="3" t="str">
        <f>IFERROR(VLOOKUP($C145,'_METADATA_TEMPLATE'!$B$2:$H$826,6,FALSE),"")</f>
        <v>Wilayah Ngibar</v>
      </c>
      <c r="H145" s="3" t="str">
        <f>IFERROR(VLOOKUP($C145,'_METADATA_TEMPLATE'!$B$2:$H$826,7,FALSE),"")</f>
        <v>Variable</v>
      </c>
      <c r="I145" s="3" t="str">
        <f>IFERROR(VLOOKUP(C145,'_METADATA_DEFAULT'!$A:$B,2,FALSE),"")</f>
        <v/>
      </c>
    </row>
    <row r="146" ht="15.75" customHeight="1">
      <c r="A146" s="2" t="s">
        <v>774</v>
      </c>
      <c r="B146" s="2" t="s">
        <v>672</v>
      </c>
      <c r="C146" s="2" t="s">
        <v>673</v>
      </c>
      <c r="D146" s="2">
        <f>IFERROR(VLOOKUP($C146,'_METADATA_TEMPLATE'!$B$2:$H$826,2,FALSE),"")</f>
        <v>184</v>
      </c>
      <c r="E146" s="2" t="str">
        <f>IFERROR(VLOOKUP($C146,'_METADATA_TEMPLATE'!$B$2:$H$826,4,FALSE),"")</f>
        <v>SE2026 - L BLOK II</v>
      </c>
      <c r="F146" s="2" t="str">
        <f>IFERROR(VLOOKUP($C146,'_METADATA_TEMPLATE'!$B$2:$H$826,5,FALSE),"")</f>
        <v>16</v>
      </c>
      <c r="G146" s="2" t="str">
        <f>IFERROR(VLOOKUP($C146,'_METADATA_TEMPLATE'!$B$2:$H$826,6,FALSE),"")</f>
        <v>b3. Distribusi barang/jasa</v>
      </c>
      <c r="H146" s="2" t="str">
        <f>IFERROR(VLOOKUP($C146,'_METADATA_TEMPLATE'!$B$2:$H$826,7,FALSE),"")</f>
        <v>Radio Group</v>
      </c>
      <c r="I146" s="2" t="str">
        <f>IFERROR(VLOOKUP(C146,'_METADATA_DEFAULT'!$A:$B,2,FALSE),"")</f>
        <v/>
      </c>
    </row>
    <row r="147" ht="15.75" customHeight="1">
      <c r="A147" s="3" t="s">
        <v>774</v>
      </c>
      <c r="B147" s="3" t="s">
        <v>675</v>
      </c>
      <c r="C147" s="3" t="s">
        <v>673</v>
      </c>
      <c r="D147" s="3">
        <f>IFERROR(VLOOKUP($C147,'_METADATA_TEMPLATE'!$B$2:$H$826,2,FALSE),"")</f>
        <v>184</v>
      </c>
      <c r="E147" s="3" t="str">
        <f>IFERROR(VLOOKUP($C147,'_METADATA_TEMPLATE'!$B$2:$H$826,4,FALSE),"")</f>
        <v>SE2026 - L BLOK II</v>
      </c>
      <c r="F147" s="3" t="str">
        <f>IFERROR(VLOOKUP($C147,'_METADATA_TEMPLATE'!$B$2:$H$826,5,FALSE),"")</f>
        <v>16</v>
      </c>
      <c r="G147" s="3" t="str">
        <f>IFERROR(VLOOKUP($C147,'_METADATA_TEMPLATE'!$B$2:$H$826,6,FALSE),"")</f>
        <v>b3. Distribusi barang/jasa</v>
      </c>
      <c r="H147" s="3" t="str">
        <f>IFERROR(VLOOKUP($C147,'_METADATA_TEMPLATE'!$B$2:$H$826,7,FALSE),"")</f>
        <v>Radio Group</v>
      </c>
      <c r="I147" s="3" t="str">
        <f>IFERROR(VLOOKUP(C147,'_METADATA_DEFAULT'!$A:$B,2,FALSE),"")</f>
        <v/>
      </c>
    </row>
    <row r="148" ht="15.75" customHeight="1">
      <c r="A148" s="2" t="s">
        <v>774</v>
      </c>
      <c r="B148" s="2" t="s">
        <v>1715</v>
      </c>
      <c r="C148" s="2" t="s">
        <v>1715</v>
      </c>
      <c r="D148" s="2">
        <f>IFERROR(VLOOKUP($C148,'_METADATA_TEMPLATE'!$B$2:$H$826,2,FALSE),"")</f>
        <v>184</v>
      </c>
      <c r="E148" s="2" t="str">
        <f>IFERROR(VLOOKUP($C148,'_METADATA_TEMPLATE'!$B$2:$H$826,4,FALSE),"")</f>
        <v/>
      </c>
      <c r="F148" s="2" t="str">
        <f>IFERROR(VLOOKUP($C148,'_METADATA_TEMPLATE'!$B$2:$H$826,5,FALSE),"")</f>
        <v/>
      </c>
      <c r="G148" s="2" t="str">
        <f>IFERROR(VLOOKUP($C148,'_METADATA_TEMPLATE'!$B$2:$H$826,6,FALSE),"")</f>
        <v>Tanggal Ngibar</v>
      </c>
      <c r="H148" s="2" t="str">
        <f>IFERROR(VLOOKUP($C148,'_METADATA_TEMPLATE'!$B$2:$H$826,7,FALSE),"")</f>
        <v>Variable</v>
      </c>
      <c r="I148" s="2" t="str">
        <f>IFERROR(VLOOKUP(C148,'_METADATA_DEFAULT'!$A:$B,2,FALSE),"")</f>
        <v/>
      </c>
    </row>
    <row r="149" ht="15.75" customHeight="1">
      <c r="A149" s="3" t="s">
        <v>774</v>
      </c>
      <c r="B149" s="3" t="s">
        <v>1718</v>
      </c>
      <c r="C149" s="3" t="s">
        <v>1718</v>
      </c>
      <c r="D149" s="3">
        <f>IFERROR(VLOOKUP($C149,'_METADATA_TEMPLATE'!$B$2:$H$826,2,FALSE),"")</f>
        <v>185</v>
      </c>
      <c r="E149" s="3" t="str">
        <f>IFERROR(VLOOKUP($C149,'_METADATA_TEMPLATE'!$B$2:$H$826,4,FALSE),"")</f>
        <v/>
      </c>
      <c r="F149" s="3" t="str">
        <f>IFERROR(VLOOKUP($C149,'_METADATA_TEMPLATE'!$B$2:$H$826,5,FALSE),"")</f>
        <v/>
      </c>
      <c r="G149" s="3" t="str">
        <f>IFERROR(VLOOKUP($C149,'_METADATA_TEMPLATE'!$B$2:$H$826,6,FALSE),"")</f>
        <v>Email Prelist</v>
      </c>
      <c r="H149" s="3" t="str">
        <f>IFERROR(VLOOKUP($C149,'_METADATA_TEMPLATE'!$B$2:$H$826,7,FALSE),"")</f>
        <v>Variable</v>
      </c>
      <c r="I149" s="3" t="str">
        <f>IFERROR(VLOOKUP(C149,'_METADATA_DEFAULT'!$A:$B,2,FALSE),"")</f>
        <v/>
      </c>
    </row>
    <row r="150" ht="15.75" customHeight="1">
      <c r="A150" s="2" t="s">
        <v>774</v>
      </c>
      <c r="B150" s="2" t="s">
        <v>677</v>
      </c>
      <c r="C150" s="2" t="s">
        <v>678</v>
      </c>
      <c r="D150" s="2">
        <f>IFERROR(VLOOKUP($C150,'_METADATA_TEMPLATE'!$B$2:$H$826,2,FALSE),"")</f>
        <v>185</v>
      </c>
      <c r="E150" s="2" t="str">
        <f>IFERROR(VLOOKUP($C150,'_METADATA_TEMPLATE'!$B$2:$H$826,4,FALSE),"")</f>
        <v>SE2026 - L BLOK II</v>
      </c>
      <c r="F150" s="2" t="str">
        <f>IFERROR(VLOOKUP($C150,'_METADATA_TEMPLATE'!$B$2:$H$826,5,FALSE),"")</f>
        <v>16</v>
      </c>
      <c r="G150" s="2" t="str">
        <f>IFERROR(VLOOKUP($C150,'_METADATA_TEMPLATE'!$B$2:$H$826,6,FALSE),"")</f>
        <v>b4. Membeli bahan baku online</v>
      </c>
      <c r="H150" s="2" t="str">
        <f>IFERROR(VLOOKUP($C150,'_METADATA_TEMPLATE'!$B$2:$H$826,7,FALSE),"")</f>
        <v>Radio Group</v>
      </c>
      <c r="I150" s="2" t="str">
        <f>IFERROR(VLOOKUP(C150,'_METADATA_DEFAULT'!$A:$B,2,FALSE),"")</f>
        <v/>
      </c>
    </row>
    <row r="151" ht="15.75" customHeight="1">
      <c r="A151" s="3" t="s">
        <v>774</v>
      </c>
      <c r="B151" s="3" t="s">
        <v>680</v>
      </c>
      <c r="C151" s="3" t="s">
        <v>678</v>
      </c>
      <c r="D151" s="3">
        <f>IFERROR(VLOOKUP($C151,'_METADATA_TEMPLATE'!$B$2:$H$826,2,FALSE),"")</f>
        <v>185</v>
      </c>
      <c r="E151" s="3" t="str">
        <f>IFERROR(VLOOKUP($C151,'_METADATA_TEMPLATE'!$B$2:$H$826,4,FALSE),"")</f>
        <v>SE2026 - L BLOK II</v>
      </c>
      <c r="F151" s="3" t="str">
        <f>IFERROR(VLOOKUP($C151,'_METADATA_TEMPLATE'!$B$2:$H$826,5,FALSE),"")</f>
        <v>16</v>
      </c>
      <c r="G151" s="3" t="str">
        <f>IFERROR(VLOOKUP($C151,'_METADATA_TEMPLATE'!$B$2:$H$826,6,FALSE),"")</f>
        <v>b4. Membeli bahan baku online</v>
      </c>
      <c r="H151" s="3" t="str">
        <f>IFERROR(VLOOKUP($C151,'_METADATA_TEMPLATE'!$B$2:$H$826,7,FALSE),"")</f>
        <v>Radio Group</v>
      </c>
      <c r="I151" s="3" t="str">
        <f>IFERROR(VLOOKUP(C151,'_METADATA_DEFAULT'!$A:$B,2,FALSE),"")</f>
        <v/>
      </c>
    </row>
    <row r="152" ht="15.75" customHeight="1">
      <c r="A152" s="2" t="s">
        <v>774</v>
      </c>
      <c r="B152" s="2" t="s">
        <v>682</v>
      </c>
      <c r="C152" s="2" t="s">
        <v>683</v>
      </c>
      <c r="D152" s="2">
        <f>IFERROR(VLOOKUP($C152,'_METADATA_TEMPLATE'!$B$2:$H$826,2,FALSE),"")</f>
        <v>186</v>
      </c>
      <c r="E152" s="2" t="str">
        <f>IFERROR(VLOOKUP($C152,'_METADATA_TEMPLATE'!$B$2:$H$826,4,FALSE),"")</f>
        <v>SE2026 - L BLOK II</v>
      </c>
      <c r="F152" s="2" t="str">
        <f>IFERROR(VLOOKUP($C152,'_METADATA_TEMPLATE'!$B$2:$H$826,5,FALSE),"")</f>
        <v>16</v>
      </c>
      <c r="G152" s="2" t="str">
        <f>IFERROR(VLOOKUP($C152,'_METADATA_TEMPLATE'!$B$2:$H$826,6,FALSE),"")</f>
        <v>b5. Promosi</v>
      </c>
      <c r="H152" s="2" t="str">
        <f>IFERROR(VLOOKUP($C152,'_METADATA_TEMPLATE'!$B$2:$H$826,7,FALSE),"")</f>
        <v>Radio Group</v>
      </c>
      <c r="I152" s="2" t="str">
        <f>IFERROR(VLOOKUP(C152,'_METADATA_DEFAULT'!$A:$B,2,FALSE),"")</f>
        <v/>
      </c>
    </row>
    <row r="153" ht="15.75" customHeight="1">
      <c r="A153" s="3" t="s">
        <v>774</v>
      </c>
      <c r="B153" s="3" t="s">
        <v>685</v>
      </c>
      <c r="C153" s="3" t="s">
        <v>683</v>
      </c>
      <c r="D153" s="3">
        <f>IFERROR(VLOOKUP($C153,'_METADATA_TEMPLATE'!$B$2:$H$826,2,FALSE),"")</f>
        <v>186</v>
      </c>
      <c r="E153" s="3" t="str">
        <f>IFERROR(VLOOKUP($C153,'_METADATA_TEMPLATE'!$B$2:$H$826,4,FALSE),"")</f>
        <v>SE2026 - L BLOK II</v>
      </c>
      <c r="F153" s="3" t="str">
        <f>IFERROR(VLOOKUP($C153,'_METADATA_TEMPLATE'!$B$2:$H$826,5,FALSE),"")</f>
        <v>16</v>
      </c>
      <c r="G153" s="3" t="str">
        <f>IFERROR(VLOOKUP($C153,'_METADATA_TEMPLATE'!$B$2:$H$826,6,FALSE),"")</f>
        <v>b5. Promosi</v>
      </c>
      <c r="H153" s="3" t="str">
        <f>IFERROR(VLOOKUP($C153,'_METADATA_TEMPLATE'!$B$2:$H$826,7,FALSE),"")</f>
        <v>Radio Group</v>
      </c>
      <c r="I153" s="3" t="str">
        <f>IFERROR(VLOOKUP(C153,'_METADATA_DEFAULT'!$A:$B,2,FALSE),"")</f>
        <v/>
      </c>
    </row>
    <row r="154" ht="15.75" customHeight="1">
      <c r="A154" s="2" t="s">
        <v>774</v>
      </c>
      <c r="B154" s="2" t="s">
        <v>689</v>
      </c>
      <c r="C154" s="2" t="s">
        <v>691</v>
      </c>
      <c r="D154" s="2">
        <f>IFERROR(VLOOKUP($C154,'_METADATA_TEMPLATE'!$B$2:$H$826,2,FALSE),"")</f>
        <v>187</v>
      </c>
      <c r="E154" s="2" t="str">
        <f>IFERROR(VLOOKUP($C154,'_METADATA_TEMPLATE'!$B$2:$H$826,4,FALSE),"")</f>
        <v>SE2026 - L BLOK II</v>
      </c>
      <c r="F154" s="2" t="str">
        <f>IFERROR(VLOOKUP($C154,'_METADATA_TEMPLATE'!$B$2:$H$826,5,FALSE),"")</f>
        <v>16</v>
      </c>
      <c r="G154" s="2" t="str">
        <f>IFERROR(VLOOKUP($C154,'_METADATA_TEMPLATE'!$B$2:$H$826,6,FALSE),"")</f>
        <v>b6. Lainnya</v>
      </c>
      <c r="H154" s="2" t="str">
        <f>IFERROR(VLOOKUP($C154,'_METADATA_TEMPLATE'!$B$2:$H$826,7,FALSE),"")</f>
        <v>Radio Group</v>
      </c>
      <c r="I154" s="2" t="str">
        <f>IFERROR(VLOOKUP(C154,'_METADATA_DEFAULT'!$A:$B,2,FALSE),"")</f>
        <v/>
      </c>
    </row>
    <row r="155" ht="15.75" customHeight="1">
      <c r="A155" s="3" t="s">
        <v>774</v>
      </c>
      <c r="B155" s="3" t="s">
        <v>695</v>
      </c>
      <c r="C155" s="3" t="s">
        <v>691</v>
      </c>
      <c r="D155" s="3">
        <f>IFERROR(VLOOKUP($C155,'_METADATA_TEMPLATE'!$B$2:$H$826,2,FALSE),"")</f>
        <v>187</v>
      </c>
      <c r="E155" s="3" t="str">
        <f>IFERROR(VLOOKUP($C155,'_METADATA_TEMPLATE'!$B$2:$H$826,4,FALSE),"")</f>
        <v>SE2026 - L BLOK II</v>
      </c>
      <c r="F155" s="3" t="str">
        <f>IFERROR(VLOOKUP($C155,'_METADATA_TEMPLATE'!$B$2:$H$826,5,FALSE),"")</f>
        <v>16</v>
      </c>
      <c r="G155" s="3" t="str">
        <f>IFERROR(VLOOKUP($C155,'_METADATA_TEMPLATE'!$B$2:$H$826,6,FALSE),"")</f>
        <v>b6. Lainnya</v>
      </c>
      <c r="H155" s="3" t="str">
        <f>IFERROR(VLOOKUP($C155,'_METADATA_TEMPLATE'!$B$2:$H$826,7,FALSE),"")</f>
        <v>Radio Group</v>
      </c>
      <c r="I155" s="3" t="str">
        <f>IFERROR(VLOOKUP(C155,'_METADATA_DEFAULT'!$A:$B,2,FALSE),"")</f>
        <v/>
      </c>
    </row>
    <row r="156" ht="15.75" customHeight="1">
      <c r="A156" s="2" t="s">
        <v>774</v>
      </c>
      <c r="B156" s="2" t="s">
        <v>697</v>
      </c>
      <c r="C156" s="2" t="s">
        <v>698</v>
      </c>
      <c r="D156" s="2">
        <f>IFERROR(VLOOKUP($C156,'_METADATA_TEMPLATE'!$B$2:$H$826,2,FALSE),"")</f>
        <v>188</v>
      </c>
      <c r="E156" s="2" t="str">
        <f>IFERROR(VLOOKUP($C156,'_METADATA_TEMPLATE'!$B$2:$H$826,4,FALSE),"")</f>
        <v>SE2026 - L BLOK II</v>
      </c>
      <c r="F156" s="2" t="str">
        <f>IFERROR(VLOOKUP($C156,'_METADATA_TEMPLATE'!$B$2:$H$826,5,FALSE),"")</f>
        <v>16</v>
      </c>
      <c r="G156" s="2" t="str">
        <f>IFERROR(VLOOKUP($C156,'_METADATA_TEMPLATE'!$B$2:$H$826,6,FALSE),"")</f>
        <v>c. Apakah usaha/perusahaan ini memanfaatkan teknologi digital Aritifical Intelligence (AI), Internet of Things (IoT), big data, printer 3D, blockchain, atau cloud computing ?</v>
      </c>
      <c r="H156" s="2" t="str">
        <f>IFERROR(VLOOKUP($C156,'_METADATA_TEMPLATE'!$B$2:$H$826,7,FALSE),"")</f>
        <v>Radio Group</v>
      </c>
      <c r="I156" s="2" t="str">
        <f>IFERROR(VLOOKUP(C156,'_METADATA_DEFAULT'!$A:$B,2,FALSE),"")</f>
        <v/>
      </c>
    </row>
    <row r="157" ht="15.75" customHeight="1">
      <c r="A157" s="3" t="s">
        <v>774</v>
      </c>
      <c r="B157" s="3" t="s">
        <v>701</v>
      </c>
      <c r="C157" s="3" t="s">
        <v>698</v>
      </c>
      <c r="D157" s="3">
        <f>IFERROR(VLOOKUP($C157,'_METADATA_TEMPLATE'!$B$2:$H$826,2,FALSE),"")</f>
        <v>188</v>
      </c>
      <c r="E157" s="3" t="str">
        <f>IFERROR(VLOOKUP($C157,'_METADATA_TEMPLATE'!$B$2:$H$826,4,FALSE),"")</f>
        <v>SE2026 - L BLOK II</v>
      </c>
      <c r="F157" s="3" t="str">
        <f>IFERROR(VLOOKUP($C157,'_METADATA_TEMPLATE'!$B$2:$H$826,5,FALSE),"")</f>
        <v>16</v>
      </c>
      <c r="G157" s="3" t="str">
        <f>IFERROR(VLOOKUP($C157,'_METADATA_TEMPLATE'!$B$2:$H$826,6,FALSE),"")</f>
        <v>c. Apakah usaha/perusahaan ini memanfaatkan teknologi digital Aritifical Intelligence (AI), Internet of Things (IoT), big data, printer 3D, blockchain, atau cloud computing ?</v>
      </c>
      <c r="H157" s="3" t="str">
        <f>IFERROR(VLOOKUP($C157,'_METADATA_TEMPLATE'!$B$2:$H$826,7,FALSE),"")</f>
        <v>Radio Group</v>
      </c>
      <c r="I157" s="3" t="str">
        <f>IFERROR(VLOOKUP(C157,'_METADATA_DEFAULT'!$A:$B,2,FALSE),"")</f>
        <v/>
      </c>
    </row>
    <row r="158" ht="15.75" customHeight="1">
      <c r="A158" s="2" t="s">
        <v>774</v>
      </c>
      <c r="B158" s="2" t="s">
        <v>706</v>
      </c>
      <c r="C158" s="2" t="s">
        <v>707</v>
      </c>
      <c r="D158" s="2">
        <f>IFERROR(VLOOKUP($C158,'_METADATA_TEMPLATE'!$B$2:$H$826,2,FALSE),"")</f>
        <v>189</v>
      </c>
      <c r="E158" s="2" t="str">
        <f>IFERROR(VLOOKUP($C158,'_METADATA_TEMPLATE'!$B$2:$H$826,4,FALSE),"")</f>
        <v>SE2026 - L BLOK II</v>
      </c>
      <c r="F158" s="2" t="str">
        <f>IFERROR(VLOOKUP($C158,'_METADATA_TEMPLATE'!$B$2:$H$826,5,FALSE),"")</f>
        <v>17</v>
      </c>
      <c r="G158" s="2" t="str">
        <f>IFERROR(VLOOKUP($C158,'_METADATA_TEMPLATE'!$B$2:$H$826,6,FALSE),"")</f>
        <v>a. Apakah usaha/perusahaan ini memproduksi barang/jasa yang ramah lingkungan ? Contoh: Produk efisiensi energi (lampu atau mesin hemat listrik); Energi terbarukan (panel surya, turbin angin, biogas); Kendaraan ramah lingkungan (kendaraan listrik/ hybrid); Produk berbahan daur ulang (kertas/plastik daur ulang, kemasan ramah lingkungan); Jasa pengelolaan dan pembersihan limbah dan sampah (pengolahan sampah/ air limbah, daur ulang)</v>
      </c>
      <c r="H158" s="2" t="str">
        <f>IFERROR(VLOOKUP($C158,'_METADATA_TEMPLATE'!$B$2:$H$826,7,FALSE),"")</f>
        <v>Radio Group</v>
      </c>
      <c r="I158" s="2" t="str">
        <f>IFERROR(VLOOKUP(C158,'_METADATA_DEFAULT'!$A:$B,2,FALSE),"")</f>
        <v/>
      </c>
    </row>
    <row r="159" ht="15.75" customHeight="1">
      <c r="A159" s="3" t="s">
        <v>774</v>
      </c>
      <c r="B159" s="3" t="s">
        <v>710</v>
      </c>
      <c r="C159" s="3" t="s">
        <v>707</v>
      </c>
      <c r="D159" s="3">
        <f>IFERROR(VLOOKUP($C159,'_METADATA_TEMPLATE'!$B$2:$H$826,2,FALSE),"")</f>
        <v>189</v>
      </c>
      <c r="E159" s="3" t="str">
        <f>IFERROR(VLOOKUP($C159,'_METADATA_TEMPLATE'!$B$2:$H$826,4,FALSE),"")</f>
        <v>SE2026 - L BLOK II</v>
      </c>
      <c r="F159" s="3" t="str">
        <f>IFERROR(VLOOKUP($C159,'_METADATA_TEMPLATE'!$B$2:$H$826,5,FALSE),"")</f>
        <v>17</v>
      </c>
      <c r="G159" s="3" t="str">
        <f>IFERROR(VLOOKUP($C159,'_METADATA_TEMPLATE'!$B$2:$H$826,6,FALSE),"")</f>
        <v>a. Apakah usaha/perusahaan ini memproduksi barang/jasa yang ramah lingkungan ? Contoh: Produk efisiensi energi (lampu atau mesin hemat listrik); Energi terbarukan (panel surya, turbin angin, biogas); Kendaraan ramah lingkungan (kendaraan listrik/ hybrid); Produk berbahan daur ulang (kertas/plastik daur ulang, kemasan ramah lingkungan); Jasa pengelolaan dan pembersihan limbah dan sampah (pengolahan sampah/ air limbah, daur ulang)</v>
      </c>
      <c r="H159" s="3" t="str">
        <f>IFERROR(VLOOKUP($C159,'_METADATA_TEMPLATE'!$B$2:$H$826,7,FALSE),"")</f>
        <v>Radio Group</v>
      </c>
      <c r="I159" s="3" t="str">
        <f>IFERROR(VLOOKUP(C159,'_METADATA_DEFAULT'!$A:$B,2,FALSE),"")</f>
        <v/>
      </c>
    </row>
    <row r="160" ht="15.75" customHeight="1">
      <c r="A160" s="2" t="s">
        <v>774</v>
      </c>
      <c r="B160" s="2" t="s">
        <v>713</v>
      </c>
      <c r="C160" s="2" t="s">
        <v>714</v>
      </c>
      <c r="D160" s="2">
        <f>IFERROR(VLOOKUP($C160,'_METADATA_TEMPLATE'!$B$2:$H$826,2,FALSE),"")</f>
        <v>190</v>
      </c>
      <c r="E160" s="2" t="str">
        <f>IFERROR(VLOOKUP($C160,'_METADATA_TEMPLATE'!$B$2:$H$826,4,FALSE),"")</f>
        <v>SE2026 - L BLOK II</v>
      </c>
      <c r="F160" s="2" t="str">
        <f>IFERROR(VLOOKUP($C160,'_METADATA_TEMPLATE'!$B$2:$H$826,5,FALSE),"")</f>
        <v>17</v>
      </c>
      <c r="G160" s="2" t="str">
        <f>IFERROR(VLOOKUP($C160,'_METADATA_TEMPLATE'!$B$2:$H$826,6,FALSE),"")</f>
        <v>b. Apakah usaha/perusahaan ini menggunakan input untuk tujuan perlindungan lingkungan dan/atau pembelian barang dan jasa yang ramah lingkungan? Contoh: Pengeluaran untuk pengelolaan dan pembersihan limbah dan sampah, pengendalian polusi udara, perbaikan tanah/ air tanah, pengurangan kebisingan, pelestarian alam/keanekaragaman hayati, audit/ penilaian lingkungan</v>
      </c>
      <c r="H160" s="2" t="str">
        <f>IFERROR(VLOOKUP($C160,'_METADATA_TEMPLATE'!$B$2:$H$826,7,FALSE),"")</f>
        <v>Radio Group</v>
      </c>
      <c r="I160" s="2" t="str">
        <f>IFERROR(VLOOKUP(C160,'_METADATA_DEFAULT'!$A:$B,2,FALSE),"")</f>
        <v/>
      </c>
    </row>
    <row r="161" ht="15.75" customHeight="1">
      <c r="A161" s="3" t="s">
        <v>774</v>
      </c>
      <c r="B161" s="3" t="s">
        <v>718</v>
      </c>
      <c r="C161" s="3" t="s">
        <v>714</v>
      </c>
      <c r="D161" s="3">
        <f>IFERROR(VLOOKUP($C161,'_METADATA_TEMPLATE'!$B$2:$H$826,2,FALSE),"")</f>
        <v>190</v>
      </c>
      <c r="E161" s="3" t="str">
        <f>IFERROR(VLOOKUP($C161,'_METADATA_TEMPLATE'!$B$2:$H$826,4,FALSE),"")</f>
        <v>SE2026 - L BLOK II</v>
      </c>
      <c r="F161" s="3" t="str">
        <f>IFERROR(VLOOKUP($C161,'_METADATA_TEMPLATE'!$B$2:$H$826,5,FALSE),"")</f>
        <v>17</v>
      </c>
      <c r="G161" s="3" t="str">
        <f>IFERROR(VLOOKUP($C161,'_METADATA_TEMPLATE'!$B$2:$H$826,6,FALSE),"")</f>
        <v>b. Apakah usaha/perusahaan ini menggunakan input untuk tujuan perlindungan lingkungan dan/atau pembelian barang dan jasa yang ramah lingkungan? Contoh: Pengeluaran untuk pengelolaan dan pembersihan limbah dan sampah, pengendalian polusi udara, perbaikan tanah/ air tanah, pengurangan kebisingan, pelestarian alam/keanekaragaman hayati, audit/ penilaian lingkungan</v>
      </c>
      <c r="H161" s="3" t="str">
        <f>IFERROR(VLOOKUP($C161,'_METADATA_TEMPLATE'!$B$2:$H$826,7,FALSE),"")</f>
        <v>Radio Group</v>
      </c>
      <c r="I161" s="3" t="str">
        <f>IFERROR(VLOOKUP(C161,'_METADATA_DEFAULT'!$A:$B,2,FALSE),"")</f>
        <v/>
      </c>
    </row>
    <row r="162" ht="15.75" customHeight="1">
      <c r="A162" s="2" t="s">
        <v>774</v>
      </c>
      <c r="B162" s="2" t="s">
        <v>1764</v>
      </c>
      <c r="C162" s="2" t="s">
        <v>1764</v>
      </c>
      <c r="D162" s="2">
        <f>IFERROR(VLOOKUP($C162,'_METADATA_TEMPLATE'!$B$2:$H$826,2,FALSE),"")</f>
        <v>191</v>
      </c>
      <c r="E162" s="2" t="str">
        <f>IFERROR(VLOOKUP($C162,'_METADATA_TEMPLATE'!$B$2:$H$826,4,FALSE),"")</f>
        <v/>
      </c>
      <c r="F162" s="2" t="str">
        <f>IFERROR(VLOOKUP($C162,'_METADATA_TEMPLATE'!$B$2:$H$826,5,FALSE),"")</f>
        <v/>
      </c>
      <c r="G162" s="2" t="str">
        <f>IFERROR(VLOOKUP($C162,'_METADATA_TEMPLATE'!$B$2:$H$826,6,FALSE),"")</f>
        <v>kbli_2025</v>
      </c>
      <c r="H162" s="2" t="str">
        <f>IFERROR(VLOOKUP($C162,'_METADATA_TEMPLATE'!$B$2:$H$826,7,FALSE),"")</f>
        <v>Variable</v>
      </c>
      <c r="I162" s="2" t="str">
        <f>IFERROR(VLOOKUP(C162,'_METADATA_DEFAULT'!$A:$B,2,FALSE),"")</f>
        <v/>
      </c>
    </row>
    <row r="163" ht="15.75" customHeight="1">
      <c r="A163" s="3" t="s">
        <v>774</v>
      </c>
      <c r="B163" s="3" t="s">
        <v>720</v>
      </c>
      <c r="C163" s="3" t="s">
        <v>721</v>
      </c>
      <c r="D163" s="3">
        <f>IFERROR(VLOOKUP($C163,'_METADATA_TEMPLATE'!$B$2:$H$826,2,FALSE),"")</f>
        <v>191</v>
      </c>
      <c r="E163" s="3" t="str">
        <f>IFERROR(VLOOKUP($C163,'_METADATA_TEMPLATE'!$B$2:$H$826,4,FALSE),"")</f>
        <v>SE2026 - L BLOK II</v>
      </c>
      <c r="F163" s="3" t="str">
        <f>IFERROR(VLOOKUP($C163,'_METADATA_TEMPLATE'!$B$2:$H$826,5,FALSE),"")</f>
        <v>18</v>
      </c>
      <c r="G163" s="3" t="str">
        <f>IFERROR(VLOOKUP($C163,'_METADATA_TEMPLATE'!$B$2:$H$826,6,FALSE),"")</f>
        <v>Apakah usaha/perusahaan ini menggunakan produk karya seni, sastra, desain, teknologi atau warisan budaya , baik diproduksi sendiri maupun oleh pihak lain? Contoh produk karya seni: lukisan, patung, kerajinan, musik, tari, foto, film, ilustrasi, animasi, board game, dll. Contoh produk sastra: puisi, cerpen, novel, naskah drama, dll. Contoh produk desain: arsitektur, desain produk, desain interior, desain komunikasi visual, desain fesyen, dll. Contoh produk teknologi: perangkat lunak (software), aplikasi digital, aplikasi gim, perangkat elektronik, dll. Contoh produk warisan budaya: makanan tradisional, peralatan tradisional, obat tradisional, dll.</v>
      </c>
      <c r="H163" s="3" t="str">
        <f>IFERROR(VLOOKUP($C163,'_METADATA_TEMPLATE'!$B$2:$H$826,7,FALSE),"")</f>
        <v>Radio Group</v>
      </c>
      <c r="I163" s="3" t="str">
        <f>IFERROR(VLOOKUP(C163,'_METADATA_DEFAULT'!$A:$B,2,FALSE),"")</f>
        <v/>
      </c>
    </row>
    <row r="164" ht="15.75" customHeight="1">
      <c r="A164" s="2" t="s">
        <v>774</v>
      </c>
      <c r="B164" s="2" t="s">
        <v>723</v>
      </c>
      <c r="C164" s="2" t="s">
        <v>721</v>
      </c>
      <c r="D164" s="2">
        <f>IFERROR(VLOOKUP($C164,'_METADATA_TEMPLATE'!$B$2:$H$826,2,FALSE),"")</f>
        <v>191</v>
      </c>
      <c r="E164" s="2" t="str">
        <f>IFERROR(VLOOKUP($C164,'_METADATA_TEMPLATE'!$B$2:$H$826,4,FALSE),"")</f>
        <v>SE2026 - L BLOK II</v>
      </c>
      <c r="F164" s="2" t="str">
        <f>IFERROR(VLOOKUP($C164,'_METADATA_TEMPLATE'!$B$2:$H$826,5,FALSE),"")</f>
        <v>18</v>
      </c>
      <c r="G164" s="2" t="str">
        <f>IFERROR(VLOOKUP($C164,'_METADATA_TEMPLATE'!$B$2:$H$826,6,FALSE),"")</f>
        <v>Apakah usaha/perusahaan ini menggunakan produk karya seni, sastra, desain, teknologi atau warisan budaya , baik diproduksi sendiri maupun oleh pihak lain? Contoh produk karya seni: lukisan, patung, kerajinan, musik, tari, foto, film, ilustrasi, animasi, board game, dll. Contoh produk sastra: puisi, cerpen, novel, naskah drama, dll. Contoh produk desain: arsitektur, desain produk, desain interior, desain komunikasi visual, desain fesyen, dll. Contoh produk teknologi: perangkat lunak (software), aplikasi digital, aplikasi gim, perangkat elektronik, dll. Contoh produk warisan budaya: makanan tradisional, peralatan tradisional, obat tradisional, dll.</v>
      </c>
      <c r="H164" s="2" t="str">
        <f>IFERROR(VLOOKUP($C164,'_METADATA_TEMPLATE'!$B$2:$H$826,7,FALSE),"")</f>
        <v>Radio Group</v>
      </c>
      <c r="I164" s="2" t="str">
        <f>IFERROR(VLOOKUP(C164,'_METADATA_DEFAULT'!$A:$B,2,FALSE),"")</f>
        <v/>
      </c>
    </row>
    <row r="165" ht="15.75" customHeight="1">
      <c r="A165" s="3" t="s">
        <v>774</v>
      </c>
      <c r="B165" s="3" t="s">
        <v>730</v>
      </c>
      <c r="C165" s="3" t="s">
        <v>730</v>
      </c>
      <c r="D165" s="3">
        <f>IFERROR(VLOOKUP($C165,'_METADATA_TEMPLATE'!$B$2:$H$826,2,FALSE),"")</f>
        <v>193</v>
      </c>
      <c r="E165" s="3" t="str">
        <f>IFERROR(VLOOKUP($C165,'_METADATA_TEMPLATE'!$B$2:$H$826,4,FALSE),"")</f>
        <v>SE2026 - L BLOK II</v>
      </c>
      <c r="F165" s="3" t="str">
        <f>IFERROR(VLOOKUP($C165,'_METADATA_TEMPLATE'!$B$2:$H$826,5,FALSE),"")</f>
        <v>19</v>
      </c>
      <c r="G165" s="3" t="str">
        <f>IFERROR(VLOOKUP($C165,'_METADATA_TEMPLATE'!$B$2:$H$826,6,FALSE),"")</f>
        <v>b. Berapa jumlah varian produk yang sudah bersertifikat halal BPJPH?</v>
      </c>
      <c r="H165" s="3" t="str">
        <f>IFERROR(VLOOKUP($C165,'_METADATA_TEMPLATE'!$B$2:$H$826,7,FALSE),"")</f>
        <v>Number</v>
      </c>
      <c r="I165" s="3" t="str">
        <f>IFERROR(VLOOKUP(C165,'_METADATA_DEFAULT'!$A:$B,2,FALSE),"")</f>
        <v/>
      </c>
    </row>
    <row r="166" ht="15.75" customHeight="1">
      <c r="A166" s="2" t="s">
        <v>774</v>
      </c>
      <c r="B166" s="2" t="s">
        <v>732</v>
      </c>
      <c r="C166" s="2" t="s">
        <v>732</v>
      </c>
      <c r="D166" s="2">
        <f>IFERROR(VLOOKUP($C166,'_METADATA_TEMPLATE'!$B$2:$H$826,2,FALSE),"")</f>
        <v>194</v>
      </c>
      <c r="E166" s="2" t="str">
        <f>IFERROR(VLOOKUP($C166,'_METADATA_TEMPLATE'!$B$2:$H$826,4,FALSE),"")</f>
        <v>SE2026 - L BLOK II</v>
      </c>
      <c r="F166" s="2" t="str">
        <f>IFERROR(VLOOKUP($C166,'_METADATA_TEMPLATE'!$B$2:$H$826,5,FALSE),"")</f>
        <v>19</v>
      </c>
      <c r="G166" s="2" t="str">
        <f>IFERROR(VLOOKUP($C166,'_METADATA_TEMPLATE'!$B$2:$H$826,6,FALSE),"")</f>
        <v>c. Berapa jumlah varian produk yang belum bersertifikat halal BPJPH?</v>
      </c>
      <c r="H166" s="2" t="str">
        <f>IFERROR(VLOOKUP($C166,'_METADATA_TEMPLATE'!$B$2:$H$826,7,FALSE),"")</f>
        <v>Number</v>
      </c>
      <c r="I166" s="2" t="str">
        <f>IFERROR(VLOOKUP(C166,'_METADATA_DEFAULT'!$A:$B,2,FALSE),"")</f>
        <v/>
      </c>
    </row>
    <row r="167" ht="15.75" customHeight="1">
      <c r="A167" s="3" t="s">
        <v>774</v>
      </c>
      <c r="B167" s="3" t="s">
        <v>734</v>
      </c>
      <c r="C167" s="3" t="s">
        <v>735</v>
      </c>
      <c r="D167" s="3">
        <f>IFERROR(VLOOKUP($C167,'_METADATA_TEMPLATE'!$B$2:$H$826,2,FALSE),"")</f>
        <v>195</v>
      </c>
      <c r="E167" s="3" t="str">
        <f>IFERROR(VLOOKUP($C167,'_METADATA_TEMPLATE'!$B$2:$H$826,4,FALSE),"")</f>
        <v>SE2026 - L BLOK II</v>
      </c>
      <c r="F167" s="3" t="str">
        <f>IFERROR(VLOOKUP($C167,'_METADATA_TEMPLATE'!$B$2:$H$826,5,FALSE),"")</f>
        <v>20</v>
      </c>
      <c r="G167" s="3" t="str">
        <f>IFERROR(VLOOKUP($C167,'_METADATA_TEMPLATE'!$B$2:$H$826,6,FALSE),"")</f>
        <v>a. Apakah usaha/perusahaan ini memiliki izin edar? Rincian 20 hanya ditanyakan kepada kategori usaha/perusahaan khusus berdasarkan BPOM.</v>
      </c>
      <c r="H167" s="3" t="str">
        <f>IFERROR(VLOOKUP($C167,'_METADATA_TEMPLATE'!$B$2:$H$826,7,FALSE),"")</f>
        <v>Radio Group</v>
      </c>
      <c r="I167" s="3" t="str">
        <f>IFERROR(VLOOKUP(C167,'_METADATA_DEFAULT'!$A:$B,2,FALSE),"")</f>
        <v/>
      </c>
    </row>
    <row r="168" ht="15.75" customHeight="1">
      <c r="A168" s="2" t="s">
        <v>774</v>
      </c>
      <c r="B168" s="2" t="s">
        <v>737</v>
      </c>
      <c r="C168" s="2" t="s">
        <v>735</v>
      </c>
      <c r="D168" s="2">
        <f>IFERROR(VLOOKUP($C168,'_METADATA_TEMPLATE'!$B$2:$H$826,2,FALSE),"")</f>
        <v>195</v>
      </c>
      <c r="E168" s="2" t="str">
        <f>IFERROR(VLOOKUP($C168,'_METADATA_TEMPLATE'!$B$2:$H$826,4,FALSE),"")</f>
        <v>SE2026 - L BLOK II</v>
      </c>
      <c r="F168" s="2" t="str">
        <f>IFERROR(VLOOKUP($C168,'_METADATA_TEMPLATE'!$B$2:$H$826,5,FALSE),"")</f>
        <v>20</v>
      </c>
      <c r="G168" s="2" t="str">
        <f>IFERROR(VLOOKUP($C168,'_METADATA_TEMPLATE'!$B$2:$H$826,6,FALSE),"")</f>
        <v>a. Apakah usaha/perusahaan ini memiliki izin edar? Rincian 20 hanya ditanyakan kepada kategori usaha/perusahaan khusus berdasarkan BPOM.</v>
      </c>
      <c r="H168" s="2" t="str">
        <f>IFERROR(VLOOKUP($C168,'_METADATA_TEMPLATE'!$B$2:$H$826,7,FALSE),"")</f>
        <v>Radio Group</v>
      </c>
      <c r="I168" s="2" t="str">
        <f>IFERROR(VLOOKUP(C168,'_METADATA_DEFAULT'!$A:$B,2,FALSE),"")</f>
        <v/>
      </c>
    </row>
    <row r="169" ht="15.75" customHeight="1">
      <c r="A169" s="3" t="s">
        <v>774</v>
      </c>
      <c r="B169" s="3" t="s">
        <v>1788</v>
      </c>
      <c r="C169" s="3" t="s">
        <v>1788</v>
      </c>
      <c r="D169" s="3">
        <f>IFERROR(VLOOKUP($C169,'_METADATA_TEMPLATE'!$B$2:$H$826,2,FALSE),"")</f>
        <v>196</v>
      </c>
      <c r="E169" s="3" t="str">
        <f>IFERROR(VLOOKUP($C169,'_METADATA_TEMPLATE'!$B$2:$H$826,4,FALSE),"")</f>
        <v/>
      </c>
      <c r="F169" s="3" t="str">
        <f>IFERROR(VLOOKUP($C169,'_METADATA_TEMPLATE'!$B$2:$H$826,5,FALSE),"")</f>
        <v/>
      </c>
      <c r="G169" s="3" t="str">
        <f>IFERROR(VLOOKUP($C169,'_METADATA_TEMPLATE'!$B$2:$H$826,6,FALSE),"")</f>
        <v>list_kbli_mbg</v>
      </c>
      <c r="H169" s="3" t="str">
        <f>IFERROR(VLOOKUP($C169,'_METADATA_TEMPLATE'!$B$2:$H$826,7,FALSE),"")</f>
        <v>Variable</v>
      </c>
      <c r="I169" s="3" t="str">
        <f>IFERROR(VLOOKUP(C169,'_METADATA_DEFAULT'!$A:$B,2,FALSE),"")</f>
        <v/>
      </c>
    </row>
    <row r="170" ht="15.75" customHeight="1">
      <c r="A170" s="2" t="s">
        <v>774</v>
      </c>
      <c r="B170" s="2" t="s">
        <v>739</v>
      </c>
      <c r="C170" s="2" t="s">
        <v>739</v>
      </c>
      <c r="D170" s="2">
        <f>IFERROR(VLOOKUP($C170,'_METADATA_TEMPLATE'!$B$2:$H$826,2,FALSE),"")</f>
        <v>196</v>
      </c>
      <c r="E170" s="2" t="str">
        <f>IFERROR(VLOOKUP($C170,'_METADATA_TEMPLATE'!$B$2:$H$826,4,FALSE),"")</f>
        <v>SE2026 - L BLOK II</v>
      </c>
      <c r="F170" s="2" t="str">
        <f>IFERROR(VLOOKUP($C170,'_METADATA_TEMPLATE'!$B$2:$H$826,5,FALSE),"")</f>
        <v>20</v>
      </c>
      <c r="G170" s="2" t="str">
        <f>IFERROR(VLOOKUP($C170,'_METADATA_TEMPLATE'!$B$2:$H$826,6,FALSE),"")</f>
        <v>b. Berapa jumlah varian produk yang sudah memiliki izin edar BPOM?</v>
      </c>
      <c r="H170" s="2" t="str">
        <f>IFERROR(VLOOKUP($C170,'_METADATA_TEMPLATE'!$B$2:$H$826,7,FALSE),"")</f>
        <v>Number</v>
      </c>
      <c r="I170" s="2" t="str">
        <f>IFERROR(VLOOKUP(C170,'_METADATA_DEFAULT'!$A:$B,2,FALSE),"")</f>
        <v/>
      </c>
    </row>
    <row r="171" ht="15.75" customHeight="1">
      <c r="A171" s="3" t="s">
        <v>774</v>
      </c>
      <c r="B171" s="3" t="s">
        <v>741</v>
      </c>
      <c r="C171" s="3" t="s">
        <v>741</v>
      </c>
      <c r="D171" s="3">
        <f>IFERROR(VLOOKUP($C171,'_METADATA_TEMPLATE'!$B$2:$H$826,2,FALSE),"")</f>
        <v>197</v>
      </c>
      <c r="E171" s="3" t="str">
        <f>IFERROR(VLOOKUP($C171,'_METADATA_TEMPLATE'!$B$2:$H$826,4,FALSE),"")</f>
        <v>SE2026 - L BLOK II</v>
      </c>
      <c r="F171" s="3" t="str">
        <f>IFERROR(VLOOKUP($C171,'_METADATA_TEMPLATE'!$B$2:$H$826,5,FALSE),"")</f>
        <v>20</v>
      </c>
      <c r="G171" s="3" t="str">
        <f>IFERROR(VLOOKUP($C171,'_METADATA_TEMPLATE'!$B$2:$H$826,6,FALSE),"")</f>
        <v>c. Berapa jumlah varian produk yang belum memiliki izin edar BPOM?</v>
      </c>
      <c r="H171" s="3" t="str">
        <f>IFERROR(VLOOKUP($C171,'_METADATA_TEMPLATE'!$B$2:$H$826,7,FALSE),"")</f>
        <v>Number</v>
      </c>
      <c r="I171" s="3" t="str">
        <f>IFERROR(VLOOKUP(C171,'_METADATA_DEFAULT'!$A:$B,2,FALSE),"")</f>
        <v/>
      </c>
    </row>
    <row r="172" ht="15.75" customHeight="1">
      <c r="A172" s="2" t="s">
        <v>774</v>
      </c>
      <c r="B172" s="2" t="s">
        <v>1799</v>
      </c>
      <c r="C172" s="2" t="s">
        <v>1799</v>
      </c>
      <c r="D172" s="2">
        <f>IFERROR(VLOOKUP($C172,'_METADATA_TEMPLATE'!$B$2:$H$826,2,FALSE),"")</f>
        <v>198</v>
      </c>
      <c r="E172" s="2" t="str">
        <f>IFERROR(VLOOKUP($C172,'_METADATA_TEMPLATE'!$B$2:$H$826,4,FALSE),"")</f>
        <v/>
      </c>
      <c r="F172" s="2" t="str">
        <f>IFERROR(VLOOKUP($C172,'_METADATA_TEMPLATE'!$B$2:$H$826,5,FALSE),"")</f>
        <v/>
      </c>
      <c r="G172" s="2" t="str">
        <f>IFERROR(VLOOKUP($C172,'_METADATA_TEMPLATE'!$B$2:$H$826,6,FALSE),"")</f>
        <v>list_kbli_sekolah</v>
      </c>
      <c r="H172" s="2" t="str">
        <f>IFERROR(VLOOKUP($C172,'_METADATA_TEMPLATE'!$B$2:$H$826,7,FALSE),"")</f>
        <v>Variable</v>
      </c>
      <c r="I172" s="2" t="str">
        <f>IFERROR(VLOOKUP(C172,'_METADATA_DEFAULT'!$A:$B,2,FALSE),"")</f>
        <v/>
      </c>
    </row>
    <row r="173" ht="15.75" customHeight="1">
      <c r="A173" s="3" t="s">
        <v>774</v>
      </c>
      <c r="B173" s="3" t="s">
        <v>743</v>
      </c>
      <c r="C173" s="3" t="s">
        <v>744</v>
      </c>
      <c r="D173" s="3">
        <f>IFERROR(VLOOKUP($C173,'_METADATA_TEMPLATE'!$B$2:$H$826,2,FALSE),"")</f>
        <v>198</v>
      </c>
      <c r="E173" s="3" t="str">
        <f>IFERROR(VLOOKUP($C173,'_METADATA_TEMPLATE'!$B$2:$H$826,4,FALSE),"")</f>
        <v>SE2026 - L BLOK II</v>
      </c>
      <c r="F173" s="3" t="str">
        <f>IFERROR(VLOOKUP($C173,'_METADATA_TEMPLATE'!$B$2:$H$826,5,FALSE),"")</f>
        <v>21</v>
      </c>
      <c r="G173" s="3" t="str">
        <f>IFERROR(VLOOKUP($C173,'_METADATA_TEMPLATE'!$B$2:$H$826,6,FALSE),"")</f>
        <v>Apakah usaha/perusahaan ini bermitra dengan Koperasi Desa/Kelurahan Merah Putih (KDKMP)?</v>
      </c>
      <c r="H173" s="3" t="str">
        <f>IFERROR(VLOOKUP($C173,'_METADATA_TEMPLATE'!$B$2:$H$826,7,FALSE),"")</f>
        <v>Radio Group</v>
      </c>
      <c r="I173" s="3" t="str">
        <f>IFERROR(VLOOKUP(C173,'_METADATA_DEFAULT'!$A:$B,2,FALSE),"")</f>
        <v/>
      </c>
    </row>
    <row r="174" ht="15.75" customHeight="1">
      <c r="A174" s="2" t="s">
        <v>774</v>
      </c>
      <c r="B174" s="2" t="s">
        <v>746</v>
      </c>
      <c r="C174" s="2" t="s">
        <v>744</v>
      </c>
      <c r="D174" s="2">
        <f>IFERROR(VLOOKUP($C174,'_METADATA_TEMPLATE'!$B$2:$H$826,2,FALSE),"")</f>
        <v>198</v>
      </c>
      <c r="E174" s="2" t="str">
        <f>IFERROR(VLOOKUP($C174,'_METADATA_TEMPLATE'!$B$2:$H$826,4,FALSE),"")</f>
        <v>SE2026 - L BLOK II</v>
      </c>
      <c r="F174" s="2" t="str">
        <f>IFERROR(VLOOKUP($C174,'_METADATA_TEMPLATE'!$B$2:$H$826,5,FALSE),"")</f>
        <v>21</v>
      </c>
      <c r="G174" s="2" t="str">
        <f>IFERROR(VLOOKUP($C174,'_METADATA_TEMPLATE'!$B$2:$H$826,6,FALSE),"")</f>
        <v>Apakah usaha/perusahaan ini bermitra dengan Koperasi Desa/Kelurahan Merah Putih (KDKMP)?</v>
      </c>
      <c r="H174" s="2" t="str">
        <f>IFERROR(VLOOKUP($C174,'_METADATA_TEMPLATE'!$B$2:$H$826,7,FALSE),"")</f>
        <v>Radio Group</v>
      </c>
      <c r="I174" s="2" t="str">
        <f>IFERROR(VLOOKUP(C174,'_METADATA_DEFAULT'!$A:$B,2,FALSE),"")</f>
        <v/>
      </c>
    </row>
    <row r="175" ht="15.75" customHeight="1">
      <c r="A175" s="3" t="s">
        <v>774</v>
      </c>
      <c r="B175" s="3" t="s">
        <v>748</v>
      </c>
      <c r="C175" s="3" t="s">
        <v>749</v>
      </c>
      <c r="D175" s="3">
        <f>IFERROR(VLOOKUP($C175,'_METADATA_TEMPLATE'!$B$2:$H$826,2,FALSE),"")</f>
        <v>199</v>
      </c>
      <c r="E175" s="3" t="str">
        <f>IFERROR(VLOOKUP($C175,'_METADATA_TEMPLATE'!$B$2:$H$826,4,FALSE),"")</f>
        <v>SE2026 - L BLOK II</v>
      </c>
      <c r="F175" s="3" t="str">
        <f>IFERROR(VLOOKUP($C175,'_METADATA_TEMPLATE'!$B$2:$H$826,5,FALSE),"")</f>
        <v>22</v>
      </c>
      <c r="G175" s="3" t="str">
        <f>IFERROR(VLOOKUP($C175,'_METADATA_TEMPLATE'!$B$2:$H$826,6,FALSE),"")</f>
        <v>Apakah usaha/perusahaan ini terlibat dalam program Makan Bergizi Gratis (MBG)?</v>
      </c>
      <c r="H175" s="3" t="str">
        <f>IFERROR(VLOOKUP($C175,'_METADATA_TEMPLATE'!$B$2:$H$826,7,FALSE),"")</f>
        <v>Radio Group</v>
      </c>
      <c r="I175" s="3" t="str">
        <f>IFERROR(VLOOKUP(C175,'_METADATA_DEFAULT'!$A:$B,2,FALSE),"")</f>
        <v/>
      </c>
    </row>
    <row r="176" ht="15.75" customHeight="1">
      <c r="A176" s="2" t="s">
        <v>774</v>
      </c>
      <c r="B176" s="2" t="s">
        <v>752</v>
      </c>
      <c r="C176" s="2" t="s">
        <v>749</v>
      </c>
      <c r="D176" s="2">
        <f>IFERROR(VLOOKUP($C176,'_METADATA_TEMPLATE'!$B$2:$H$826,2,FALSE),"")</f>
        <v>199</v>
      </c>
      <c r="E176" s="2" t="str">
        <f>IFERROR(VLOOKUP($C176,'_METADATA_TEMPLATE'!$B$2:$H$826,4,FALSE),"")</f>
        <v>SE2026 - L BLOK II</v>
      </c>
      <c r="F176" s="2" t="str">
        <f>IFERROR(VLOOKUP($C176,'_METADATA_TEMPLATE'!$B$2:$H$826,5,FALSE),"")</f>
        <v>22</v>
      </c>
      <c r="G176" s="2" t="str">
        <f>IFERROR(VLOOKUP($C176,'_METADATA_TEMPLATE'!$B$2:$H$826,6,FALSE),"")</f>
        <v>Apakah usaha/perusahaan ini terlibat dalam program Makan Bergizi Gratis (MBG)?</v>
      </c>
      <c r="H176" s="2" t="str">
        <f>IFERROR(VLOOKUP($C176,'_METADATA_TEMPLATE'!$B$2:$H$826,7,FALSE),"")</f>
        <v>Radio Group</v>
      </c>
      <c r="I176" s="2" t="str">
        <f>IFERROR(VLOOKUP(C176,'_METADATA_DEFAULT'!$A:$B,2,FALSE),"")</f>
        <v/>
      </c>
    </row>
    <row r="177" ht="15.75" customHeight="1">
      <c r="A177" s="3" t="s">
        <v>774</v>
      </c>
      <c r="B177" s="3" t="s">
        <v>1813</v>
      </c>
      <c r="C177" s="3" t="s">
        <v>1813</v>
      </c>
      <c r="D177" s="3" t="str">
        <f>IFERROR(VLOOKUP($C177,'_METADATA_TEMPLATE'!$B$2:$H$826,2,FALSE),"")</f>
        <v/>
      </c>
      <c r="E177" s="3" t="str">
        <f>IFERROR(VLOOKUP($C177,'_METADATA_TEMPLATE'!$B$2:$H$826,4,FALSE),"")</f>
        <v/>
      </c>
      <c r="F177" s="3" t="str">
        <f>IFERROR(VLOOKUP($C177,'_METADATA_TEMPLATE'!$B$2:$H$826,5,FALSE),"")</f>
        <v/>
      </c>
      <c r="G177" s="3" t="str">
        <f>IFERROR(VLOOKUP($C177,'_METADATA_TEMPLATE'!$B$2:$H$826,6,FALSE),"")</f>
        <v/>
      </c>
      <c r="H177" s="3" t="str">
        <f>IFERROR(VLOOKUP($C177,'_METADATA_TEMPLATE'!$B$2:$H$826,7,FALSE),"")</f>
        <v/>
      </c>
      <c r="I177" s="3" t="str">
        <f>IFERROR(VLOOKUP(C177,'_METADATA_DEFAULT'!$A:$B,2,FALSE),"")</f>
        <v/>
      </c>
    </row>
    <row r="178" ht="15.75" customHeight="1">
      <c r="A178" s="2" t="s">
        <v>774</v>
      </c>
      <c r="B178" s="2" t="s">
        <v>764</v>
      </c>
      <c r="C178" s="2" t="s">
        <v>765</v>
      </c>
      <c r="D178" s="2">
        <f>IFERROR(VLOOKUP($C178,'_METADATA_TEMPLATE'!$B$2:$H$826,2,FALSE),"")</f>
        <v>202</v>
      </c>
      <c r="E178" s="2" t="str">
        <f>IFERROR(VLOOKUP($C178,'_METADATA_TEMPLATE'!$B$2:$H$826,4,FALSE),"")</f>
        <v>SE2026 - L BLOK II</v>
      </c>
      <c r="F178" s="2" t="str">
        <f>IFERROR(VLOOKUP($C178,'_METADATA_TEMPLATE'!$B$2:$H$826,5,FALSE),"")</f>
        <v>23</v>
      </c>
      <c r="G178" s="2" t="str">
        <f>IFERROR(VLOOKUP($C178,'_METADATA_TEMPLATE'!$B$2:$H$826,6,FALSE),"")</f>
        <v>c. Pembelian jasa</v>
      </c>
      <c r="H178" s="2" t="str">
        <f>IFERROR(VLOOKUP($C178,'_METADATA_TEMPLATE'!$B$2:$H$826,7,FALSE),"")</f>
        <v>Radio Group</v>
      </c>
      <c r="I178" s="2" t="str">
        <f>IFERROR(VLOOKUP(C178,'_METADATA_DEFAULT'!$A:$B,2,FALSE),"")</f>
        <v/>
      </c>
    </row>
    <row r="179" ht="15.75" customHeight="1">
      <c r="A179" s="3" t="s">
        <v>774</v>
      </c>
      <c r="B179" s="3" t="s">
        <v>767</v>
      </c>
      <c r="C179" s="3" t="s">
        <v>765</v>
      </c>
      <c r="D179" s="3">
        <f>IFERROR(VLOOKUP($C179,'_METADATA_TEMPLATE'!$B$2:$H$826,2,FALSE),"")</f>
        <v>202</v>
      </c>
      <c r="E179" s="3" t="str">
        <f>IFERROR(VLOOKUP($C179,'_METADATA_TEMPLATE'!$B$2:$H$826,4,FALSE),"")</f>
        <v>SE2026 - L BLOK II</v>
      </c>
      <c r="F179" s="3" t="str">
        <f>IFERROR(VLOOKUP($C179,'_METADATA_TEMPLATE'!$B$2:$H$826,5,FALSE),"")</f>
        <v>23</v>
      </c>
      <c r="G179" s="3" t="str">
        <f>IFERROR(VLOOKUP($C179,'_METADATA_TEMPLATE'!$B$2:$H$826,6,FALSE),"")</f>
        <v>c. Pembelian jasa</v>
      </c>
      <c r="H179" s="3" t="str">
        <f>IFERROR(VLOOKUP($C179,'_METADATA_TEMPLATE'!$B$2:$H$826,7,FALSE),"")</f>
        <v>Radio Group</v>
      </c>
      <c r="I179" s="3" t="str">
        <f>IFERROR(VLOOKUP(C179,'_METADATA_DEFAULT'!$A:$B,2,FALSE),"")</f>
        <v/>
      </c>
    </row>
    <row r="180" ht="15.75" customHeight="1">
      <c r="A180" s="2" t="s">
        <v>774</v>
      </c>
      <c r="B180" s="2" t="s">
        <v>1821</v>
      </c>
      <c r="C180" s="2" t="s">
        <v>1821</v>
      </c>
      <c r="D180" s="2" t="str">
        <f>IFERROR(VLOOKUP($C180,'_METADATA_TEMPLATE'!$B$2:$H$826,2,FALSE),"")</f>
        <v/>
      </c>
      <c r="E180" s="2" t="str">
        <f>IFERROR(VLOOKUP($C180,'_METADATA_TEMPLATE'!$B$2:$H$826,4,FALSE),"")</f>
        <v/>
      </c>
      <c r="F180" s="2" t="str">
        <f>IFERROR(VLOOKUP($C180,'_METADATA_TEMPLATE'!$B$2:$H$826,5,FALSE),"")</f>
        <v/>
      </c>
      <c r="G180" s="2" t="str">
        <f>IFERROR(VLOOKUP($C180,'_METADATA_TEMPLATE'!$B$2:$H$826,6,FALSE),"")</f>
        <v/>
      </c>
      <c r="H180" s="2" t="str">
        <f>IFERROR(VLOOKUP($C180,'_METADATA_TEMPLATE'!$B$2:$H$826,7,FALSE),"")</f>
        <v/>
      </c>
      <c r="I180" s="2" t="str">
        <f>IFERROR(VLOOKUP(C180,'_METADATA_DEFAULT'!$A:$B,2,FALSE),"")</f>
        <v/>
      </c>
    </row>
    <row r="181" ht="15.75" customHeight="1">
      <c r="A181" s="3" t="s">
        <v>774</v>
      </c>
      <c r="B181" s="3" t="s">
        <v>769</v>
      </c>
      <c r="C181" s="3" t="s">
        <v>769</v>
      </c>
      <c r="D181" s="3">
        <f>IFERROR(VLOOKUP($C181,'_METADATA_TEMPLATE'!$B$2:$H$826,2,FALSE),"")</f>
        <v>203</v>
      </c>
      <c r="E181" s="3" t="str">
        <f>IFERROR(VLOOKUP($C181,'_METADATA_TEMPLATE'!$B$2:$H$826,4,FALSE),"")</f>
        <v>SE2026 - L BLOK II</v>
      </c>
      <c r="F181" s="3" t="str">
        <f>IFERROR(VLOOKUP($C181,'_METADATA_TEMPLATE'!$B$2:$H$826,5,FALSE),"")</f>
        <v>24</v>
      </c>
      <c r="G181" s="3" t="str">
        <f>IFERROR(VLOOKUP($C181,'_METADATA_TEMPLATE'!$B$2:$H$826,6,FALSE),"")</f>
        <v>a1. Pekerja laki-laki</v>
      </c>
      <c r="H181" s="3" t="str">
        <f>IFERROR(VLOOKUP($C181,'_METADATA_TEMPLATE'!$B$2:$H$826,7,FALSE),"")</f>
        <v>Number</v>
      </c>
      <c r="I181" s="3" t="str">
        <f>IFERROR(VLOOKUP(C181,'_METADATA_DEFAULT'!$A:$B,2,FALSE),"")</f>
        <v/>
      </c>
    </row>
    <row r="182" ht="15.75" customHeight="1">
      <c r="A182" s="2" t="s">
        <v>774</v>
      </c>
      <c r="B182" s="2" t="s">
        <v>1832</v>
      </c>
      <c r="C182" s="2" t="s">
        <v>1832</v>
      </c>
      <c r="D182" s="2" t="str">
        <f>IFERROR(VLOOKUP($C182,'_METADATA_TEMPLATE'!$B$2:$H$826,2,FALSE),"")</f>
        <v/>
      </c>
      <c r="E182" s="2" t="str">
        <f>IFERROR(VLOOKUP($C182,'_METADATA_TEMPLATE'!$B$2:$H$826,4,FALSE),"")</f>
        <v/>
      </c>
      <c r="F182" s="2" t="str">
        <f>IFERROR(VLOOKUP($C182,'_METADATA_TEMPLATE'!$B$2:$H$826,5,FALSE),"")</f>
        <v/>
      </c>
      <c r="G182" s="2" t="str">
        <f>IFERROR(VLOOKUP($C182,'_METADATA_TEMPLATE'!$B$2:$H$826,6,FALSE),"")</f>
        <v/>
      </c>
      <c r="H182" s="2" t="str">
        <f>IFERROR(VLOOKUP($C182,'_METADATA_TEMPLATE'!$B$2:$H$826,7,FALSE),"")</f>
        <v/>
      </c>
      <c r="I182" s="2" t="str">
        <f>IFERROR(VLOOKUP(C182,'_METADATA_DEFAULT'!$A:$B,2,FALSE),"")</f>
        <v/>
      </c>
    </row>
    <row r="183" ht="15.75" customHeight="1">
      <c r="A183" s="3" t="s">
        <v>774</v>
      </c>
      <c r="B183" s="3" t="s">
        <v>1837</v>
      </c>
      <c r="C183" s="3" t="s">
        <v>1837</v>
      </c>
      <c r="D183" s="3" t="str">
        <f>IFERROR(VLOOKUP($C183,'_METADATA_TEMPLATE'!$B$2:$H$826,2,FALSE),"")</f>
        <v/>
      </c>
      <c r="E183" s="3" t="str">
        <f>IFERROR(VLOOKUP($C183,'_METADATA_TEMPLATE'!$B$2:$H$826,4,FALSE),"")</f>
        <v/>
      </c>
      <c r="F183" s="3" t="str">
        <f>IFERROR(VLOOKUP($C183,'_METADATA_TEMPLATE'!$B$2:$H$826,5,FALSE),"")</f>
        <v/>
      </c>
      <c r="G183" s="3" t="str">
        <f>IFERROR(VLOOKUP($C183,'_METADATA_TEMPLATE'!$B$2:$H$826,6,FALSE),"")</f>
        <v/>
      </c>
      <c r="H183" s="3" t="str">
        <f>IFERROR(VLOOKUP($C183,'_METADATA_TEMPLATE'!$B$2:$H$826,7,FALSE),"")</f>
        <v/>
      </c>
      <c r="I183" s="3" t="str">
        <f>IFERROR(VLOOKUP(C183,'_METADATA_DEFAULT'!$A:$B,2,FALSE),"")</f>
        <v/>
      </c>
    </row>
    <row r="184" ht="15.75" customHeight="1">
      <c r="A184" s="2" t="s">
        <v>774</v>
      </c>
      <c r="B184" s="2" t="s">
        <v>1840</v>
      </c>
      <c r="C184" s="2" t="s">
        <v>1840</v>
      </c>
      <c r="D184" s="2" t="str">
        <f>IFERROR(VLOOKUP($C184,'_METADATA_TEMPLATE'!$B$2:$H$826,2,FALSE),"")</f>
        <v/>
      </c>
      <c r="E184" s="2" t="str">
        <f>IFERROR(VLOOKUP($C184,'_METADATA_TEMPLATE'!$B$2:$H$826,4,FALSE),"")</f>
        <v/>
      </c>
      <c r="F184" s="2" t="str">
        <f>IFERROR(VLOOKUP($C184,'_METADATA_TEMPLATE'!$B$2:$H$826,5,FALSE),"")</f>
        <v/>
      </c>
      <c r="G184" s="2" t="str">
        <f>IFERROR(VLOOKUP($C184,'_METADATA_TEMPLATE'!$B$2:$H$826,6,FALSE),"")</f>
        <v/>
      </c>
      <c r="H184" s="2" t="str">
        <f>IFERROR(VLOOKUP($C184,'_METADATA_TEMPLATE'!$B$2:$H$826,7,FALSE),"")</f>
        <v/>
      </c>
      <c r="I184" s="2" t="str">
        <f>IFERROR(VLOOKUP(C184,'_METADATA_DEFAULT'!$A:$B,2,FALSE),"")</f>
        <v/>
      </c>
    </row>
    <row r="185" ht="15.75" customHeight="1">
      <c r="A185" s="3" t="s">
        <v>774</v>
      </c>
      <c r="B185" s="3" t="s">
        <v>792</v>
      </c>
      <c r="C185" s="3" t="s">
        <v>792</v>
      </c>
      <c r="D185" s="3">
        <f>IFERROR(VLOOKUP($C185,'_METADATA_TEMPLATE'!$B$2:$H$826,2,FALSE),"")</f>
        <v>211</v>
      </c>
      <c r="E185" s="3" t="str">
        <f>IFERROR(VLOOKUP($C185,'_METADATA_TEMPLATE'!$B$2:$H$826,4,FALSE),"")</f>
        <v>SE2026 - L BLOK II</v>
      </c>
      <c r="F185" s="3" t="str">
        <f>IFERROR(VLOOKUP($C185,'_METADATA_TEMPLATE'!$B$2:$H$826,5,FALSE),"")</f>
        <v>25</v>
      </c>
      <c r="G185" s="3" t="str">
        <f>IFERROR(VLOOKUP($C185,'_METADATA_TEMPLATE'!$B$2:$H$826,6,FALSE),"")</f>
        <v>Tahun berapa usaha/perusahaan ini mulai beroperasi secara komersial ? Tahun beroperasi komersial terdiri dari 4 angka. Contoh: 1990; 2025;dsb.</v>
      </c>
      <c r="H185" s="3" t="str">
        <f>IFERROR(VLOOKUP($C185,'_METADATA_TEMPLATE'!$B$2:$H$826,7,FALSE),"")</f>
        <v>Masking</v>
      </c>
      <c r="I185" s="3" t="str">
        <f>IFERROR(VLOOKUP(C185,'_METADATA_DEFAULT'!$A:$B,2,FALSE),"")</f>
        <v/>
      </c>
    </row>
    <row r="186" ht="15.75" customHeight="1">
      <c r="A186" s="2" t="s">
        <v>774</v>
      </c>
      <c r="B186" s="2" t="s">
        <v>796</v>
      </c>
      <c r="C186" s="2" t="s">
        <v>796</v>
      </c>
      <c r="D186" s="2">
        <f>IFERROR(VLOOKUP($C186,'_METADATA_TEMPLATE'!$B$2:$H$826,2,FALSE),"")</f>
        <v>212</v>
      </c>
      <c r="E186" s="2" t="str">
        <f>IFERROR(VLOOKUP($C186,'_METADATA_TEMPLATE'!$B$2:$H$826,4,FALSE),"")</f>
        <v>SE2026 - L BLOK II</v>
      </c>
      <c r="F186" s="2" t="str">
        <f>IFERROR(VLOOKUP($C186,'_METADATA_TEMPLATE'!$B$2:$H$826,5,FALSE),"")</f>
        <v>26</v>
      </c>
      <c r="G186" s="2" t="str">
        <f>IFERROR(VLOOKUP($C186,'_METADATA_TEMPLATE'!$B$2:$H$826,6,FALSE),"")</f>
        <v>a. Total upah dan gaji, serta jaminan sosial pegawai</v>
      </c>
      <c r="H186" s="2" t="str">
        <f>IFERROR(VLOOKUP($C186,'_METADATA_TEMPLATE'!$B$2:$H$826,7,FALSE),"")</f>
        <v>Currency</v>
      </c>
      <c r="I186" s="2" t="str">
        <f>IFERROR(VLOOKUP(C186,'_METADATA_DEFAULT'!$A:$B,2,FALSE),"")</f>
        <v/>
      </c>
    </row>
    <row r="187" ht="15.75" customHeight="1">
      <c r="A187" s="3" t="s">
        <v>774</v>
      </c>
      <c r="B187" s="3" t="s">
        <v>800</v>
      </c>
      <c r="C187" s="3" t="s">
        <v>800</v>
      </c>
      <c r="D187" s="3">
        <f>IFERROR(VLOOKUP($C187,'_METADATA_TEMPLATE'!$B$2:$H$826,2,FALSE),"")</f>
        <v>213</v>
      </c>
      <c r="E187" s="3" t="str">
        <f>IFERROR(VLOOKUP($C187,'_METADATA_TEMPLATE'!$B$2:$H$826,4,FALSE),"")</f>
        <v>SE2026 - L BLOK II</v>
      </c>
      <c r="F187" s="3" t="str">
        <f>IFERROR(VLOOKUP($C187,'_METADATA_TEMPLATE'!$B$2:$H$826,5,FALSE),"")</f>
        <v>26</v>
      </c>
      <c r="G187" s="3" t="str">
        <f>IFERROR(VLOOKUP($C187,'_METADATA_TEMPLATE'!$B$2:$H$826,6,FALSE),"")</f>
        <v>b. Biaya produksi</v>
      </c>
      <c r="H187" s="3" t="str">
        <f>IFERROR(VLOOKUP($C187,'_METADATA_TEMPLATE'!$B$2:$H$826,7,FALSE),"")</f>
        <v>Currency</v>
      </c>
      <c r="I187" s="3" t="str">
        <f>IFERROR(VLOOKUP(C187,'_METADATA_DEFAULT'!$A:$B,2,FALSE),"")</f>
        <v/>
      </c>
    </row>
    <row r="188" ht="15.75" customHeight="1">
      <c r="A188" s="2" t="s">
        <v>774</v>
      </c>
      <c r="B188" s="2" t="s">
        <v>801</v>
      </c>
      <c r="C188" s="2" t="s">
        <v>801</v>
      </c>
      <c r="D188" s="2">
        <f>IFERROR(VLOOKUP($C188,'_METADATA_TEMPLATE'!$B$2:$H$826,2,FALSE),"")</f>
        <v>214</v>
      </c>
      <c r="E188" s="2" t="str">
        <f>IFERROR(VLOOKUP($C188,'_METADATA_TEMPLATE'!$B$2:$H$826,4,FALSE),"")</f>
        <v>SE2026 - L BLOK II</v>
      </c>
      <c r="F188" s="2" t="str">
        <f>IFERROR(VLOOKUP($C188,'_METADATA_TEMPLATE'!$B$2:$H$826,5,FALSE),"")</f>
        <v>26</v>
      </c>
      <c r="G188" s="2" t="str">
        <f>IFERROR(VLOOKUP($C188,'_METADATA_TEMPLATE'!$B$2:$H$826,6,FALSE),"")</f>
        <v>c. Biaya pembelian barang yang terjual</v>
      </c>
      <c r="H188" s="2" t="str">
        <f>IFERROR(VLOOKUP($C188,'_METADATA_TEMPLATE'!$B$2:$H$826,7,FALSE),"")</f>
        <v>Currency</v>
      </c>
      <c r="I188" s="2" t="str">
        <f>IFERROR(VLOOKUP(C188,'_METADATA_DEFAULT'!$A:$B,2,FALSE),"")</f>
        <v/>
      </c>
    </row>
    <row r="189" ht="15.75" customHeight="1">
      <c r="A189" s="3" t="s">
        <v>774</v>
      </c>
      <c r="B189" s="3" t="s">
        <v>803</v>
      </c>
      <c r="C189" s="3" t="s">
        <v>803</v>
      </c>
      <c r="D189" s="3">
        <f>IFERROR(VLOOKUP($C189,'_METADATA_TEMPLATE'!$B$2:$H$826,2,FALSE),"")</f>
        <v>215</v>
      </c>
      <c r="E189" s="3" t="str">
        <f>IFERROR(VLOOKUP($C189,'_METADATA_TEMPLATE'!$B$2:$H$826,4,FALSE),"")</f>
        <v>SE2026 - L BLOK II</v>
      </c>
      <c r="F189" s="3" t="str">
        <f>IFERROR(VLOOKUP($C189,'_METADATA_TEMPLATE'!$B$2:$H$826,5,FALSE),"")</f>
        <v>26</v>
      </c>
      <c r="G189" s="3" t="str">
        <f>IFERROR(VLOOKUP($C189,'_METADATA_TEMPLATE'!$B$2:$H$826,6,FALSE),"")</f>
        <v>d. Biaya operasional (air, listrik, gas, internet, pulsa, pemeliharaan, biaya angkutan, dll.)</v>
      </c>
      <c r="H189" s="3" t="str">
        <f>IFERROR(VLOOKUP($C189,'_METADATA_TEMPLATE'!$B$2:$H$826,7,FALSE),"")</f>
        <v>Currency</v>
      </c>
      <c r="I189" s="3" t="str">
        <f>IFERROR(VLOOKUP(C189,'_METADATA_DEFAULT'!$A:$B,2,FALSE),"")</f>
        <v/>
      </c>
    </row>
    <row r="190" ht="15.75" customHeight="1">
      <c r="A190" s="2" t="s">
        <v>774</v>
      </c>
      <c r="B190" s="2" t="s">
        <v>805</v>
      </c>
      <c r="C190" s="2" t="s">
        <v>805</v>
      </c>
      <c r="D190" s="2">
        <f>IFERROR(VLOOKUP($C190,'_METADATA_TEMPLATE'!$B$2:$H$826,2,FALSE),"")</f>
        <v>216</v>
      </c>
      <c r="E190" s="2" t="str">
        <f>IFERROR(VLOOKUP($C190,'_METADATA_TEMPLATE'!$B$2:$H$826,4,FALSE),"")</f>
        <v>SE2026 - L BLOK II</v>
      </c>
      <c r="F190" s="2" t="str">
        <f>IFERROR(VLOOKUP($C190,'_METADATA_TEMPLATE'!$B$2:$H$826,5,FALSE),"")</f>
        <v>26</v>
      </c>
      <c r="G190" s="2" t="str">
        <f>IFERROR(VLOOKUP($C190,'_METADATA_TEMPLATE'!$B$2:$H$826,6,FALSE),"")</f>
        <v>e. Biaya non-operasional</v>
      </c>
      <c r="H190" s="2" t="str">
        <f>IFERROR(VLOOKUP($C190,'_METADATA_TEMPLATE'!$B$2:$H$826,7,FALSE),"")</f>
        <v>Currency</v>
      </c>
      <c r="I190" s="2" t="str">
        <f>IFERROR(VLOOKUP(C190,'_METADATA_DEFAULT'!$A:$B,2,FALSE),"")</f>
        <v/>
      </c>
    </row>
    <row r="191" ht="15.75" customHeight="1">
      <c r="A191" s="3" t="s">
        <v>774</v>
      </c>
      <c r="B191" s="3" t="s">
        <v>807</v>
      </c>
      <c r="C191" s="3" t="s">
        <v>807</v>
      </c>
      <c r="D191" s="3">
        <f>IFERROR(VLOOKUP($C191,'_METADATA_TEMPLATE'!$B$2:$H$826,2,FALSE),"")</f>
        <v>217</v>
      </c>
      <c r="E191" s="3" t="str">
        <f>IFERROR(VLOOKUP($C191,'_METADATA_TEMPLATE'!$B$2:$H$826,4,FALSE),"")</f>
        <v>SE2026 - L BLOK II</v>
      </c>
      <c r="F191" s="3" t="str">
        <f>IFERROR(VLOOKUP($C191,'_METADATA_TEMPLATE'!$B$2:$H$826,5,FALSE),"")</f>
        <v>26</v>
      </c>
      <c r="G191" s="3" t="str">
        <f>IFERROR(VLOOKUP($C191,'_METADATA_TEMPLATE'!$B$2:$H$826,6,FALSE),"")</f>
        <v>f. Total pengeluaran (a+b+c+d+e)</v>
      </c>
      <c r="H191" s="3" t="str">
        <f>IFERROR(VLOOKUP($C191,'_METADATA_TEMPLATE'!$B$2:$H$826,7,FALSE),"")</f>
        <v>Currency</v>
      </c>
      <c r="I191" s="3" t="str">
        <f>IFERROR(VLOOKUP(C191,'_METADATA_DEFAULT'!$A:$B,2,FALSE),"")</f>
        <v/>
      </c>
    </row>
    <row r="192" ht="15.75" customHeight="1">
      <c r="A192" s="2" t="s">
        <v>774</v>
      </c>
      <c r="B192" s="2" t="s">
        <v>814</v>
      </c>
      <c r="C192" s="2" t="s">
        <v>814</v>
      </c>
      <c r="D192" s="2">
        <f>IFERROR(VLOOKUP($C192,'_METADATA_TEMPLATE'!$B$2:$H$826,2,FALSE),"")</f>
        <v>219</v>
      </c>
      <c r="E192" s="2" t="str">
        <f>IFERROR(VLOOKUP($C192,'_METADATA_TEMPLATE'!$B$2:$H$826,4,FALSE),"")</f>
        <v>SE2026 - L BLOK II</v>
      </c>
      <c r="F192" s="2" t="str">
        <f>IFERROR(VLOOKUP($C192,'_METADATA_TEMPLATE'!$B$2:$H$826,5,FALSE),"")</f>
        <v>27</v>
      </c>
      <c r="G192" s="2" t="str">
        <f>IFERROR(VLOOKUP($C192,'_METADATA_TEMPLATE'!$B$2:$H$826,6,FALSE),"")</f>
        <v>a. Nilai $narasi barang dan jasa</v>
      </c>
      <c r="H192" s="2" t="str">
        <f>IFERROR(VLOOKUP($C192,'_METADATA_TEMPLATE'!$B$2:$H$826,7,FALSE),"")</f>
        <v>Currency</v>
      </c>
      <c r="I192" s="2" t="str">
        <f>IFERROR(VLOOKUP(C192,'_METADATA_DEFAULT'!$A:$B,2,FALSE),"")</f>
        <v/>
      </c>
    </row>
    <row r="193" ht="15.75" customHeight="1">
      <c r="A193" s="3" t="s">
        <v>774</v>
      </c>
      <c r="B193" s="3" t="s">
        <v>828</v>
      </c>
      <c r="C193" s="3" t="s">
        <v>828</v>
      </c>
      <c r="D193" s="3">
        <f>IFERROR(VLOOKUP($C193,'_METADATA_TEMPLATE'!$B$2:$H$826,2,FALSE),"")</f>
        <v>220</v>
      </c>
      <c r="E193" s="3" t="str">
        <f>IFERROR(VLOOKUP($C193,'_METADATA_TEMPLATE'!$B$2:$H$826,4,FALSE),"")</f>
        <v>SE2026 - L BLOK II</v>
      </c>
      <c r="F193" s="3" t="str">
        <f>IFERROR(VLOOKUP($C193,'_METADATA_TEMPLATE'!$B$2:$H$826,5,FALSE),"")</f>
        <v>27</v>
      </c>
      <c r="G193" s="3" t="str">
        <f>IFERROR(VLOOKUP($C193,'_METADATA_TEMPLATE'!$B$2:$H$826,6,FALSE),"")</f>
        <v>b. Pendapatan lainnya yang dihasilkan perusahaan</v>
      </c>
      <c r="H193" s="3" t="str">
        <f>IFERROR(VLOOKUP($C193,'_METADATA_TEMPLATE'!$B$2:$H$826,7,FALSE),"")</f>
        <v>Currency</v>
      </c>
      <c r="I193" s="3" t="str">
        <f>IFERROR(VLOOKUP(C193,'_METADATA_DEFAULT'!$A:$B,2,FALSE),"")</f>
        <v/>
      </c>
    </row>
    <row r="194" ht="15.75" customHeight="1">
      <c r="A194" s="2" t="s">
        <v>774</v>
      </c>
      <c r="B194" s="2" t="s">
        <v>835</v>
      </c>
      <c r="C194" s="2" t="s">
        <v>835</v>
      </c>
      <c r="D194" s="2">
        <f>IFERROR(VLOOKUP($C194,'_METADATA_TEMPLATE'!$B$2:$H$826,2,FALSE),"")</f>
        <v>221</v>
      </c>
      <c r="E194" s="2" t="str">
        <f>IFERROR(VLOOKUP($C194,'_METADATA_TEMPLATE'!$B$2:$H$826,4,FALSE),"")</f>
        <v>SE2026 - L BLOK II</v>
      </c>
      <c r="F194" s="2" t="str">
        <f>IFERROR(VLOOKUP($C194,'_METADATA_TEMPLATE'!$B$2:$H$826,5,FALSE),"")</f>
        <v>27</v>
      </c>
      <c r="G194" s="2" t="str">
        <f>IFERROR(VLOOKUP($C194,'_METADATA_TEMPLATE'!$B$2:$H$826,6,FALSE),"")</f>
        <v>c. Total nilai $narasi (a+b)</v>
      </c>
      <c r="H194" s="2" t="str">
        <f>IFERROR(VLOOKUP($C194,'_METADATA_TEMPLATE'!$B$2:$H$826,7,FALSE),"")</f>
        <v>Currency</v>
      </c>
      <c r="I194" s="2" t="str">
        <f>IFERROR(VLOOKUP(C194,'_METADATA_DEFAULT'!$A:$B,2,FALSE),"")</f>
        <v/>
      </c>
    </row>
    <row r="195" ht="15.75" customHeight="1">
      <c r="A195" s="3" t="s">
        <v>774</v>
      </c>
      <c r="B195" s="3" t="s">
        <v>963</v>
      </c>
      <c r="C195" s="3" t="s">
        <v>963</v>
      </c>
      <c r="D195" s="3">
        <f>IFERROR(VLOOKUP($C195,'_METADATA_TEMPLATE'!$B$2:$H$826,2,FALSE),"")</f>
        <v>231</v>
      </c>
      <c r="E195" s="3" t="str">
        <f>IFERROR(VLOOKUP($C195,'_METADATA_TEMPLATE'!$B$2:$H$826,4,FALSE),"")</f>
        <v>SE2026 - L BLOK II</v>
      </c>
      <c r="F195" s="3" t="str">
        <f>IFERROR(VLOOKUP($C195,'_METADATA_TEMPLATE'!$B$2:$H$826,5,FALSE),"")</f>
        <v>29</v>
      </c>
      <c r="G195" s="3" t="str">
        <f>IFERROR(VLOOKUP($C195,'_METADATA_TEMPLATE'!$B$2:$H$826,6,FALSE),"")</f>
        <v>b. Lembaga Nonprofit yang Melayani Rumah Tangga</v>
      </c>
      <c r="H195" s="3" t="str">
        <f>IFERROR(VLOOKUP($C195,'_METADATA_TEMPLATE'!$B$2:$H$826,7,FALSE),"")</f>
        <v>DecimalInput</v>
      </c>
      <c r="I195" s="3" t="str">
        <f>IFERROR(VLOOKUP(C195,'_METADATA_DEFAULT'!$A:$B,2,FALSE),"")</f>
        <v/>
      </c>
    </row>
    <row r="196" ht="15.75" customHeight="1">
      <c r="A196" s="2" t="s">
        <v>774</v>
      </c>
      <c r="B196" s="2" t="s">
        <v>971</v>
      </c>
      <c r="C196" s="2" t="s">
        <v>971</v>
      </c>
      <c r="D196" s="2">
        <f>IFERROR(VLOOKUP($C196,'_METADATA_TEMPLATE'!$B$2:$H$826,2,FALSE),"")</f>
        <v>232</v>
      </c>
      <c r="E196" s="2" t="str">
        <f>IFERROR(VLOOKUP($C196,'_METADATA_TEMPLATE'!$B$2:$H$826,4,FALSE),"")</f>
        <v>SE2026 - L BLOK II</v>
      </c>
      <c r="F196" s="2" t="str">
        <f>IFERROR(VLOOKUP($C196,'_METADATA_TEMPLATE'!$B$2:$H$826,5,FALSE),"")</f>
        <v>29</v>
      </c>
      <c r="G196" s="2" t="str">
        <f>IFERROR(VLOOKUP($C196,'_METADATA_TEMPLATE'!$B$2:$H$826,6,FALSE),"")</f>
        <v>c. Korporasi Publik</v>
      </c>
      <c r="H196" s="2" t="str">
        <f>IFERROR(VLOOKUP($C196,'_METADATA_TEMPLATE'!$B$2:$H$826,7,FALSE),"")</f>
        <v>DecimalInput</v>
      </c>
      <c r="I196" s="2" t="str">
        <f>IFERROR(VLOOKUP(C196,'_METADATA_DEFAULT'!$A:$B,2,FALSE),"")</f>
        <v/>
      </c>
    </row>
    <row r="197" ht="15.75" customHeight="1">
      <c r="A197" s="3" t="s">
        <v>774</v>
      </c>
      <c r="B197" s="3" t="s">
        <v>980</v>
      </c>
      <c r="C197" s="3" t="s">
        <v>980</v>
      </c>
      <c r="D197" s="3">
        <f>IFERROR(VLOOKUP($C197,'_METADATA_TEMPLATE'!$B$2:$H$826,2,FALSE),"")</f>
        <v>233</v>
      </c>
      <c r="E197" s="3" t="str">
        <f>IFERROR(VLOOKUP($C197,'_METADATA_TEMPLATE'!$B$2:$H$826,4,FALSE),"")</f>
        <v>SE2026 - L BLOK II</v>
      </c>
      <c r="F197" s="3" t="str">
        <f>IFERROR(VLOOKUP($C197,'_METADATA_TEMPLATE'!$B$2:$H$826,5,FALSE),"")</f>
        <v>29</v>
      </c>
      <c r="G197" s="3" t="str">
        <f>IFERROR(VLOOKUP($C197,'_METADATA_TEMPLATE'!$B$2:$H$826,6,FALSE),"")</f>
        <v>d. Korporasi Non Publik</v>
      </c>
      <c r="H197" s="3" t="str">
        <f>IFERROR(VLOOKUP($C197,'_METADATA_TEMPLATE'!$B$2:$H$826,7,FALSE),"")</f>
        <v>DecimalInput</v>
      </c>
      <c r="I197" s="3" t="str">
        <f>IFERROR(VLOOKUP(C197,'_METADATA_DEFAULT'!$A:$B,2,FALSE),"")</f>
        <v/>
      </c>
    </row>
    <row r="198" ht="15.75" customHeight="1">
      <c r="A198" s="2" t="s">
        <v>774</v>
      </c>
      <c r="B198" s="2" t="s">
        <v>993</v>
      </c>
      <c r="C198" s="2" t="s">
        <v>993</v>
      </c>
      <c r="D198" s="2">
        <f>IFERROR(VLOOKUP($C198,'_METADATA_TEMPLATE'!$B$2:$H$826,2,FALSE),"")</f>
        <v>234</v>
      </c>
      <c r="E198" s="2" t="str">
        <f>IFERROR(VLOOKUP($C198,'_METADATA_TEMPLATE'!$B$2:$H$826,4,FALSE),"")</f>
        <v>SE2026 - L BLOK II</v>
      </c>
      <c r="F198" s="2" t="str">
        <f>IFERROR(VLOOKUP($C198,'_METADATA_TEMPLATE'!$B$2:$H$826,5,FALSE),"")</f>
        <v>29</v>
      </c>
      <c r="G198" s="2" t="str">
        <f>IFERROR(VLOOKUP($C198,'_METADATA_TEMPLATE'!$B$2:$H$826,6,FALSE),"")</f>
        <v>e. Pemerintah</v>
      </c>
      <c r="H198" s="2" t="str">
        <f>IFERROR(VLOOKUP($C198,'_METADATA_TEMPLATE'!$B$2:$H$826,7,FALSE),"")</f>
        <v>DecimalInput</v>
      </c>
      <c r="I198" s="2" t="str">
        <f>IFERROR(VLOOKUP(C198,'_METADATA_DEFAULT'!$A:$B,2,FALSE),"")</f>
        <v/>
      </c>
    </row>
    <row r="199" ht="15.75" customHeight="1">
      <c r="A199" s="3" t="s">
        <v>774</v>
      </c>
      <c r="B199" s="3" t="s">
        <v>1005</v>
      </c>
      <c r="C199" s="3" t="s">
        <v>1005</v>
      </c>
      <c r="D199" s="3">
        <f>IFERROR(VLOOKUP($C199,'_METADATA_TEMPLATE'!$B$2:$H$826,2,FALSE),"")</f>
        <v>235</v>
      </c>
      <c r="E199" s="3" t="str">
        <f>IFERROR(VLOOKUP($C199,'_METADATA_TEMPLATE'!$B$2:$H$826,4,FALSE),"")</f>
        <v>SE2026 - L BLOK II</v>
      </c>
      <c r="F199" s="3" t="str">
        <f>IFERROR(VLOOKUP($C199,'_METADATA_TEMPLATE'!$B$2:$H$826,5,FALSE),"")</f>
        <v>29</v>
      </c>
      <c r="G199" s="3" t="str">
        <f>IFERROR(VLOOKUP($C199,'_METADATA_TEMPLATE'!$B$2:$H$826,6,FALSE),"")</f>
        <v>f. Asing</v>
      </c>
      <c r="H199" s="3" t="str">
        <f>IFERROR(VLOOKUP($C199,'_METADATA_TEMPLATE'!$B$2:$H$826,7,FALSE),"")</f>
        <v>DecimalInput</v>
      </c>
      <c r="I199" s="3" t="str">
        <f>IFERROR(VLOOKUP(C199,'_METADATA_DEFAULT'!$A:$B,2,FALSE),"")</f>
        <v/>
      </c>
    </row>
    <row r="200" ht="15.75" customHeight="1">
      <c r="A200" s="2" t="s">
        <v>774</v>
      </c>
      <c r="B200" s="2" t="s">
        <v>1885</v>
      </c>
      <c r="C200" s="2" t="s">
        <v>1300</v>
      </c>
      <c r="D200" s="2">
        <f>IFERROR(VLOOKUP($C200,'_METADATA_TEMPLATE'!$B$2:$H$826,2,FALSE),"")</f>
        <v>263</v>
      </c>
      <c r="E200" s="2" t="str">
        <f>IFERROR(VLOOKUP($C200,'_METADATA_TEMPLATE'!$B$2:$H$826,4,FALSE),"")</f>
        <v>SE2026 - L BLOK II</v>
      </c>
      <c r="F200" s="2" t="str">
        <f>IFERROR(VLOOKUP($C200,'_METADATA_TEMPLATE'!$B$2:$H$826,5,FALSE),"")</f>
        <v/>
      </c>
      <c r="G200" s="2" t="str">
        <f>IFERROR(VLOOKUP($C200,'_METADATA_TEMPLATE'!$B$2:$H$826,6,FALSE),"")</f>
        <v>Metode pengisian kantor cabang</v>
      </c>
      <c r="H200" s="2" t="str">
        <f>IFERROR(VLOOKUP($C200,'_METADATA_TEMPLATE'!$B$2:$H$826,7,FALSE),"")</f>
        <v>Radio Group</v>
      </c>
      <c r="I200" s="2" t="str">
        <f>IFERROR(VLOOKUP(C200,'_METADATA_DEFAULT'!$A:$B,2,FALSE),"")</f>
        <v/>
      </c>
    </row>
    <row r="201" ht="15.75" customHeight="1">
      <c r="A201" s="3" t="s">
        <v>774</v>
      </c>
      <c r="B201" s="3" t="s">
        <v>1887</v>
      </c>
      <c r="C201" s="3" t="s">
        <v>1300</v>
      </c>
      <c r="D201" s="3">
        <f>IFERROR(VLOOKUP($C201,'_METADATA_TEMPLATE'!$B$2:$H$826,2,FALSE),"")</f>
        <v>263</v>
      </c>
      <c r="E201" s="3" t="str">
        <f>IFERROR(VLOOKUP($C201,'_METADATA_TEMPLATE'!$B$2:$H$826,4,FALSE),"")</f>
        <v>SE2026 - L BLOK II</v>
      </c>
      <c r="F201" s="3" t="str">
        <f>IFERROR(VLOOKUP($C201,'_METADATA_TEMPLATE'!$B$2:$H$826,5,FALSE),"")</f>
        <v/>
      </c>
      <c r="G201" s="3" t="str">
        <f>IFERROR(VLOOKUP($C201,'_METADATA_TEMPLATE'!$B$2:$H$826,6,FALSE),"")</f>
        <v>Metode pengisian kantor cabang</v>
      </c>
      <c r="H201" s="3" t="str">
        <f>IFERROR(VLOOKUP($C201,'_METADATA_TEMPLATE'!$B$2:$H$826,7,FALSE),"")</f>
        <v>Radio Group</v>
      </c>
      <c r="I201" s="3" t="str">
        <f>IFERROR(VLOOKUP(C201,'_METADATA_DEFAULT'!$A:$B,2,FALSE),"")</f>
        <v/>
      </c>
    </row>
    <row r="202" ht="15.75" customHeight="1">
      <c r="A202" s="2" t="s">
        <v>774</v>
      </c>
      <c r="B202" s="2" t="s">
        <v>1302</v>
      </c>
      <c r="C202" s="2" t="s">
        <v>1302</v>
      </c>
      <c r="D202" s="2">
        <f>IFERROR(VLOOKUP($C202,'_METADATA_TEMPLATE'!$B$2:$H$826,2,FALSE),"")</f>
        <v>264</v>
      </c>
      <c r="E202" s="2" t="str">
        <f>IFERROR(VLOOKUP($C202,'_METADATA_TEMPLATE'!$B$2:$H$826,4,FALSE),"")</f>
        <v>SE2026 - L BLOK II</v>
      </c>
      <c r="F202" s="2" t="str">
        <f>IFERROR(VLOOKUP($C202,'_METADATA_TEMPLATE'!$B$2:$H$826,5,FALSE),"")</f>
        <v/>
      </c>
      <c r="G202" s="2" t="str">
        <f>IFERROR(VLOOKUP($C202,'_METADATA_TEMPLATE'!$B$2:$H$826,6,FALSE),"")</f>
        <v>Import CSV Daftar Kantor Cabang</v>
      </c>
      <c r="H202" s="2" t="str">
        <f>IFERROR(VLOOKUP($C202,'_METADATA_TEMPLATE'!$B$2:$H$826,7,FALSE),"")</f>
        <v>CsvInput</v>
      </c>
      <c r="I202" s="2" t="str">
        <f>IFERROR(VLOOKUP(C202,'_METADATA_DEFAULT'!$A:$B,2,FALSE),"")</f>
        <v/>
      </c>
    </row>
    <row r="203" ht="15.75" customHeight="1">
      <c r="A203" s="3" t="s">
        <v>774</v>
      </c>
      <c r="B203" s="3" t="s">
        <v>727</v>
      </c>
      <c r="C203" s="3" t="s">
        <v>727</v>
      </c>
      <c r="D203" s="3">
        <f>IFERROR(VLOOKUP($C203,'_METADATA_TEMPLATE'!$B$2:$H$826,2,FALSE),"")</f>
        <v>379</v>
      </c>
      <c r="E203" s="3" t="str">
        <f>IFERROR(VLOOKUP($C203,'_METADATA_TEMPLATE'!$B$2:$H$826,4,FALSE),"")</f>
        <v>CATATAN</v>
      </c>
      <c r="F203" s="3" t="str">
        <f>IFERROR(VLOOKUP($C203,'_METADATA_TEMPLATE'!$B$2:$H$826,5,FALSE),"")</f>
        <v/>
      </c>
      <c r="G203" s="3" t="str">
        <f>IFERROR(VLOOKUP($C203,'_METADATA_TEMPLATE'!$B$2:$H$826,6,FALSE),"")</f>
        <v>Catatan</v>
      </c>
      <c r="H203" s="3" t="str">
        <f>IFERROR(VLOOKUP($C203,'_METADATA_TEMPLATE'!$B$2:$H$826,7,FALSE),"")</f>
        <v>Text Area</v>
      </c>
      <c r="I203" s="3" t="str">
        <f>IFERROR(VLOOKUP(C203,'_METADATA_DEFAULT'!$A:$B,2,FALSE),"")</f>
        <v/>
      </c>
    </row>
    <row r="204" ht="15.75" customHeight="1">
      <c r="A204" s="2" t="s">
        <v>774</v>
      </c>
      <c r="B204" s="2" t="s">
        <v>834</v>
      </c>
      <c r="C204" s="2" t="s">
        <v>834</v>
      </c>
      <c r="D204" s="2">
        <f>IFERROR(VLOOKUP($C204,'_METADATA_TEMPLATE'!$B$2:$H$826,2,FALSE),"")</f>
        <v>451</v>
      </c>
      <c r="E204" s="2" t="str">
        <f>IFERROR(VLOOKUP($C204,'_METADATA_TEMPLATE'!$B$2:$H$826,4,FALSE),"")</f>
        <v/>
      </c>
      <c r="F204" s="2" t="str">
        <f>IFERROR(VLOOKUP($C204,'_METADATA_TEMPLATE'!$B$2:$H$826,5,FALSE),"")</f>
        <v/>
      </c>
      <c r="G204" s="2" t="str">
        <f>IFERROR(VLOOKUP($C204,'_METADATA_TEMPLATE'!$B$2:$H$826,6,FALSE),"")</f>
        <v>kode_prov</v>
      </c>
      <c r="H204" s="2" t="str">
        <f>IFERROR(VLOOKUP($C204,'_METADATA_TEMPLATE'!$B$2:$H$826,7,FALSE),"")</f>
        <v>Variable</v>
      </c>
      <c r="I204" s="2" t="str">
        <f>IFERROR(VLOOKUP(C204,'_METADATA_DEFAULT'!$A:$B,2,FALSE),"")</f>
        <v/>
      </c>
    </row>
    <row r="205" ht="15.75" customHeight="1">
      <c r="A205" s="3" t="s">
        <v>774</v>
      </c>
      <c r="B205" s="3" t="s">
        <v>1644</v>
      </c>
      <c r="C205" s="3" t="s">
        <v>1644</v>
      </c>
      <c r="D205" s="3">
        <f>IFERROR(VLOOKUP($C205,'_METADATA_TEMPLATE'!$B$2:$H$826,2,FALSE),"")</f>
        <v>480</v>
      </c>
      <c r="E205" s="3" t="str">
        <f>IFERROR(VLOOKUP($C205,'_METADATA_TEMPLATE'!$B$2:$H$826,4,FALSE),"")</f>
        <v/>
      </c>
      <c r="F205" s="3" t="str">
        <f>IFERROR(VLOOKUP($C205,'_METADATA_TEMPLATE'!$B$2:$H$826,5,FALSE),"")</f>
        <v/>
      </c>
      <c r="G205" s="3" t="str">
        <f>IFERROR(VLOOKUP($C205,'_METADATA_TEMPLATE'!$B$2:$H$826,6,FALSE),"")</f>
        <v>Tahun Survei</v>
      </c>
      <c r="H205" s="3" t="str">
        <f>IFERROR(VLOOKUP($C205,'_METADATA_TEMPLATE'!$B$2:$H$826,7,FALSE),"")</f>
        <v>Variable</v>
      </c>
      <c r="I205" s="3" t="str">
        <f>IFERROR(VLOOKUP(C205,'_METADATA_DEFAULT'!$A:$B,2,FALSE),"")</f>
        <v/>
      </c>
    </row>
    <row r="206" ht="15.75" customHeight="1">
      <c r="A206" s="2" t="s">
        <v>774</v>
      </c>
      <c r="B206" s="2" t="s">
        <v>15</v>
      </c>
      <c r="C206" s="2" t="s">
        <v>15</v>
      </c>
      <c r="D206" s="2">
        <f>IFERROR(VLOOKUP($C206,'_METADATA_TEMPLATE'!$B$2:$H$826,2,FALSE),"")</f>
        <v>483</v>
      </c>
      <c r="E206" s="2" t="str">
        <f>IFERROR(VLOOKUP($C206,'_METADATA_TEMPLATE'!$B$2:$H$826,4,FALSE),"")</f>
        <v/>
      </c>
      <c r="F206" s="2" t="str">
        <f>IFERROR(VLOOKUP($C206,'_METADATA_TEMPLATE'!$B$2:$H$826,5,FALSE),"")</f>
        <v/>
      </c>
      <c r="G206" s="2" t="str">
        <f>IFERROR(VLOOKUP($C206,'_METADATA_TEMPLATE'!$B$2:$H$826,6,FALSE),"")</f>
        <v>Mode</v>
      </c>
      <c r="H206" s="2" t="str">
        <f>IFERROR(VLOOKUP($C206,'_METADATA_TEMPLATE'!$B$2:$H$826,7,FALSE),"")</f>
        <v>Variable</v>
      </c>
      <c r="I206" s="2" t="str">
        <f>IFERROR(VLOOKUP(C206,'_METADATA_DEFAULT'!$A:$B,2,FALSE),"")</f>
        <v>Moda Survei</v>
      </c>
    </row>
    <row r="207" ht="15.75" customHeight="1">
      <c r="A207" s="3" t="s">
        <v>774</v>
      </c>
      <c r="B207" s="3" t="s">
        <v>1294</v>
      </c>
      <c r="C207" s="3" t="s">
        <v>1294</v>
      </c>
      <c r="D207" s="3">
        <f>IFERROR(VLOOKUP($C207,'_METADATA_TEMPLATE'!$B$2:$H$826,2,FALSE),"")</f>
        <v>576</v>
      </c>
      <c r="E207" s="3" t="str">
        <f>IFERROR(VLOOKUP($C207,'_METADATA_TEMPLATE'!$B$2:$H$826,4,FALSE),"")</f>
        <v/>
      </c>
      <c r="F207" s="3" t="str">
        <f>IFERROR(VLOOKUP($C207,'_METADATA_TEMPLATE'!$B$2:$H$826,5,FALSE),"")</f>
        <v/>
      </c>
      <c r="G207" s="3" t="str">
        <f>IFERROR(VLOOKUP($C207,'_METADATA_TEMPLATE'!$B$2:$H$826,6,FALSE),"")</f>
        <v>skala_usaha</v>
      </c>
      <c r="H207" s="3" t="str">
        <f>IFERROR(VLOOKUP($C207,'_METADATA_TEMPLATE'!$B$2:$H$826,7,FALSE),"")</f>
        <v>Variable</v>
      </c>
      <c r="I207" s="3" t="str">
        <f>IFERROR(VLOOKUP(C207,'_METADATA_DEFAULT'!$A:$B,2,FALSE),"")</f>
        <v/>
      </c>
    </row>
    <row r="208" ht="15.75" customHeight="1">
      <c r="A208" s="2" t="s">
        <v>774</v>
      </c>
      <c r="B208" s="2" t="s">
        <v>1308</v>
      </c>
      <c r="C208" s="2" t="s">
        <v>1308</v>
      </c>
      <c r="D208" s="2">
        <f>IFERROR(VLOOKUP($C208,'_METADATA_TEMPLATE'!$B$2:$H$826,2,FALSE),"")</f>
        <v>581</v>
      </c>
      <c r="E208" s="2" t="str">
        <f>IFERROR(VLOOKUP($C208,'_METADATA_TEMPLATE'!$B$2:$H$826,4,FALSE),"")</f>
        <v/>
      </c>
      <c r="F208" s="2" t="str">
        <f>IFERROR(VLOOKUP($C208,'_METADATA_TEMPLATE'!$B$2:$H$826,5,FALSE),"")</f>
        <v/>
      </c>
      <c r="G208" s="2" t="str">
        <f>IFERROR(VLOOKUP($C208,'_METADATA_TEMPLATE'!$B$2:$H$826,6,FALSE),"")</f>
        <v>ID SBR</v>
      </c>
      <c r="H208" s="2" t="str">
        <f>IFERROR(VLOOKUP($C208,'_METADATA_TEMPLATE'!$B$2:$H$826,7,FALSE),"")</f>
        <v>Variable</v>
      </c>
      <c r="I208" s="2" t="str">
        <f>IFERROR(VLOOKUP(C208,'_METADATA_DEFAULT'!$A:$B,2,FALSE),"")</f>
        <v/>
      </c>
    </row>
    <row r="209" ht="15.75" customHeight="1">
      <c r="A209" s="3" t="s">
        <v>774</v>
      </c>
      <c r="B209" s="3" t="s">
        <v>1319</v>
      </c>
      <c r="C209" s="3" t="s">
        <v>1319</v>
      </c>
      <c r="D209" s="3">
        <f>IFERROR(VLOOKUP($C209,'_METADATA_TEMPLATE'!$B$2:$H$826,2,FALSE),"")</f>
        <v>583</v>
      </c>
      <c r="E209" s="3" t="str">
        <f>IFERROR(VLOOKUP($C209,'_METADATA_TEMPLATE'!$B$2:$H$826,4,FALSE),"")</f>
        <v/>
      </c>
      <c r="F209" s="3" t="str">
        <f>IFERROR(VLOOKUP($C209,'_METADATA_TEMPLATE'!$B$2:$H$826,5,FALSE),"")</f>
        <v/>
      </c>
      <c r="G209" s="3" t="str">
        <f>IFERROR(VLOOKUP($C209,'_METADATA_TEMPLATE'!$B$2:$H$826,6,FALSE),"")</f>
        <v>alamat_usaha</v>
      </c>
      <c r="H209" s="3" t="str">
        <f>IFERROR(VLOOKUP($C209,'_METADATA_TEMPLATE'!$B$2:$H$826,7,FALSE),"")</f>
        <v>Variable</v>
      </c>
      <c r="I209" s="3" t="str">
        <f>IFERROR(VLOOKUP(C209,'_METADATA_DEFAULT'!$A:$B,2,FALSE),"")</f>
        <v/>
      </c>
    </row>
    <row r="210" ht="15.75" customHeight="1">
      <c r="A210" s="2" t="s">
        <v>774</v>
      </c>
      <c r="B210" s="2" t="s">
        <v>1746</v>
      </c>
      <c r="C210" s="2" t="s">
        <v>1746</v>
      </c>
      <c r="D210" s="2">
        <f>IFERROR(VLOOKUP($C210,'_METADATA_TEMPLATE'!$B$2:$H$826,2,FALSE),"")</f>
        <v>595</v>
      </c>
      <c r="E210" s="2" t="str">
        <f>IFERROR(VLOOKUP($C210,'_METADATA_TEMPLATE'!$B$2:$H$826,4,FALSE),"")</f>
        <v/>
      </c>
      <c r="F210" s="2" t="str">
        <f>IFERROR(VLOOKUP($C210,'_METADATA_TEMPLATE'!$B$2:$H$826,5,FALSE),"")</f>
        <v/>
      </c>
      <c r="G210" s="2" t="str">
        <f>IFERROR(VLOOKUP($C210,'_METADATA_TEMPLATE'!$B$2:$H$826,6,FALSE),"")</f>
        <v>Pilihan untuk KBLI</v>
      </c>
      <c r="H210" s="2" t="str">
        <f>IFERROR(VLOOKUP($C210,'_METADATA_TEMPLATE'!$B$2:$H$826,7,FALSE),"")</f>
        <v>Variable</v>
      </c>
      <c r="I210" s="2" t="str">
        <f>IFERROR(VLOOKUP(C210,'_METADATA_DEFAULT'!$A:$B,2,FALSE),"")</f>
        <v/>
      </c>
    </row>
    <row r="211" ht="15.75" customHeight="1">
      <c r="A211" s="3" t="s">
        <v>774</v>
      </c>
      <c r="B211" s="3" t="s">
        <v>1748</v>
      </c>
      <c r="C211" s="3" t="s">
        <v>1748</v>
      </c>
      <c r="D211" s="3">
        <f>IFERROR(VLOOKUP($C211,'_METADATA_TEMPLATE'!$B$2:$H$826,2,FALSE),"")</f>
        <v>596</v>
      </c>
      <c r="E211" s="3" t="str">
        <f>IFERROR(VLOOKUP($C211,'_METADATA_TEMPLATE'!$B$2:$H$826,4,FALSE),"")</f>
        <v/>
      </c>
      <c r="F211" s="3" t="str">
        <f>IFERROR(VLOOKUP($C211,'_METADATA_TEMPLATE'!$B$2:$H$826,5,FALSE),"")</f>
        <v/>
      </c>
      <c r="G211" s="3" t="str">
        <f>IFERROR(VLOOKUP($C211,'_METADATA_TEMPLATE'!$B$2:$H$826,6,FALSE),"")</f>
        <v>Result Gen AI</v>
      </c>
      <c r="H211" s="3" t="str">
        <f>IFERROR(VLOOKUP($C211,'_METADATA_TEMPLATE'!$B$2:$H$826,7,FALSE),"")</f>
        <v>Variable</v>
      </c>
      <c r="I211" s="3" t="str">
        <f>IFERROR(VLOOKUP(C211,'_METADATA_DEFAULT'!$A:$B,2,FALSE),"")</f>
        <v/>
      </c>
    </row>
    <row r="212" ht="15.75" customHeight="1">
      <c r="A212" s="2" t="s">
        <v>774</v>
      </c>
      <c r="B212" s="2" t="s">
        <v>1354</v>
      </c>
      <c r="C212" s="2" t="s">
        <v>1354</v>
      </c>
      <c r="D212" s="2">
        <f>IFERROR(VLOOKUP($C212,'_METADATA_TEMPLATE'!$B$2:$H$826,2,FALSE),"")</f>
        <v>597</v>
      </c>
      <c r="E212" s="2" t="str">
        <f>IFERROR(VLOOKUP($C212,'_METADATA_TEMPLATE'!$B$2:$H$826,4,FALSE),"")</f>
        <v/>
      </c>
      <c r="F212" s="2" t="str">
        <f>IFERROR(VLOOKUP($C212,'_METADATA_TEMPLATE'!$B$2:$H$826,5,FALSE),"")</f>
        <v/>
      </c>
      <c r="G212" s="2" t="str">
        <f>IFERROR(VLOOKUP($C212,'_METADATA_TEMPLATE'!$B$2:$H$826,6,FALSE),"")</f>
        <v>kbli_prelist</v>
      </c>
      <c r="H212" s="2" t="str">
        <f>IFERROR(VLOOKUP($C212,'_METADATA_TEMPLATE'!$B$2:$H$826,7,FALSE),"")</f>
        <v>Variable</v>
      </c>
      <c r="I212" s="2" t="str">
        <f>IFERROR(VLOOKUP(C212,'_METADATA_DEFAULT'!$A:$B,2,FALSE),"")</f>
        <v/>
      </c>
    </row>
    <row r="213" ht="15.75" customHeight="1">
      <c r="A213" s="3" t="s">
        <v>774</v>
      </c>
      <c r="B213" s="3" t="s">
        <v>1372</v>
      </c>
      <c r="C213" s="3" t="s">
        <v>1372</v>
      </c>
      <c r="D213" s="3">
        <f>IFERROR(VLOOKUP($C213,'_METADATA_TEMPLATE'!$B$2:$H$826,2,FALSE),"")</f>
        <v>601</v>
      </c>
      <c r="E213" s="3" t="str">
        <f>IFERROR(VLOOKUP($C213,'_METADATA_TEMPLATE'!$B$2:$H$826,4,FALSE),"")</f>
        <v/>
      </c>
      <c r="F213" s="3" t="str">
        <f>IFERROR(VLOOKUP($C213,'_METADATA_TEMPLATE'!$B$2:$H$826,5,FALSE),"")</f>
        <v/>
      </c>
      <c r="G213" s="3" t="str">
        <f>IFERROR(VLOOKUP($C213,'_METADATA_TEMPLATE'!$B$2:$H$826,6,FALSE),"")</f>
        <v>KBLI Akhir</v>
      </c>
      <c r="H213" s="3" t="str">
        <f>IFERROR(VLOOKUP($C213,'_METADATA_TEMPLATE'!$B$2:$H$826,7,FALSE),"")</f>
        <v>Variable</v>
      </c>
      <c r="I213" s="3" t="str">
        <f>IFERROR(VLOOKUP(C213,'_METADATA_DEFAULT'!$A:$B,2,FALSE),"")</f>
        <v/>
      </c>
    </row>
    <row r="214" ht="15.75" customHeight="1">
      <c r="A214" s="2" t="s">
        <v>774</v>
      </c>
      <c r="B214" s="2" t="s">
        <v>1382</v>
      </c>
      <c r="C214" s="2" t="s">
        <v>1382</v>
      </c>
      <c r="D214" s="2">
        <f>IFERROR(VLOOKUP($C214,'_METADATA_TEMPLATE'!$B$2:$H$826,2,FALSE),"")</f>
        <v>602</v>
      </c>
      <c r="E214" s="2" t="str">
        <f>IFERROR(VLOOKUP($C214,'_METADATA_TEMPLATE'!$B$2:$H$826,4,FALSE),"")</f>
        <v/>
      </c>
      <c r="F214" s="2" t="str">
        <f>IFERROR(VLOOKUP($C214,'_METADATA_TEMPLATE'!$B$2:$H$826,5,FALSE),"")</f>
        <v/>
      </c>
      <c r="G214" s="2" t="str">
        <f>IFERROR(VLOOKUP($C214,'_METADATA_TEMPLATE'!$B$2:$H$826,6,FALSE),"")</f>
        <v>kategori_2025</v>
      </c>
      <c r="H214" s="2" t="str">
        <f>IFERROR(VLOOKUP($C214,'_METADATA_TEMPLATE'!$B$2:$H$826,7,FALSE),"")</f>
        <v>Variable</v>
      </c>
      <c r="I214" s="2" t="str">
        <f>IFERROR(VLOOKUP(C214,'_METADATA_DEFAULT'!$A:$B,2,FALSE),"")</f>
        <v/>
      </c>
    </row>
    <row r="215" ht="15.75" customHeight="1">
      <c r="A215" s="3" t="s">
        <v>774</v>
      </c>
      <c r="B215" s="3" t="s">
        <v>1391</v>
      </c>
      <c r="C215" s="3" t="s">
        <v>1391</v>
      </c>
      <c r="D215" s="3">
        <f>IFERROR(VLOOKUP($C215,'_METADATA_TEMPLATE'!$B$2:$H$826,2,FALSE),"")</f>
        <v>603</v>
      </c>
      <c r="E215" s="3" t="str">
        <f>IFERROR(VLOOKUP($C215,'_METADATA_TEMPLATE'!$B$2:$H$826,4,FALSE),"")</f>
        <v/>
      </c>
      <c r="F215" s="3" t="str">
        <f>IFERROR(VLOOKUP($C215,'_METADATA_TEMPLATE'!$B$2:$H$826,5,FALSE),"")</f>
        <v/>
      </c>
      <c r="G215" s="3" t="str">
        <f>IFERROR(VLOOKUP($C215,'_METADATA_TEMPLATE'!$B$2:$H$826,6,FALSE),"")</f>
        <v/>
      </c>
      <c r="H215" s="3" t="str">
        <f>IFERROR(VLOOKUP($C215,'_METADATA_TEMPLATE'!$B$2:$H$826,7,FALSE),"")</f>
        <v>Variable</v>
      </c>
      <c r="I215" s="3" t="str">
        <f>IFERROR(VLOOKUP(C215,'_METADATA_DEFAULT'!$A:$B,2,FALSE),"")</f>
        <v/>
      </c>
    </row>
    <row r="216" ht="15.75" customHeight="1">
      <c r="A216" s="2" t="s">
        <v>774</v>
      </c>
      <c r="B216" s="2" t="s">
        <v>1758</v>
      </c>
      <c r="C216" s="2" t="s">
        <v>1758</v>
      </c>
      <c r="D216" s="2">
        <f>IFERROR(VLOOKUP($C216,'_METADATA_TEMPLATE'!$B$2:$H$826,2,FALSE),"")</f>
        <v>608</v>
      </c>
      <c r="E216" s="2" t="str">
        <f>IFERROR(VLOOKUP($C216,'_METADATA_TEMPLATE'!$B$2:$H$826,4,FALSE),"")</f>
        <v/>
      </c>
      <c r="F216" s="2" t="str">
        <f>IFERROR(VLOOKUP($C216,'_METADATA_TEMPLATE'!$B$2:$H$826,5,FALSE),"")</f>
        <v/>
      </c>
      <c r="G216" s="2" t="str">
        <f>IFERROR(VLOOKUP($C216,'_METADATA_TEMPLATE'!$B$2:$H$826,6,FALSE),"")</f>
        <v>ec_halal</v>
      </c>
      <c r="H216" s="2" t="str">
        <f>IFERROR(VLOOKUP($C216,'_METADATA_TEMPLATE'!$B$2:$H$826,7,FALSE),"")</f>
        <v>Variable</v>
      </c>
      <c r="I216" s="2" t="str">
        <f>IFERROR(VLOOKUP(C216,'_METADATA_DEFAULT'!$A:$B,2,FALSE),"")</f>
        <v/>
      </c>
    </row>
    <row r="217" ht="15.75" customHeight="1">
      <c r="A217" s="3" t="s">
        <v>774</v>
      </c>
      <c r="B217" s="3" t="s">
        <v>1759</v>
      </c>
      <c r="C217" s="3" t="s">
        <v>1759</v>
      </c>
      <c r="D217" s="3">
        <f>IFERROR(VLOOKUP($C217,'_METADATA_TEMPLATE'!$B$2:$H$826,2,FALSE),"")</f>
        <v>609</v>
      </c>
      <c r="E217" s="3" t="str">
        <f>IFERROR(VLOOKUP($C217,'_METADATA_TEMPLATE'!$B$2:$H$826,4,FALSE),"")</f>
        <v/>
      </c>
      <c r="F217" s="3" t="str">
        <f>IFERROR(VLOOKUP($C217,'_METADATA_TEMPLATE'!$B$2:$H$826,5,FALSE),"")</f>
        <v/>
      </c>
      <c r="G217" s="3" t="str">
        <f>IFERROR(VLOOKUP($C217,'_METADATA_TEMPLATE'!$B$2:$H$826,6,FALSE),"")</f>
        <v>ec_bpom</v>
      </c>
      <c r="H217" s="3" t="str">
        <f>IFERROR(VLOOKUP($C217,'_METADATA_TEMPLATE'!$B$2:$H$826,7,FALSE),"")</f>
        <v>Variable</v>
      </c>
      <c r="I217" s="3" t="str">
        <f>IFERROR(VLOOKUP(C217,'_METADATA_DEFAULT'!$A:$B,2,FALSE),"")</f>
        <v/>
      </c>
    </row>
    <row r="218" ht="15.75" customHeight="1">
      <c r="A218" s="2" t="s">
        <v>774</v>
      </c>
      <c r="B218" s="2" t="s">
        <v>1411</v>
      </c>
      <c r="C218" s="2" t="s">
        <v>1411</v>
      </c>
      <c r="D218" s="2">
        <f>IFERROR(VLOOKUP($C218,'_METADATA_TEMPLATE'!$B$2:$H$826,2,FALSE),"")</f>
        <v>614</v>
      </c>
      <c r="E218" s="2" t="str">
        <f>IFERROR(VLOOKUP($C218,'_METADATA_TEMPLATE'!$B$2:$H$826,4,FALSE),"")</f>
        <v/>
      </c>
      <c r="F218" s="2" t="str">
        <f>IFERROR(VLOOKUP($C218,'_METADATA_TEMPLATE'!$B$2:$H$826,5,FALSE),"")</f>
        <v/>
      </c>
      <c r="G218" s="2" t="str">
        <f>IFERROR(VLOOKUP($C218,'_METADATA_TEMPLATE'!$B$2:$H$826,6,FALSE),"")</f>
        <v>total_pengeluaran_var</v>
      </c>
      <c r="H218" s="2" t="str">
        <f>IFERROR(VLOOKUP($C218,'_METADATA_TEMPLATE'!$B$2:$H$826,7,FALSE),"")</f>
        <v>Variable</v>
      </c>
      <c r="I218" s="2" t="str">
        <f>IFERROR(VLOOKUP(C218,'_METADATA_DEFAULT'!$A:$B,2,FALSE),"")</f>
        <v/>
      </c>
    </row>
    <row r="219" ht="15.75" customHeight="1">
      <c r="A219" s="3" t="s">
        <v>774</v>
      </c>
      <c r="B219" s="3" t="s">
        <v>1417</v>
      </c>
      <c r="C219" s="3" t="s">
        <v>1417</v>
      </c>
      <c r="D219" s="3">
        <f>IFERROR(VLOOKUP($C219,'_METADATA_TEMPLATE'!$B$2:$H$826,2,FALSE),"")</f>
        <v>616</v>
      </c>
      <c r="E219" s="3" t="str">
        <f>IFERROR(VLOOKUP($C219,'_METADATA_TEMPLATE'!$B$2:$H$826,4,FALSE),"")</f>
        <v/>
      </c>
      <c r="F219" s="3" t="str">
        <f>IFERROR(VLOOKUP($C219,'_METADATA_TEMPLATE'!$B$2:$H$826,5,FALSE),"")</f>
        <v/>
      </c>
      <c r="G219" s="3" t="str">
        <f>IFERROR(VLOOKUP($C219,'_METADATA_TEMPLATE'!$B$2:$H$826,6,FALSE),"")</f>
        <v>total_pendapatan_var</v>
      </c>
      <c r="H219" s="3" t="str">
        <f>IFERROR(VLOOKUP($C219,'_METADATA_TEMPLATE'!$B$2:$H$826,7,FALSE),"")</f>
        <v>Variable</v>
      </c>
      <c r="I219" s="3" t="str">
        <f>IFERROR(VLOOKUP(C219,'_METADATA_DEFAULT'!$A:$B,2,FALSE),"")</f>
        <v/>
      </c>
    </row>
    <row r="220" ht="15.75" customHeight="1">
      <c r="A220" s="2" t="s">
        <v>774</v>
      </c>
      <c r="B220" s="2" t="s">
        <v>1767</v>
      </c>
      <c r="C220" s="2" t="s">
        <v>1767</v>
      </c>
      <c r="D220" s="2">
        <f>IFERROR(VLOOKUP($C220,'_METADATA_TEMPLATE'!$B$2:$H$826,2,FALSE),"")</f>
        <v>623</v>
      </c>
      <c r="E220" s="2" t="str">
        <f>IFERROR(VLOOKUP($C220,'_METADATA_TEMPLATE'!$B$2:$H$826,4,FALSE),"")</f>
        <v/>
      </c>
      <c r="F220" s="2" t="str">
        <f>IFERROR(VLOOKUP($C220,'_METADATA_TEMPLATE'!$B$2:$H$826,5,FALSE),"")</f>
        <v/>
      </c>
      <c r="G220" s="2" t="str">
        <f>IFERROR(VLOOKUP($C220,'_METADATA_TEMPLATE'!$B$2:$H$826,6,FALSE),"")</f>
        <v>List KC</v>
      </c>
      <c r="H220" s="2" t="str">
        <f>IFERROR(VLOOKUP($C220,'_METADATA_TEMPLATE'!$B$2:$H$826,7,FALSE),"")</f>
        <v>Variable</v>
      </c>
      <c r="I220" s="2" t="str">
        <f>IFERROR(VLOOKUP(C220,'_METADATA_DEFAULT'!$A:$B,2,FALSE),"")</f>
        <v/>
      </c>
    </row>
    <row r="221" ht="15.75" customHeight="1">
      <c r="A221" s="3" t="s">
        <v>774</v>
      </c>
      <c r="B221" s="3" t="s">
        <v>1769</v>
      </c>
      <c r="C221" s="3" t="s">
        <v>1769</v>
      </c>
      <c r="D221" s="3">
        <f>IFERROR(VLOOKUP($C221,'_METADATA_TEMPLATE'!$B$2:$H$826,2,FALSE),"")</f>
        <v>624</v>
      </c>
      <c r="E221" s="3" t="str">
        <f>IFERROR(VLOOKUP($C221,'_METADATA_TEMPLATE'!$B$2:$H$826,4,FALSE),"")</f>
        <v/>
      </c>
      <c r="F221" s="3" t="str">
        <f>IFERROR(VLOOKUP($C221,'_METADATA_TEMPLATE'!$B$2:$H$826,5,FALSE),"")</f>
        <v/>
      </c>
      <c r="G221" s="3" t="str">
        <f>IFERROR(VLOOKUP($C221,'_METADATA_TEMPLATE'!$B$2:$H$826,6,FALSE),"")</f>
        <v>List Error Kantor Cabang</v>
      </c>
      <c r="H221" s="3" t="str">
        <f>IFERROR(VLOOKUP($C221,'_METADATA_TEMPLATE'!$B$2:$H$826,7,FALSE),"")</f>
        <v>Variable</v>
      </c>
      <c r="I221" s="3" t="str">
        <f>IFERROR(VLOOKUP(C221,'_METADATA_DEFAULT'!$A:$B,2,FALSE),"")</f>
        <v/>
      </c>
    </row>
    <row r="222" ht="15.75" customHeight="1">
      <c r="A222" s="2" t="s">
        <v>774</v>
      </c>
      <c r="B222" s="2" t="s">
        <v>1771</v>
      </c>
      <c r="C222" s="2" t="s">
        <v>1771</v>
      </c>
      <c r="D222" s="2">
        <f>IFERROR(VLOOKUP($C222,'_METADATA_TEMPLATE'!$B$2:$H$826,2,FALSE),"")</f>
        <v>625</v>
      </c>
      <c r="E222" s="2" t="str">
        <f>IFERROR(VLOOKUP($C222,'_METADATA_TEMPLATE'!$B$2:$H$826,4,FALSE),"")</f>
        <v/>
      </c>
      <c r="F222" s="2" t="str">
        <f>IFERROR(VLOOKUP($C222,'_METADATA_TEMPLATE'!$B$2:$H$826,5,FALSE),"")</f>
        <v/>
      </c>
      <c r="G222" s="2" t="str">
        <f>IFERROR(VLOOKUP($C222,'_METADATA_TEMPLATE'!$B$2:$H$826,6,FALSE),"")</f>
        <v>List Error CSV</v>
      </c>
      <c r="H222" s="2" t="str">
        <f>IFERROR(VLOOKUP($C222,'_METADATA_TEMPLATE'!$B$2:$H$826,7,FALSE),"")</f>
        <v>Variable</v>
      </c>
      <c r="I222" s="2" t="str">
        <f>IFERROR(VLOOKUP(C222,'_METADATA_DEFAULT'!$A:$B,2,FALSE),"")</f>
        <v/>
      </c>
    </row>
    <row r="223" ht="15.75" customHeight="1">
      <c r="A223" s="3" t="s">
        <v>774</v>
      </c>
      <c r="B223" s="3" t="s">
        <v>12</v>
      </c>
      <c r="C223" s="3" t="s">
        <v>12</v>
      </c>
      <c r="D223" s="3" t="str">
        <f>IFERROR(VLOOKUP($C223,'_METADATA_TEMPLATE'!$B$2:$H$826,2,FALSE),"")</f>
        <v/>
      </c>
      <c r="E223" s="3" t="str">
        <f>IFERROR(VLOOKUP($C223,'_METADATA_TEMPLATE'!$B$2:$H$826,4,FALSE),"")</f>
        <v/>
      </c>
      <c r="F223" s="3" t="str">
        <f>IFERROR(VLOOKUP($C223,'_METADATA_TEMPLATE'!$B$2:$H$826,5,FALSE),"")</f>
        <v/>
      </c>
      <c r="G223" s="3" t="str">
        <f>IFERROR(VLOOKUP($C223,'_METADATA_TEMPLATE'!$B$2:$H$826,6,FALSE),"")</f>
        <v/>
      </c>
      <c r="H223" s="3" t="str">
        <f>IFERROR(VLOOKUP($C223,'_METADATA_TEMPLATE'!$B$2:$H$826,7,FALSE),"")</f>
        <v/>
      </c>
      <c r="I223" s="3" t="str">
        <f>IFERROR(VLOOKUP(C223,'_METADATA_DEFAULT'!$A:$B,2,FALSE),"")</f>
        <v>ID Assignment</v>
      </c>
    </row>
    <row r="224" ht="15.75" customHeight="1">
      <c r="A224" s="2" t="s">
        <v>774</v>
      </c>
      <c r="B224" s="2" t="s">
        <v>18</v>
      </c>
      <c r="C224" s="2" t="s">
        <v>18</v>
      </c>
      <c r="D224" s="2" t="str">
        <f>IFERROR(VLOOKUP($C224,'_METADATA_TEMPLATE'!$B$2:$H$826,2,FALSE),"")</f>
        <v/>
      </c>
      <c r="E224" s="2" t="str">
        <f>IFERROR(VLOOKUP($C224,'_METADATA_TEMPLATE'!$B$2:$H$826,4,FALSE),"")</f>
        <v/>
      </c>
      <c r="F224" s="2" t="str">
        <f>IFERROR(VLOOKUP($C224,'_METADATA_TEMPLATE'!$B$2:$H$826,5,FALSE),"")</f>
        <v/>
      </c>
      <c r="G224" s="2" t="str">
        <f>IFERROR(VLOOKUP($C224,'_METADATA_TEMPLATE'!$B$2:$H$826,6,FALSE),"")</f>
        <v/>
      </c>
      <c r="H224" s="2" t="str">
        <f>IFERROR(VLOOKUP($C224,'_METADATA_TEMPLATE'!$B$2:$H$826,7,FALSE),"")</f>
        <v/>
      </c>
      <c r="I224" s="2" t="str">
        <f>IFERROR(VLOOKUP(C224,'_METADATA_DEFAULT'!$A:$B,2,FALSE),"")</f>
        <v>Kode Lengkap Provinsi</v>
      </c>
    </row>
    <row r="225" ht="15.75" customHeight="1">
      <c r="A225" s="3" t="s">
        <v>774</v>
      </c>
      <c r="B225" s="3" t="s">
        <v>20</v>
      </c>
      <c r="C225" s="3" t="s">
        <v>20</v>
      </c>
      <c r="D225" s="3" t="str">
        <f>IFERROR(VLOOKUP($C225,'_METADATA_TEMPLATE'!$B$2:$H$826,2,FALSE),"")</f>
        <v/>
      </c>
      <c r="E225" s="3" t="str">
        <f>IFERROR(VLOOKUP($C225,'_METADATA_TEMPLATE'!$B$2:$H$826,4,FALSE),"")</f>
        <v/>
      </c>
      <c r="F225" s="3" t="str">
        <f>IFERROR(VLOOKUP($C225,'_METADATA_TEMPLATE'!$B$2:$H$826,5,FALSE),"")</f>
        <v/>
      </c>
      <c r="G225" s="3" t="str">
        <f>IFERROR(VLOOKUP($C225,'_METADATA_TEMPLATE'!$B$2:$H$826,6,FALSE),"")</f>
        <v/>
      </c>
      <c r="H225" s="3" t="str">
        <f>IFERROR(VLOOKUP($C225,'_METADATA_TEMPLATE'!$B$2:$H$826,7,FALSE),"")</f>
        <v/>
      </c>
      <c r="I225" s="3" t="str">
        <f>IFERROR(VLOOKUP(C225,'_METADATA_DEFAULT'!$A:$B,2,FALSE),"")</f>
        <v>Kode Lengkap Kabupaten/Kota</v>
      </c>
    </row>
    <row r="226" ht="15.75" customHeight="1">
      <c r="A226" s="2" t="s">
        <v>774</v>
      </c>
      <c r="B226" s="2" t="s">
        <v>43</v>
      </c>
      <c r="C226" s="2" t="s">
        <v>43</v>
      </c>
      <c r="D226" s="2" t="str">
        <f>IFERROR(VLOOKUP($C226,'_METADATA_TEMPLATE'!$B$2:$H$826,2,FALSE),"")</f>
        <v/>
      </c>
      <c r="E226" s="2" t="str">
        <f>IFERROR(VLOOKUP($C226,'_METADATA_TEMPLATE'!$B$2:$H$826,4,FALSE),"")</f>
        <v/>
      </c>
      <c r="F226" s="2" t="str">
        <f>IFERROR(VLOOKUP($C226,'_METADATA_TEMPLATE'!$B$2:$H$826,5,FALSE),"")</f>
        <v/>
      </c>
      <c r="G226" s="2" t="str">
        <f>IFERROR(VLOOKUP($C226,'_METADATA_TEMPLATE'!$B$2:$H$826,6,FALSE),"")</f>
        <v/>
      </c>
      <c r="H226" s="2" t="str">
        <f>IFERROR(VLOOKUP($C226,'_METADATA_TEMPLATE'!$B$2:$H$826,7,FALSE),"")</f>
        <v/>
      </c>
      <c r="I226" s="2" t="str">
        <f>IFERROR(VLOOKUP(C226,'_METADATA_DEFAULT'!$A:$B,2,FALSE),"")</f>
        <v>Tanggal Assignment Terakhir Diubah</v>
      </c>
    </row>
    <row r="227" ht="15.75" customHeight="1">
      <c r="A227" s="3" t="s">
        <v>774</v>
      </c>
      <c r="B227" s="3" t="s">
        <v>21</v>
      </c>
      <c r="C227" s="3" t="s">
        <v>21</v>
      </c>
      <c r="D227" s="3" t="str">
        <f>IFERROR(VLOOKUP($C227,'_METADATA_TEMPLATE'!$B$2:$H$826,2,FALSE),"")</f>
        <v/>
      </c>
      <c r="E227" s="3" t="str">
        <f>IFERROR(VLOOKUP($C227,'_METADATA_TEMPLATE'!$B$2:$H$826,4,FALSE),"")</f>
        <v/>
      </c>
      <c r="F227" s="3" t="str">
        <f>IFERROR(VLOOKUP($C227,'_METADATA_TEMPLATE'!$B$2:$H$826,5,FALSE),"")</f>
        <v/>
      </c>
      <c r="G227" s="3" t="str">
        <f>IFERROR(VLOOKUP($C227,'_METADATA_TEMPLATE'!$B$2:$H$826,6,FALSE),"")</f>
        <v/>
      </c>
      <c r="H227" s="3" t="str">
        <f>IFERROR(VLOOKUP($C227,'_METADATA_TEMPLATE'!$B$2:$H$826,7,FALSE),"")</f>
        <v/>
      </c>
      <c r="I227" s="3" t="str">
        <f>IFERROR(VLOOKUP(C227,'_METADATA_DEFAULT'!$A:$B,2,FALSE),"")</f>
        <v>ID Assignment + Timestamp</v>
      </c>
    </row>
    <row r="228" ht="15.75" customHeight="1">
      <c r="A228" s="2" t="s">
        <v>774</v>
      </c>
      <c r="B228" s="2" t="s">
        <v>153</v>
      </c>
      <c r="C228" s="2" t="s">
        <v>153</v>
      </c>
      <c r="D228" s="2" t="str">
        <f>IFERROR(VLOOKUP($C228,'_METADATA_TEMPLATE'!$B$2:$H$826,2,FALSE),"")</f>
        <v/>
      </c>
      <c r="E228" s="2" t="str">
        <f>IFERROR(VLOOKUP($C228,'_METADATA_TEMPLATE'!$B$2:$H$826,4,FALSE),"")</f>
        <v/>
      </c>
      <c r="F228" s="2" t="str">
        <f>IFERROR(VLOOKUP($C228,'_METADATA_TEMPLATE'!$B$2:$H$826,5,FALSE),"")</f>
        <v/>
      </c>
      <c r="G228" s="2" t="str">
        <f>IFERROR(VLOOKUP($C228,'_METADATA_TEMPLATE'!$B$2:$H$826,6,FALSE),"")</f>
        <v/>
      </c>
      <c r="H228" s="2" t="str">
        <f>IFERROR(VLOOKUP($C228,'_METADATA_TEMPLATE'!$B$2:$H$826,7,FALSE),"")</f>
        <v/>
      </c>
      <c r="I228" s="2" t="str">
        <f>IFERROR(VLOOKUP(C228,'_METADATA_DEFAULT'!$A:$B,2,FALSE),"")</f>
        <v>1 = Assignment Tambahan, 0 = Assignment Prelist</v>
      </c>
    </row>
    <row r="229" ht="15.75" customHeight="1">
      <c r="A229" s="3" t="s">
        <v>774</v>
      </c>
      <c r="B229" s="3" t="s">
        <v>42</v>
      </c>
      <c r="C229" s="3" t="s">
        <v>42</v>
      </c>
      <c r="D229" s="3" t="str">
        <f>IFERROR(VLOOKUP($C229,'_METADATA_TEMPLATE'!$B$2:$H$826,2,FALSE),"")</f>
        <v/>
      </c>
      <c r="E229" s="3" t="str">
        <f>IFERROR(VLOOKUP($C229,'_METADATA_TEMPLATE'!$B$2:$H$826,4,FALSE),"")</f>
        <v/>
      </c>
      <c r="F229" s="3" t="str">
        <f>IFERROR(VLOOKUP($C229,'_METADATA_TEMPLATE'!$B$2:$H$826,5,FALSE),"")</f>
        <v/>
      </c>
      <c r="G229" s="3" t="str">
        <f>IFERROR(VLOOKUP($C229,'_METADATA_TEMPLATE'!$B$2:$H$826,6,FALSE),"")</f>
        <v/>
      </c>
      <c r="H229" s="3" t="str">
        <f>IFERROR(VLOOKUP($C229,'_METADATA_TEMPLATE'!$B$2:$H$826,7,FALSE),"")</f>
        <v/>
      </c>
      <c r="I229" s="3" t="str">
        <f>IFERROR(VLOOKUP(C229,'_METADATA_DEFAULT'!$A:$B,2,FALSE),"")</f>
        <v>Status Assignment</v>
      </c>
    </row>
    <row r="230" ht="15.75" customHeight="1">
      <c r="A230" s="2" t="s">
        <v>774</v>
      </c>
      <c r="B230" s="2" t="s">
        <v>47</v>
      </c>
      <c r="C230" s="2" t="s">
        <v>47</v>
      </c>
      <c r="D230" s="2" t="str">
        <f>IFERROR(VLOOKUP($C230,'_METADATA_TEMPLATE'!$B$2:$H$826,2,FALSE),"")</f>
        <v/>
      </c>
      <c r="E230" s="2" t="str">
        <f>IFERROR(VLOOKUP($C230,'_METADATA_TEMPLATE'!$B$2:$H$826,4,FALSE),"")</f>
        <v/>
      </c>
      <c r="F230" s="2" t="str">
        <f>IFERROR(VLOOKUP($C230,'_METADATA_TEMPLATE'!$B$2:$H$826,5,FALSE),"")</f>
        <v/>
      </c>
      <c r="G230" s="2" t="str">
        <f>IFERROR(VLOOKUP($C230,'_METADATA_TEMPLATE'!$B$2:$H$826,6,FALSE),"")</f>
        <v/>
      </c>
      <c r="H230" s="2" t="str">
        <f>IFERROR(VLOOKUP($C230,'_METADATA_TEMPLATE'!$B$2:$H$826,7,FALSE),"")</f>
        <v/>
      </c>
      <c r="I230" s="2" t="str">
        <f>IFERROR(VLOOKUP(C230,'_METADATA_DEFAULT'!$A:$B,2,FALSE),"")</f>
        <v>ID Status Assignment</v>
      </c>
    </row>
    <row r="231" ht="15.75" customHeight="1">
      <c r="A231" s="3" t="s">
        <v>774</v>
      </c>
      <c r="B231" s="3" t="s">
        <v>1899</v>
      </c>
      <c r="C231" s="3" t="s">
        <v>1899</v>
      </c>
      <c r="D231" s="3" t="str">
        <f>IFERROR(VLOOKUP($C231,'_METADATA_TEMPLATE'!$B$2:$H$826,2,FALSE),"")</f>
        <v/>
      </c>
      <c r="E231" s="3" t="str">
        <f>IFERROR(VLOOKUP($C231,'_METADATA_TEMPLATE'!$B$2:$H$826,4,FALSE),"")</f>
        <v/>
      </c>
      <c r="F231" s="3" t="str">
        <f>IFERROR(VLOOKUP($C231,'_METADATA_TEMPLATE'!$B$2:$H$826,5,FALSE),"")</f>
        <v/>
      </c>
      <c r="G231" s="3" t="str">
        <f>IFERROR(VLOOKUP($C231,'_METADATA_TEMPLATE'!$B$2:$H$826,6,FALSE),"")</f>
        <v/>
      </c>
      <c r="H231" s="3" t="str">
        <f>IFERROR(VLOOKUP($C231,'_METADATA_TEMPLATE'!$B$2:$H$826,7,FALSE),"")</f>
        <v/>
      </c>
      <c r="I231" s="3" t="str">
        <f>IFERROR(VLOOKUP(C231,'_METADATA_DEFAULT'!$A:$B,2,FALSE),"")</f>
        <v/>
      </c>
    </row>
    <row r="232" ht="15.75" customHeight="1">
      <c r="A232" s="2" t="s">
        <v>774</v>
      </c>
      <c r="B232" s="2" t="s">
        <v>26</v>
      </c>
      <c r="C232" s="2" t="s">
        <v>26</v>
      </c>
      <c r="D232" s="2" t="str">
        <f>IFERROR(VLOOKUP($C232,'_METADATA_TEMPLATE'!$B$2:$H$826,2,FALSE),"")</f>
        <v/>
      </c>
      <c r="E232" s="2" t="str">
        <f>IFERROR(VLOOKUP($C232,'_METADATA_TEMPLATE'!$B$2:$H$826,4,FALSE),"")</f>
        <v/>
      </c>
      <c r="F232" s="2" t="str">
        <f>IFERROR(VLOOKUP($C232,'_METADATA_TEMPLATE'!$B$2:$H$826,5,FALSE),"")</f>
        <v/>
      </c>
      <c r="G232" s="2" t="str">
        <f>IFERROR(VLOOKUP($C232,'_METADATA_TEMPLATE'!$B$2:$H$826,6,FALSE),"")</f>
        <v/>
      </c>
      <c r="H232" s="2" t="str">
        <f>IFERROR(VLOOKUP($C232,'_METADATA_TEMPLATE'!$B$2:$H$826,7,FALSE),"")</f>
        <v/>
      </c>
      <c r="I232" s="2" t="str">
        <f>IFERROR(VLOOKUP(C232,'_METADATA_DEFAULT'!$A:$B,2,FALSE),"")</f>
        <v>1 = Aktif, 0 = Dihapus</v>
      </c>
    </row>
    <row r="233" ht="15.75" customHeight="1">
      <c r="A233" s="3" t="s">
        <v>774</v>
      </c>
      <c r="B233" s="3" t="s">
        <v>137</v>
      </c>
      <c r="C233" s="3" t="s">
        <v>137</v>
      </c>
      <c r="D233" s="3" t="str">
        <f>IFERROR(VLOOKUP($C233,'_METADATA_TEMPLATE'!$B$2:$H$826,2,FALSE),"")</f>
        <v/>
      </c>
      <c r="E233" s="3" t="str">
        <f>IFERROR(VLOOKUP($C233,'_METADATA_TEMPLATE'!$B$2:$H$826,4,FALSE),"")</f>
        <v/>
      </c>
      <c r="F233" s="3" t="str">
        <f>IFERROR(VLOOKUP($C233,'_METADATA_TEMPLATE'!$B$2:$H$826,5,FALSE),"")</f>
        <v/>
      </c>
      <c r="G233" s="3" t="str">
        <f>IFERROR(VLOOKUP($C233,'_METADATA_TEMPLATE'!$B$2:$H$826,6,FALSE),"")</f>
        <v/>
      </c>
      <c r="H233" s="3" t="str">
        <f>IFERROR(VLOOKUP($C233,'_METADATA_TEMPLATE'!$B$2:$H$826,7,FALSE),"")</f>
        <v/>
      </c>
      <c r="I233" s="3" t="str">
        <f>IFERROR(VLOOKUP(C233,'_METADATA_DEFAULT'!$A:$B,2,FALSE),"")</f>
        <v>Kode Provinsi</v>
      </c>
    </row>
    <row r="234" ht="15.75" customHeight="1">
      <c r="A234" s="2" t="s">
        <v>774</v>
      </c>
      <c r="B234" s="2" t="s">
        <v>141</v>
      </c>
      <c r="C234" s="2" t="s">
        <v>141</v>
      </c>
      <c r="D234" s="2" t="str">
        <f>IFERROR(VLOOKUP($C234,'_METADATA_TEMPLATE'!$B$2:$H$826,2,FALSE),"")</f>
        <v/>
      </c>
      <c r="E234" s="2" t="str">
        <f>IFERROR(VLOOKUP($C234,'_METADATA_TEMPLATE'!$B$2:$H$826,4,FALSE),"")</f>
        <v/>
      </c>
      <c r="F234" s="2" t="str">
        <f>IFERROR(VLOOKUP($C234,'_METADATA_TEMPLATE'!$B$2:$H$826,5,FALSE),"")</f>
        <v/>
      </c>
      <c r="G234" s="2" t="str">
        <f>IFERROR(VLOOKUP($C234,'_METADATA_TEMPLATE'!$B$2:$H$826,6,FALSE),"")</f>
        <v/>
      </c>
      <c r="H234" s="2" t="str">
        <f>IFERROR(VLOOKUP($C234,'_METADATA_TEMPLATE'!$B$2:$H$826,7,FALSE),"")</f>
        <v/>
      </c>
      <c r="I234" s="2" t="str">
        <f>IFERROR(VLOOKUP(C234,'_METADATA_DEFAULT'!$A:$B,2,FALSE),"")</f>
        <v>Provinsi</v>
      </c>
    </row>
    <row r="235" ht="15.75" customHeight="1">
      <c r="A235" s="3" t="s">
        <v>774</v>
      </c>
      <c r="B235" s="3" t="s">
        <v>145</v>
      </c>
      <c r="C235" s="3" t="s">
        <v>145</v>
      </c>
      <c r="D235" s="3" t="str">
        <f>IFERROR(VLOOKUP($C235,'_METADATA_TEMPLATE'!$B$2:$H$826,2,FALSE),"")</f>
        <v/>
      </c>
      <c r="E235" s="3" t="str">
        <f>IFERROR(VLOOKUP($C235,'_METADATA_TEMPLATE'!$B$2:$H$826,4,FALSE),"")</f>
        <v/>
      </c>
      <c r="F235" s="3" t="str">
        <f>IFERROR(VLOOKUP($C235,'_METADATA_TEMPLATE'!$B$2:$H$826,5,FALSE),"")</f>
        <v/>
      </c>
      <c r="G235" s="3" t="str">
        <f>IFERROR(VLOOKUP($C235,'_METADATA_TEMPLATE'!$B$2:$H$826,6,FALSE),"")</f>
        <v/>
      </c>
      <c r="H235" s="3" t="str">
        <f>IFERROR(VLOOKUP($C235,'_METADATA_TEMPLATE'!$B$2:$H$826,7,FALSE),"")</f>
        <v/>
      </c>
      <c r="I235" s="3" t="str">
        <f>IFERROR(VLOOKUP(C235,'_METADATA_DEFAULT'!$A:$B,2,FALSE),"")</f>
        <v/>
      </c>
    </row>
    <row r="236" ht="15.75" customHeight="1">
      <c r="A236" s="2" t="s">
        <v>774</v>
      </c>
      <c r="B236" s="2" t="s">
        <v>149</v>
      </c>
      <c r="C236" s="2" t="s">
        <v>149</v>
      </c>
      <c r="D236" s="2" t="str">
        <f>IFERROR(VLOOKUP($C236,'_METADATA_TEMPLATE'!$B$2:$H$826,2,FALSE),"")</f>
        <v/>
      </c>
      <c r="E236" s="2" t="str">
        <f>IFERROR(VLOOKUP($C236,'_METADATA_TEMPLATE'!$B$2:$H$826,4,FALSE),"")</f>
        <v/>
      </c>
      <c r="F236" s="2" t="str">
        <f>IFERROR(VLOOKUP($C236,'_METADATA_TEMPLATE'!$B$2:$H$826,5,FALSE),"")</f>
        <v/>
      </c>
      <c r="G236" s="2" t="str">
        <f>IFERROR(VLOOKUP($C236,'_METADATA_TEMPLATE'!$B$2:$H$826,6,FALSE),"")</f>
        <v/>
      </c>
      <c r="H236" s="2" t="str">
        <f>IFERROR(VLOOKUP($C236,'_METADATA_TEMPLATE'!$B$2:$H$826,7,FALSE),"")</f>
        <v/>
      </c>
      <c r="I236" s="2" t="str">
        <f>IFERROR(VLOOKUP(C236,'_METADATA_DEFAULT'!$A:$B,2,FALSE),"")</f>
        <v/>
      </c>
    </row>
    <row r="237" ht="15.75" customHeight="1">
      <c r="A237" s="3" t="s">
        <v>774</v>
      </c>
      <c r="B237" s="3" t="s">
        <v>157</v>
      </c>
      <c r="C237" s="3" t="s">
        <v>157</v>
      </c>
      <c r="D237" s="3" t="str">
        <f>IFERROR(VLOOKUP($C237,'_METADATA_TEMPLATE'!$B$2:$H$826,2,FALSE),"")</f>
        <v/>
      </c>
      <c r="E237" s="3" t="str">
        <f>IFERROR(VLOOKUP($C237,'_METADATA_TEMPLATE'!$B$2:$H$826,4,FALSE),"")</f>
        <v/>
      </c>
      <c r="F237" s="3" t="str">
        <f>IFERROR(VLOOKUP($C237,'_METADATA_TEMPLATE'!$B$2:$H$826,5,FALSE),"")</f>
        <v/>
      </c>
      <c r="G237" s="3" t="str">
        <f>IFERROR(VLOOKUP($C237,'_METADATA_TEMPLATE'!$B$2:$H$826,6,FALSE),"")</f>
        <v/>
      </c>
      <c r="H237" s="3" t="str">
        <f>IFERROR(VLOOKUP($C237,'_METADATA_TEMPLATE'!$B$2:$H$826,7,FALSE),"")</f>
        <v/>
      </c>
      <c r="I237" s="3" t="str">
        <f>IFERROR(VLOOKUP(C237,'_METADATA_DEFAULT'!$A:$B,2,FALSE),"")</f>
        <v/>
      </c>
    </row>
    <row r="238" ht="15.75" customHeight="1">
      <c r="A238" s="2" t="s">
        <v>774</v>
      </c>
      <c r="B238" s="2" t="s">
        <v>161</v>
      </c>
      <c r="C238" s="2" t="s">
        <v>161</v>
      </c>
      <c r="D238" s="2" t="str">
        <f>IFERROR(VLOOKUP($C238,'_METADATA_TEMPLATE'!$B$2:$H$826,2,FALSE),"")</f>
        <v/>
      </c>
      <c r="E238" s="2" t="str">
        <f>IFERROR(VLOOKUP($C238,'_METADATA_TEMPLATE'!$B$2:$H$826,4,FALSE),"")</f>
        <v/>
      </c>
      <c r="F238" s="2" t="str">
        <f>IFERROR(VLOOKUP($C238,'_METADATA_TEMPLATE'!$B$2:$H$826,5,FALSE),"")</f>
        <v/>
      </c>
      <c r="G238" s="2" t="str">
        <f>IFERROR(VLOOKUP($C238,'_METADATA_TEMPLATE'!$B$2:$H$826,6,FALSE),"")</f>
        <v/>
      </c>
      <c r="H238" s="2" t="str">
        <f>IFERROR(VLOOKUP($C238,'_METADATA_TEMPLATE'!$B$2:$H$826,7,FALSE),"")</f>
        <v/>
      </c>
      <c r="I238" s="2" t="str">
        <f>IFERROR(VLOOKUP(C238,'_METADATA_DEFAULT'!$A:$B,2,FALSE),"")</f>
        <v>Kode Kabupaten/Kota</v>
      </c>
    </row>
    <row r="239" ht="15.75" customHeight="1">
      <c r="A239" s="3" t="s">
        <v>774</v>
      </c>
      <c r="B239" s="3" t="s">
        <v>165</v>
      </c>
      <c r="C239" s="3" t="s">
        <v>165</v>
      </c>
      <c r="D239" s="3" t="str">
        <f>IFERROR(VLOOKUP($C239,'_METADATA_TEMPLATE'!$B$2:$H$826,2,FALSE),"")</f>
        <v/>
      </c>
      <c r="E239" s="3" t="str">
        <f>IFERROR(VLOOKUP($C239,'_METADATA_TEMPLATE'!$B$2:$H$826,4,FALSE),"")</f>
        <v/>
      </c>
      <c r="F239" s="3" t="str">
        <f>IFERROR(VLOOKUP($C239,'_METADATA_TEMPLATE'!$B$2:$H$826,5,FALSE),"")</f>
        <v/>
      </c>
      <c r="G239" s="3" t="str">
        <f>IFERROR(VLOOKUP($C239,'_METADATA_TEMPLATE'!$B$2:$H$826,6,FALSE),"")</f>
        <v/>
      </c>
      <c r="H239" s="3" t="str">
        <f>IFERROR(VLOOKUP($C239,'_METADATA_TEMPLATE'!$B$2:$H$826,7,FALSE),"")</f>
        <v/>
      </c>
      <c r="I239" s="3" t="str">
        <f>IFERROR(VLOOKUP(C239,'_METADATA_DEFAULT'!$A:$B,2,FALSE),"")</f>
        <v>Kabupaten/Kota</v>
      </c>
    </row>
    <row r="240" ht="15.75" customHeight="1">
      <c r="A240" s="2" t="s">
        <v>774</v>
      </c>
      <c r="B240" s="2" t="s">
        <v>168</v>
      </c>
      <c r="C240" s="2" t="s">
        <v>168</v>
      </c>
      <c r="D240" s="2" t="str">
        <f>IFERROR(VLOOKUP($C240,'_METADATA_TEMPLATE'!$B$2:$H$826,2,FALSE),"")</f>
        <v/>
      </c>
      <c r="E240" s="2" t="str">
        <f>IFERROR(VLOOKUP($C240,'_METADATA_TEMPLATE'!$B$2:$H$826,4,FALSE),"")</f>
        <v/>
      </c>
      <c r="F240" s="2" t="str">
        <f>IFERROR(VLOOKUP($C240,'_METADATA_TEMPLATE'!$B$2:$H$826,5,FALSE),"")</f>
        <v/>
      </c>
      <c r="G240" s="2" t="str">
        <f>IFERROR(VLOOKUP($C240,'_METADATA_TEMPLATE'!$B$2:$H$826,6,FALSE),"")</f>
        <v/>
      </c>
      <c r="H240" s="2" t="str">
        <f>IFERROR(VLOOKUP($C240,'_METADATA_TEMPLATE'!$B$2:$H$826,7,FALSE),"")</f>
        <v/>
      </c>
      <c r="I240" s="2" t="str">
        <f>IFERROR(VLOOKUP(C240,'_METADATA_DEFAULT'!$A:$B,2,FALSE),"")</f>
        <v>Kode Kecamatan</v>
      </c>
    </row>
    <row r="241" ht="15.75" customHeight="1">
      <c r="A241" s="3" t="s">
        <v>774</v>
      </c>
      <c r="B241" s="3" t="s">
        <v>172</v>
      </c>
      <c r="C241" s="3" t="s">
        <v>172</v>
      </c>
      <c r="D241" s="3" t="str">
        <f>IFERROR(VLOOKUP($C241,'_METADATA_TEMPLATE'!$B$2:$H$826,2,FALSE),"")</f>
        <v/>
      </c>
      <c r="E241" s="3" t="str">
        <f>IFERROR(VLOOKUP($C241,'_METADATA_TEMPLATE'!$B$2:$H$826,4,FALSE),"")</f>
        <v/>
      </c>
      <c r="F241" s="3" t="str">
        <f>IFERROR(VLOOKUP($C241,'_METADATA_TEMPLATE'!$B$2:$H$826,5,FALSE),"")</f>
        <v/>
      </c>
      <c r="G241" s="3" t="str">
        <f>IFERROR(VLOOKUP($C241,'_METADATA_TEMPLATE'!$B$2:$H$826,6,FALSE),"")</f>
        <v/>
      </c>
      <c r="H241" s="3" t="str">
        <f>IFERROR(VLOOKUP($C241,'_METADATA_TEMPLATE'!$B$2:$H$826,7,FALSE),"")</f>
        <v/>
      </c>
      <c r="I241" s="3" t="str">
        <f>IFERROR(VLOOKUP(C241,'_METADATA_DEFAULT'!$A:$B,2,FALSE),"")</f>
        <v>Kode Lengkap Kecamatan</v>
      </c>
    </row>
    <row r="242" ht="15.75" customHeight="1">
      <c r="A242" s="2" t="s">
        <v>774</v>
      </c>
      <c r="B242" s="2" t="s">
        <v>176</v>
      </c>
      <c r="C242" s="2" t="s">
        <v>176</v>
      </c>
      <c r="D242" s="2" t="str">
        <f>IFERROR(VLOOKUP($C242,'_METADATA_TEMPLATE'!$B$2:$H$826,2,FALSE),"")</f>
        <v/>
      </c>
      <c r="E242" s="2" t="str">
        <f>IFERROR(VLOOKUP($C242,'_METADATA_TEMPLATE'!$B$2:$H$826,4,FALSE),"")</f>
        <v/>
      </c>
      <c r="F242" s="2" t="str">
        <f>IFERROR(VLOOKUP($C242,'_METADATA_TEMPLATE'!$B$2:$H$826,5,FALSE),"")</f>
        <v/>
      </c>
      <c r="G242" s="2" t="str">
        <f>IFERROR(VLOOKUP($C242,'_METADATA_TEMPLATE'!$B$2:$H$826,6,FALSE),"")</f>
        <v/>
      </c>
      <c r="H242" s="2" t="str">
        <f>IFERROR(VLOOKUP($C242,'_METADATA_TEMPLATE'!$B$2:$H$826,7,FALSE),"")</f>
        <v/>
      </c>
      <c r="I242" s="2" t="str">
        <f>IFERROR(VLOOKUP(C242,'_METADATA_DEFAULT'!$A:$B,2,FALSE),"")</f>
        <v>Kecamatan</v>
      </c>
    </row>
    <row r="243" ht="15.75" customHeight="1">
      <c r="A243" s="3" t="s">
        <v>774</v>
      </c>
      <c r="B243" s="3" t="s">
        <v>181</v>
      </c>
      <c r="C243" s="3" t="s">
        <v>181</v>
      </c>
      <c r="D243" s="3" t="str">
        <f>IFERROR(VLOOKUP($C243,'_METADATA_TEMPLATE'!$B$2:$H$826,2,FALSE),"")</f>
        <v/>
      </c>
      <c r="E243" s="3" t="str">
        <f>IFERROR(VLOOKUP($C243,'_METADATA_TEMPLATE'!$B$2:$H$826,4,FALSE),"")</f>
        <v/>
      </c>
      <c r="F243" s="3" t="str">
        <f>IFERROR(VLOOKUP($C243,'_METADATA_TEMPLATE'!$B$2:$H$826,5,FALSE),"")</f>
        <v/>
      </c>
      <c r="G243" s="3" t="str">
        <f>IFERROR(VLOOKUP($C243,'_METADATA_TEMPLATE'!$B$2:$H$826,6,FALSE),"")</f>
        <v/>
      </c>
      <c r="H243" s="3" t="str">
        <f>IFERROR(VLOOKUP($C243,'_METADATA_TEMPLATE'!$B$2:$H$826,7,FALSE),"")</f>
        <v/>
      </c>
      <c r="I243" s="3" t="str">
        <f>IFERROR(VLOOKUP(C243,'_METADATA_DEFAULT'!$A:$B,2,FALSE),"")</f>
        <v>Kode Kelurahan/Desa</v>
      </c>
    </row>
    <row r="244" ht="15.75" customHeight="1">
      <c r="A244" s="2" t="s">
        <v>774</v>
      </c>
      <c r="B244" s="2" t="s">
        <v>184</v>
      </c>
      <c r="C244" s="2" t="s">
        <v>184</v>
      </c>
      <c r="D244" s="2" t="str">
        <f>IFERROR(VLOOKUP($C244,'_METADATA_TEMPLATE'!$B$2:$H$826,2,FALSE),"")</f>
        <v/>
      </c>
      <c r="E244" s="2" t="str">
        <f>IFERROR(VLOOKUP($C244,'_METADATA_TEMPLATE'!$B$2:$H$826,4,FALSE),"")</f>
        <v/>
      </c>
      <c r="F244" s="2" t="str">
        <f>IFERROR(VLOOKUP($C244,'_METADATA_TEMPLATE'!$B$2:$H$826,5,FALSE),"")</f>
        <v/>
      </c>
      <c r="G244" s="2" t="str">
        <f>IFERROR(VLOOKUP($C244,'_METADATA_TEMPLATE'!$B$2:$H$826,6,FALSE),"")</f>
        <v/>
      </c>
      <c r="H244" s="2" t="str">
        <f>IFERROR(VLOOKUP($C244,'_METADATA_TEMPLATE'!$B$2:$H$826,7,FALSE),"")</f>
        <v/>
      </c>
      <c r="I244" s="2" t="str">
        <f>IFERROR(VLOOKUP(C244,'_METADATA_DEFAULT'!$A:$B,2,FALSE),"")</f>
        <v>Kode Lengkap Kelurahan/Desa</v>
      </c>
    </row>
    <row r="245" ht="15.75" customHeight="1">
      <c r="A245" s="3" t="s">
        <v>774</v>
      </c>
      <c r="B245" s="3" t="s">
        <v>188</v>
      </c>
      <c r="C245" s="3" t="s">
        <v>188</v>
      </c>
      <c r="D245" s="3" t="str">
        <f>IFERROR(VLOOKUP($C245,'_METADATA_TEMPLATE'!$B$2:$H$826,2,FALSE),"")</f>
        <v/>
      </c>
      <c r="E245" s="3" t="str">
        <f>IFERROR(VLOOKUP($C245,'_METADATA_TEMPLATE'!$B$2:$H$826,4,FALSE),"")</f>
        <v/>
      </c>
      <c r="F245" s="3" t="str">
        <f>IFERROR(VLOOKUP($C245,'_METADATA_TEMPLATE'!$B$2:$H$826,5,FALSE),"")</f>
        <v/>
      </c>
      <c r="G245" s="3" t="str">
        <f>IFERROR(VLOOKUP($C245,'_METADATA_TEMPLATE'!$B$2:$H$826,6,FALSE),"")</f>
        <v/>
      </c>
      <c r="H245" s="3" t="str">
        <f>IFERROR(VLOOKUP($C245,'_METADATA_TEMPLATE'!$B$2:$H$826,7,FALSE),"")</f>
        <v/>
      </c>
      <c r="I245" s="3" t="str">
        <f>IFERROR(VLOOKUP(C245,'_METADATA_DEFAULT'!$A:$B,2,FALSE),"")</f>
        <v>Kelurahan/Desa</v>
      </c>
    </row>
    <row r="246" ht="15.75" customHeight="1">
      <c r="A246" s="2" t="s">
        <v>774</v>
      </c>
      <c r="B246" s="2" t="s">
        <v>191</v>
      </c>
      <c r="C246" s="2" t="s">
        <v>191</v>
      </c>
      <c r="D246" s="2" t="str">
        <f>IFERROR(VLOOKUP($C246,'_METADATA_TEMPLATE'!$B$2:$H$826,2,FALSE),"")</f>
        <v/>
      </c>
      <c r="E246" s="2" t="str">
        <f>IFERROR(VLOOKUP($C246,'_METADATA_TEMPLATE'!$B$2:$H$826,4,FALSE),"")</f>
        <v/>
      </c>
      <c r="F246" s="2" t="str">
        <f>IFERROR(VLOOKUP($C246,'_METADATA_TEMPLATE'!$B$2:$H$826,5,FALSE),"")</f>
        <v/>
      </c>
      <c r="G246" s="2" t="str">
        <f>IFERROR(VLOOKUP($C246,'_METADATA_TEMPLATE'!$B$2:$H$826,6,FALSE),"")</f>
        <v/>
      </c>
      <c r="H246" s="2" t="str">
        <f>IFERROR(VLOOKUP($C246,'_METADATA_TEMPLATE'!$B$2:$H$826,7,FALSE),"")</f>
        <v/>
      </c>
      <c r="I246" s="2" t="str">
        <f>IFERROR(VLOOKUP(C246,'_METADATA_DEFAULT'!$A:$B,2,FALSE),"")</f>
        <v>Kode SLS</v>
      </c>
    </row>
    <row r="247" ht="15.75" customHeight="1">
      <c r="A247" s="3" t="s">
        <v>774</v>
      </c>
      <c r="B247" s="3" t="s">
        <v>194</v>
      </c>
      <c r="C247" s="3" t="s">
        <v>194</v>
      </c>
      <c r="D247" s="3" t="str">
        <f>IFERROR(VLOOKUP($C247,'_METADATA_TEMPLATE'!$B$2:$H$826,2,FALSE),"")</f>
        <v/>
      </c>
      <c r="E247" s="3" t="str">
        <f>IFERROR(VLOOKUP($C247,'_METADATA_TEMPLATE'!$B$2:$H$826,4,FALSE),"")</f>
        <v/>
      </c>
      <c r="F247" s="3" t="str">
        <f>IFERROR(VLOOKUP($C247,'_METADATA_TEMPLATE'!$B$2:$H$826,5,FALSE),"")</f>
        <v/>
      </c>
      <c r="G247" s="3" t="str">
        <f>IFERROR(VLOOKUP($C247,'_METADATA_TEMPLATE'!$B$2:$H$826,6,FALSE),"")</f>
        <v/>
      </c>
      <c r="H247" s="3" t="str">
        <f>IFERROR(VLOOKUP($C247,'_METADATA_TEMPLATE'!$B$2:$H$826,7,FALSE),"")</f>
        <v/>
      </c>
      <c r="I247" s="3" t="str">
        <f>IFERROR(VLOOKUP(C247,'_METADATA_DEFAULT'!$A:$B,2,FALSE),"")</f>
        <v>Kode Lengkap SLS</v>
      </c>
    </row>
    <row r="248" ht="15.75" customHeight="1">
      <c r="A248" s="2" t="s">
        <v>774</v>
      </c>
      <c r="B248" s="2" t="s">
        <v>197</v>
      </c>
      <c r="C248" s="2" t="s">
        <v>197</v>
      </c>
      <c r="D248" s="2" t="str">
        <f>IFERROR(VLOOKUP($C248,'_METADATA_TEMPLATE'!$B$2:$H$826,2,FALSE),"")</f>
        <v/>
      </c>
      <c r="E248" s="2" t="str">
        <f>IFERROR(VLOOKUP($C248,'_METADATA_TEMPLATE'!$B$2:$H$826,4,FALSE),"")</f>
        <v/>
      </c>
      <c r="F248" s="2" t="str">
        <f>IFERROR(VLOOKUP($C248,'_METADATA_TEMPLATE'!$B$2:$H$826,5,FALSE),"")</f>
        <v/>
      </c>
      <c r="G248" s="2" t="str">
        <f>IFERROR(VLOOKUP($C248,'_METADATA_TEMPLATE'!$B$2:$H$826,6,FALSE),"")</f>
        <v/>
      </c>
      <c r="H248" s="2" t="str">
        <f>IFERROR(VLOOKUP($C248,'_METADATA_TEMPLATE'!$B$2:$H$826,7,FALSE),"")</f>
        <v/>
      </c>
      <c r="I248" s="2" t="str">
        <f>IFERROR(VLOOKUP(C248,'_METADATA_DEFAULT'!$A:$B,2,FALSE),"")</f>
        <v>SLS</v>
      </c>
    </row>
    <row r="249" ht="15.75" customHeight="1">
      <c r="A249" s="3" t="s">
        <v>774</v>
      </c>
      <c r="B249" s="3" t="s">
        <v>202</v>
      </c>
      <c r="C249" s="3" t="s">
        <v>202</v>
      </c>
      <c r="D249" s="3" t="str">
        <f>IFERROR(VLOOKUP($C249,'_METADATA_TEMPLATE'!$B$2:$H$826,2,FALSE),"")</f>
        <v/>
      </c>
      <c r="E249" s="3" t="str">
        <f>IFERROR(VLOOKUP($C249,'_METADATA_TEMPLATE'!$B$2:$H$826,4,FALSE),"")</f>
        <v/>
      </c>
      <c r="F249" s="3" t="str">
        <f>IFERROR(VLOOKUP($C249,'_METADATA_TEMPLATE'!$B$2:$H$826,5,FALSE),"")</f>
        <v/>
      </c>
      <c r="G249" s="3" t="str">
        <f>IFERROR(VLOOKUP($C249,'_METADATA_TEMPLATE'!$B$2:$H$826,6,FALSE),"")</f>
        <v/>
      </c>
      <c r="H249" s="3" t="str">
        <f>IFERROR(VLOOKUP($C249,'_METADATA_TEMPLATE'!$B$2:$H$826,7,FALSE),"")</f>
        <v/>
      </c>
      <c r="I249" s="3" t="str">
        <f>IFERROR(VLOOKUP(C249,'_METADATA_DEFAULT'!$A:$B,2,FALSE),"")</f>
        <v>Kode Sub-SLS</v>
      </c>
    </row>
    <row r="250" ht="15.75" customHeight="1">
      <c r="A250" s="2" t="s">
        <v>774</v>
      </c>
      <c r="B250" s="2" t="s">
        <v>206</v>
      </c>
      <c r="C250" s="2" t="s">
        <v>206</v>
      </c>
      <c r="D250" s="2" t="str">
        <f>IFERROR(VLOOKUP($C250,'_METADATA_TEMPLATE'!$B$2:$H$826,2,FALSE),"")</f>
        <v/>
      </c>
      <c r="E250" s="2" t="str">
        <f>IFERROR(VLOOKUP($C250,'_METADATA_TEMPLATE'!$B$2:$H$826,4,FALSE),"")</f>
        <v/>
      </c>
      <c r="F250" s="2" t="str">
        <f>IFERROR(VLOOKUP($C250,'_METADATA_TEMPLATE'!$B$2:$H$826,5,FALSE),"")</f>
        <v/>
      </c>
      <c r="G250" s="2" t="str">
        <f>IFERROR(VLOOKUP($C250,'_METADATA_TEMPLATE'!$B$2:$H$826,6,FALSE),"")</f>
        <v/>
      </c>
      <c r="H250" s="2" t="str">
        <f>IFERROR(VLOOKUP($C250,'_METADATA_TEMPLATE'!$B$2:$H$826,7,FALSE),"")</f>
        <v/>
      </c>
      <c r="I250" s="2" t="str">
        <f>IFERROR(VLOOKUP(C250,'_METADATA_DEFAULT'!$A:$B,2,FALSE),"")</f>
        <v>Kode Lengkap Sub-SLS</v>
      </c>
    </row>
    <row r="251" ht="15.75" customHeight="1">
      <c r="A251" s="3" t="s">
        <v>774</v>
      </c>
      <c r="B251" s="3" t="s">
        <v>209</v>
      </c>
      <c r="C251" s="3" t="s">
        <v>209</v>
      </c>
      <c r="D251" s="3" t="str">
        <f>IFERROR(VLOOKUP($C251,'_METADATA_TEMPLATE'!$B$2:$H$826,2,FALSE),"")</f>
        <v/>
      </c>
      <c r="E251" s="3" t="str">
        <f>IFERROR(VLOOKUP($C251,'_METADATA_TEMPLATE'!$B$2:$H$826,4,FALSE),"")</f>
        <v/>
      </c>
      <c r="F251" s="3" t="str">
        <f>IFERROR(VLOOKUP($C251,'_METADATA_TEMPLATE'!$B$2:$H$826,5,FALSE),"")</f>
        <v/>
      </c>
      <c r="G251" s="3" t="str">
        <f>IFERROR(VLOOKUP($C251,'_METADATA_TEMPLATE'!$B$2:$H$826,6,FALSE),"")</f>
        <v/>
      </c>
      <c r="H251" s="3" t="str">
        <f>IFERROR(VLOOKUP($C251,'_METADATA_TEMPLATE'!$B$2:$H$826,7,FALSE),"")</f>
        <v/>
      </c>
      <c r="I251" s="3" t="str">
        <f>IFERROR(VLOOKUP(C251,'_METADATA_DEFAULT'!$A:$B,2,FALSE),"")</f>
        <v>Sub-SLS</v>
      </c>
    </row>
    <row r="252" ht="15.75" customHeight="1">
      <c r="A252" s="2" t="s">
        <v>774</v>
      </c>
      <c r="B252" s="2" t="s">
        <v>211</v>
      </c>
      <c r="C252" s="2" t="s">
        <v>211</v>
      </c>
      <c r="D252" s="2" t="str">
        <f>IFERROR(VLOOKUP($C252,'_METADATA_TEMPLATE'!$B$2:$H$826,2,FALSE),"")</f>
        <v/>
      </c>
      <c r="E252" s="2" t="str">
        <f>IFERROR(VLOOKUP($C252,'_METADATA_TEMPLATE'!$B$2:$H$826,4,FALSE),"")</f>
        <v/>
      </c>
      <c r="F252" s="2" t="str">
        <f>IFERROR(VLOOKUP($C252,'_METADATA_TEMPLATE'!$B$2:$H$826,5,FALSE),"")</f>
        <v/>
      </c>
      <c r="G252" s="2" t="str">
        <f>IFERROR(VLOOKUP($C252,'_METADATA_TEMPLATE'!$B$2:$H$826,6,FALSE),"")</f>
        <v/>
      </c>
      <c r="H252" s="2" t="str">
        <f>IFERROR(VLOOKUP($C252,'_METADATA_TEMPLATE'!$B$2:$H$826,7,FALSE),"")</f>
        <v/>
      </c>
      <c r="I252" s="2" t="str">
        <f>IFERROR(VLOOKUP(C252,'_METADATA_DEFAULT'!$A:$B,2,FALSE),"")</f>
        <v/>
      </c>
    </row>
    <row r="253" ht="15.75" customHeight="1">
      <c r="A253" s="3" t="s">
        <v>774</v>
      </c>
      <c r="B253" s="3" t="s">
        <v>214</v>
      </c>
      <c r="C253" s="3" t="s">
        <v>214</v>
      </c>
      <c r="D253" s="3" t="str">
        <f>IFERROR(VLOOKUP($C253,'_METADATA_TEMPLATE'!$B$2:$H$826,2,FALSE),"")</f>
        <v/>
      </c>
      <c r="E253" s="3" t="str">
        <f>IFERROR(VLOOKUP($C253,'_METADATA_TEMPLATE'!$B$2:$H$826,4,FALSE),"")</f>
        <v/>
      </c>
      <c r="F253" s="3" t="str">
        <f>IFERROR(VLOOKUP($C253,'_METADATA_TEMPLATE'!$B$2:$H$826,5,FALSE),"")</f>
        <v/>
      </c>
      <c r="G253" s="3" t="str">
        <f>IFERROR(VLOOKUP($C253,'_METADATA_TEMPLATE'!$B$2:$H$826,6,FALSE),"")</f>
        <v/>
      </c>
      <c r="H253" s="3" t="str">
        <f>IFERROR(VLOOKUP($C253,'_METADATA_TEMPLATE'!$B$2:$H$826,7,FALSE),"")</f>
        <v/>
      </c>
      <c r="I253" s="3" t="str">
        <f>IFERROR(VLOOKUP(C253,'_METADATA_DEFAULT'!$A:$B,2,FALSE),"")</f>
        <v/>
      </c>
    </row>
    <row r="254" ht="15.75" customHeight="1">
      <c r="A254" s="2" t="s">
        <v>774</v>
      </c>
      <c r="B254" s="2" t="s">
        <v>216</v>
      </c>
      <c r="C254" s="2" t="s">
        <v>216</v>
      </c>
      <c r="D254" s="2" t="str">
        <f>IFERROR(VLOOKUP($C254,'_METADATA_TEMPLATE'!$B$2:$H$826,2,FALSE),"")</f>
        <v/>
      </c>
      <c r="E254" s="2" t="str">
        <f>IFERROR(VLOOKUP($C254,'_METADATA_TEMPLATE'!$B$2:$H$826,4,FALSE),"")</f>
        <v/>
      </c>
      <c r="F254" s="2" t="str">
        <f>IFERROR(VLOOKUP($C254,'_METADATA_TEMPLATE'!$B$2:$H$826,5,FALSE),"")</f>
        <v/>
      </c>
      <c r="G254" s="2" t="str">
        <f>IFERROR(VLOOKUP($C254,'_METADATA_TEMPLATE'!$B$2:$H$826,6,FALSE),"")</f>
        <v/>
      </c>
      <c r="H254" s="2" t="str">
        <f>IFERROR(VLOOKUP($C254,'_METADATA_TEMPLATE'!$B$2:$H$826,7,FALSE),"")</f>
        <v/>
      </c>
      <c r="I254" s="2" t="str">
        <f>IFERROR(VLOOKUP(C254,'_METADATA_DEFAULT'!$A:$B,2,FALSE),"")</f>
        <v/>
      </c>
    </row>
    <row r="255" ht="15.75" customHeight="1">
      <c r="A255" s="3" t="s">
        <v>774</v>
      </c>
      <c r="B255" s="3" t="s">
        <v>218</v>
      </c>
      <c r="C255" s="3" t="s">
        <v>218</v>
      </c>
      <c r="D255" s="3" t="str">
        <f>IFERROR(VLOOKUP($C255,'_METADATA_TEMPLATE'!$B$2:$H$826,2,FALSE),"")</f>
        <v/>
      </c>
      <c r="E255" s="3" t="str">
        <f>IFERROR(VLOOKUP($C255,'_METADATA_TEMPLATE'!$B$2:$H$826,4,FALSE),"")</f>
        <v/>
      </c>
      <c r="F255" s="3" t="str">
        <f>IFERROR(VLOOKUP($C255,'_METADATA_TEMPLATE'!$B$2:$H$826,5,FALSE),"")</f>
        <v/>
      </c>
      <c r="G255" s="3" t="str">
        <f>IFERROR(VLOOKUP($C255,'_METADATA_TEMPLATE'!$B$2:$H$826,6,FALSE),"")</f>
        <v/>
      </c>
      <c r="H255" s="3" t="str">
        <f>IFERROR(VLOOKUP($C255,'_METADATA_TEMPLATE'!$B$2:$H$826,7,FALSE),"")</f>
        <v/>
      </c>
      <c r="I255" s="3" t="str">
        <f>IFERROR(VLOOKUP(C255,'_METADATA_DEFAULT'!$A:$B,2,FALSE),"")</f>
        <v/>
      </c>
    </row>
    <row r="256" ht="15.75" customHeight="1">
      <c r="A256" s="2" t="s">
        <v>774</v>
      </c>
      <c r="B256" s="2" t="s">
        <v>221</v>
      </c>
      <c r="C256" s="2" t="s">
        <v>221</v>
      </c>
      <c r="D256" s="2" t="str">
        <f>IFERROR(VLOOKUP($C256,'_METADATA_TEMPLATE'!$B$2:$H$826,2,FALSE),"")</f>
        <v/>
      </c>
      <c r="E256" s="2" t="str">
        <f>IFERROR(VLOOKUP($C256,'_METADATA_TEMPLATE'!$B$2:$H$826,4,FALSE),"")</f>
        <v/>
      </c>
      <c r="F256" s="2" t="str">
        <f>IFERROR(VLOOKUP($C256,'_METADATA_TEMPLATE'!$B$2:$H$826,5,FALSE),"")</f>
        <v/>
      </c>
      <c r="G256" s="2" t="str">
        <f>IFERROR(VLOOKUP($C256,'_METADATA_TEMPLATE'!$B$2:$H$826,6,FALSE),"")</f>
        <v/>
      </c>
      <c r="H256" s="2" t="str">
        <f>IFERROR(VLOOKUP($C256,'_METADATA_TEMPLATE'!$B$2:$H$826,7,FALSE),"")</f>
        <v/>
      </c>
      <c r="I256" s="2" t="str">
        <f>IFERROR(VLOOKUP(C256,'_METADATA_DEFAULT'!$A:$B,2,FALSE),"")</f>
        <v/>
      </c>
    </row>
    <row r="257" ht="15.75" customHeight="1">
      <c r="A257" s="3" t="s">
        <v>774</v>
      </c>
      <c r="B257" s="3" t="s">
        <v>225</v>
      </c>
      <c r="C257" s="3" t="s">
        <v>225</v>
      </c>
      <c r="D257" s="3" t="str">
        <f>IFERROR(VLOOKUP($C257,'_METADATA_TEMPLATE'!$B$2:$H$826,2,FALSE),"")</f>
        <v/>
      </c>
      <c r="E257" s="3" t="str">
        <f>IFERROR(VLOOKUP($C257,'_METADATA_TEMPLATE'!$B$2:$H$826,4,FALSE),"")</f>
        <v/>
      </c>
      <c r="F257" s="3" t="str">
        <f>IFERROR(VLOOKUP($C257,'_METADATA_TEMPLATE'!$B$2:$H$826,5,FALSE),"")</f>
        <v/>
      </c>
      <c r="G257" s="3" t="str">
        <f>IFERROR(VLOOKUP($C257,'_METADATA_TEMPLATE'!$B$2:$H$826,6,FALSE),"")</f>
        <v/>
      </c>
      <c r="H257" s="3" t="str">
        <f>IFERROR(VLOOKUP($C257,'_METADATA_TEMPLATE'!$B$2:$H$826,7,FALSE),"")</f>
        <v/>
      </c>
      <c r="I257" s="3" t="str">
        <f>IFERROR(VLOOKUP(C257,'_METADATA_DEFAULT'!$A:$B,2,FALSE),"")</f>
        <v/>
      </c>
    </row>
    <row r="258" ht="15.75" customHeight="1">
      <c r="A258" s="2" t="s">
        <v>774</v>
      </c>
      <c r="B258" s="2" t="s">
        <v>227</v>
      </c>
      <c r="C258" s="2" t="s">
        <v>227</v>
      </c>
      <c r="D258" s="2" t="str">
        <f>IFERROR(VLOOKUP($C258,'_METADATA_TEMPLATE'!$B$2:$H$826,2,FALSE),"")</f>
        <v/>
      </c>
      <c r="E258" s="2" t="str">
        <f>IFERROR(VLOOKUP($C258,'_METADATA_TEMPLATE'!$B$2:$H$826,4,FALSE),"")</f>
        <v/>
      </c>
      <c r="F258" s="2" t="str">
        <f>IFERROR(VLOOKUP($C258,'_METADATA_TEMPLATE'!$B$2:$H$826,5,FALSE),"")</f>
        <v/>
      </c>
      <c r="G258" s="2" t="str">
        <f>IFERROR(VLOOKUP($C258,'_METADATA_TEMPLATE'!$B$2:$H$826,6,FALSE),"")</f>
        <v/>
      </c>
      <c r="H258" s="2" t="str">
        <f>IFERROR(VLOOKUP($C258,'_METADATA_TEMPLATE'!$B$2:$H$826,7,FALSE),"")</f>
        <v/>
      </c>
      <c r="I258" s="2" t="str">
        <f>IFERROR(VLOOKUP(C258,'_METADATA_DEFAULT'!$A:$B,2,FALSE),"")</f>
        <v/>
      </c>
    </row>
    <row r="259" ht="15.75" customHeight="1">
      <c r="A259" s="3" t="s">
        <v>774</v>
      </c>
      <c r="B259" s="3" t="s">
        <v>230</v>
      </c>
      <c r="C259" s="3" t="s">
        <v>230</v>
      </c>
      <c r="D259" s="3" t="str">
        <f>IFERROR(VLOOKUP($C259,'_METADATA_TEMPLATE'!$B$2:$H$826,2,FALSE),"")</f>
        <v/>
      </c>
      <c r="E259" s="3" t="str">
        <f>IFERROR(VLOOKUP($C259,'_METADATA_TEMPLATE'!$B$2:$H$826,4,FALSE),"")</f>
        <v/>
      </c>
      <c r="F259" s="3" t="str">
        <f>IFERROR(VLOOKUP($C259,'_METADATA_TEMPLATE'!$B$2:$H$826,5,FALSE),"")</f>
        <v/>
      </c>
      <c r="G259" s="3" t="str">
        <f>IFERROR(VLOOKUP($C259,'_METADATA_TEMPLATE'!$B$2:$H$826,6,FALSE),"")</f>
        <v/>
      </c>
      <c r="H259" s="3" t="str">
        <f>IFERROR(VLOOKUP($C259,'_METADATA_TEMPLATE'!$B$2:$H$826,7,FALSE),"")</f>
        <v/>
      </c>
      <c r="I259" s="3" t="str">
        <f>IFERROR(VLOOKUP(C259,'_METADATA_DEFAULT'!$A:$B,2,FALSE),"")</f>
        <v/>
      </c>
    </row>
    <row r="260" ht="15.75" customHeight="1">
      <c r="A260" s="2" t="s">
        <v>774</v>
      </c>
      <c r="B260" s="2" t="s">
        <v>234</v>
      </c>
      <c r="C260" s="2" t="s">
        <v>234</v>
      </c>
      <c r="D260" s="2" t="str">
        <f>IFERROR(VLOOKUP($C260,'_METADATA_TEMPLATE'!$B$2:$H$826,2,FALSE),"")</f>
        <v/>
      </c>
      <c r="E260" s="2" t="str">
        <f>IFERROR(VLOOKUP($C260,'_METADATA_TEMPLATE'!$B$2:$H$826,4,FALSE),"")</f>
        <v/>
      </c>
      <c r="F260" s="2" t="str">
        <f>IFERROR(VLOOKUP($C260,'_METADATA_TEMPLATE'!$B$2:$H$826,5,FALSE),"")</f>
        <v/>
      </c>
      <c r="G260" s="2" t="str">
        <f>IFERROR(VLOOKUP($C260,'_METADATA_TEMPLATE'!$B$2:$H$826,6,FALSE),"")</f>
        <v/>
      </c>
      <c r="H260" s="2" t="str">
        <f>IFERROR(VLOOKUP($C260,'_METADATA_TEMPLATE'!$B$2:$H$826,7,FALSE),"")</f>
        <v/>
      </c>
      <c r="I260" s="2" t="str">
        <f>IFERROR(VLOOKUP(C260,'_METADATA_DEFAULT'!$A:$B,2,FALSE),"")</f>
        <v/>
      </c>
    </row>
    <row r="261" ht="15.75" customHeight="1">
      <c r="A261" s="3" t="s">
        <v>774</v>
      </c>
      <c r="B261" s="3" t="s">
        <v>1900</v>
      </c>
      <c r="C261" s="3" t="s">
        <v>1900</v>
      </c>
      <c r="D261" s="3" t="str">
        <f>IFERROR(VLOOKUP($C261,'_METADATA_TEMPLATE'!$B$2:$H$826,2,FALSE),"")</f>
        <v/>
      </c>
      <c r="E261" s="3" t="str">
        <f>IFERROR(VLOOKUP($C261,'_METADATA_TEMPLATE'!$B$2:$H$826,4,FALSE),"")</f>
        <v/>
      </c>
      <c r="F261" s="3" t="str">
        <f>IFERROR(VLOOKUP($C261,'_METADATA_TEMPLATE'!$B$2:$H$826,5,FALSE),"")</f>
        <v/>
      </c>
      <c r="G261" s="3" t="str">
        <f>IFERROR(VLOOKUP($C261,'_METADATA_TEMPLATE'!$B$2:$H$826,6,FALSE),"")</f>
        <v/>
      </c>
      <c r="H261" s="3" t="str">
        <f>IFERROR(VLOOKUP($C261,'_METADATA_TEMPLATE'!$B$2:$H$826,7,FALSE),"")</f>
        <v/>
      </c>
      <c r="I261" s="3" t="str">
        <f>IFERROR(VLOOKUP(C261,'_METADATA_DEFAULT'!$A:$B,2,FALSE),"")</f>
        <v/>
      </c>
    </row>
    <row r="262" ht="15.75" customHeight="1">
      <c r="A262" s="2" t="s">
        <v>774</v>
      </c>
      <c r="B262" s="2" t="s">
        <v>75</v>
      </c>
      <c r="C262" s="2" t="s">
        <v>75</v>
      </c>
      <c r="D262" s="2" t="str">
        <f>IFERROR(VLOOKUP($C262,'_METADATA_TEMPLATE'!$B$2:$H$826,2,FALSE),"")</f>
        <v/>
      </c>
      <c r="E262" s="2" t="str">
        <f>IFERROR(VLOOKUP($C262,'_METADATA_TEMPLATE'!$B$2:$H$826,4,FALSE),"")</f>
        <v/>
      </c>
      <c r="F262" s="2" t="str">
        <f>IFERROR(VLOOKUP($C262,'_METADATA_TEMPLATE'!$B$2:$H$826,5,FALSE),"")</f>
        <v/>
      </c>
      <c r="G262" s="2" t="str">
        <f>IFERROR(VLOOKUP($C262,'_METADATA_TEMPLATE'!$B$2:$H$826,6,FALSE),"")</f>
        <v/>
      </c>
      <c r="H262" s="2" t="str">
        <f>IFERROR(VLOOKUP($C262,'_METADATA_TEMPLATE'!$B$2:$H$826,7,FALSE),"")</f>
        <v/>
      </c>
      <c r="I262" s="2" t="str">
        <f>IFERROR(VLOOKUP(C262,'_METADATA_DEFAULT'!$A:$B,2,FALSE),"")</f>
        <v>ID Periode Survei</v>
      </c>
    </row>
    <row r="263" ht="15.75" customHeight="1">
      <c r="A263" s="3" t="s">
        <v>774</v>
      </c>
      <c r="B263" s="3" t="s">
        <v>240</v>
      </c>
      <c r="C263" s="3" t="s">
        <v>240</v>
      </c>
      <c r="D263" s="3" t="str">
        <f>IFERROR(VLOOKUP($C263,'_METADATA_TEMPLATE'!$B$2:$H$826,2,FALSE),"")</f>
        <v/>
      </c>
      <c r="E263" s="3" t="str">
        <f>IFERROR(VLOOKUP($C263,'_METADATA_TEMPLATE'!$B$2:$H$826,4,FALSE),"")</f>
        <v/>
      </c>
      <c r="F263" s="3" t="str">
        <f>IFERROR(VLOOKUP($C263,'_METADATA_TEMPLATE'!$B$2:$H$826,5,FALSE),"")</f>
        <v/>
      </c>
      <c r="G263" s="3" t="str">
        <f>IFERROR(VLOOKUP($C263,'_METADATA_TEMPLATE'!$B$2:$H$826,6,FALSE),"")</f>
        <v/>
      </c>
      <c r="H263" s="3" t="str">
        <f>IFERROR(VLOOKUP($C263,'_METADATA_TEMPLATE'!$B$2:$H$826,7,FALSE),"")</f>
        <v/>
      </c>
      <c r="I263" s="3" t="str">
        <f>IFERROR(VLOOKUP(C263,'_METADATA_DEFAULT'!$A:$B,2,FALSE),"")</f>
        <v/>
      </c>
    </row>
    <row r="264" ht="15.75" customHeight="1">
      <c r="A264" s="2" t="s">
        <v>774</v>
      </c>
      <c r="B264" s="2" t="s">
        <v>1901</v>
      </c>
      <c r="C264" s="2" t="s">
        <v>1901</v>
      </c>
      <c r="D264" s="2" t="str">
        <f>IFERROR(VLOOKUP($C264,'_METADATA_TEMPLATE'!$B$2:$H$826,2,FALSE),"")</f>
        <v/>
      </c>
      <c r="E264" s="2" t="str">
        <f>IFERROR(VLOOKUP($C264,'_METADATA_TEMPLATE'!$B$2:$H$826,4,FALSE),"")</f>
        <v/>
      </c>
      <c r="F264" s="2" t="str">
        <f>IFERROR(VLOOKUP($C264,'_METADATA_TEMPLATE'!$B$2:$H$826,5,FALSE),"")</f>
        <v/>
      </c>
      <c r="G264" s="2" t="str">
        <f>IFERROR(VLOOKUP($C264,'_METADATA_TEMPLATE'!$B$2:$H$826,6,FALSE),"")</f>
        <v/>
      </c>
      <c r="H264" s="2" t="str">
        <f>IFERROR(VLOOKUP($C264,'_METADATA_TEMPLATE'!$B$2:$H$826,7,FALSE),"")</f>
        <v/>
      </c>
      <c r="I264" s="2" t="str">
        <f>IFERROR(VLOOKUP(C264,'_METADATA_DEFAULT'!$A:$B,2,FALSE),"")</f>
        <v/>
      </c>
    </row>
    <row r="265" ht="15.75" customHeight="1">
      <c r="A265" s="3" t="s">
        <v>774</v>
      </c>
      <c r="B265" s="3" t="s">
        <v>1902</v>
      </c>
      <c r="C265" s="3" t="s">
        <v>1902</v>
      </c>
      <c r="D265" s="3" t="str">
        <f>IFERROR(VLOOKUP($C265,'_METADATA_TEMPLATE'!$B$2:$H$826,2,FALSE),"")</f>
        <v/>
      </c>
      <c r="E265" s="3" t="str">
        <f>IFERROR(VLOOKUP($C265,'_METADATA_TEMPLATE'!$B$2:$H$826,4,FALSE),"")</f>
        <v/>
      </c>
      <c r="F265" s="3" t="str">
        <f>IFERROR(VLOOKUP($C265,'_METADATA_TEMPLATE'!$B$2:$H$826,5,FALSE),"")</f>
        <v/>
      </c>
      <c r="G265" s="3" t="str">
        <f>IFERROR(VLOOKUP($C265,'_METADATA_TEMPLATE'!$B$2:$H$826,6,FALSE),"")</f>
        <v/>
      </c>
      <c r="H265" s="3" t="str">
        <f>IFERROR(VLOOKUP($C265,'_METADATA_TEMPLATE'!$B$2:$H$826,7,FALSE),"")</f>
        <v/>
      </c>
      <c r="I265" s="3" t="str">
        <f>IFERROR(VLOOKUP(C265,'_METADATA_DEFAULT'!$A:$B,2,FALSE),"")</f>
        <v/>
      </c>
    </row>
    <row r="266" ht="15.75" customHeight="1">
      <c r="A266" s="2" t="s">
        <v>774</v>
      </c>
      <c r="B266" s="2" t="s">
        <v>1903</v>
      </c>
      <c r="C266" s="2" t="s">
        <v>1903</v>
      </c>
      <c r="D266" s="2" t="str">
        <f>IFERROR(VLOOKUP($C266,'_METADATA_TEMPLATE'!$B$2:$H$826,2,FALSE),"")</f>
        <v/>
      </c>
      <c r="E266" s="2" t="str">
        <f>IFERROR(VLOOKUP($C266,'_METADATA_TEMPLATE'!$B$2:$H$826,4,FALSE),"")</f>
        <v/>
      </c>
      <c r="F266" s="2" t="str">
        <f>IFERROR(VLOOKUP($C266,'_METADATA_TEMPLATE'!$B$2:$H$826,5,FALSE),"")</f>
        <v/>
      </c>
      <c r="G266" s="2" t="str">
        <f>IFERROR(VLOOKUP($C266,'_METADATA_TEMPLATE'!$B$2:$H$826,6,FALSE),"")</f>
        <v/>
      </c>
      <c r="H266" s="2" t="str">
        <f>IFERROR(VLOOKUP($C266,'_METADATA_TEMPLATE'!$B$2:$H$826,7,FALSE),"")</f>
        <v/>
      </c>
      <c r="I266" s="2" t="str">
        <f>IFERROR(VLOOKUP(C266,'_METADATA_DEFAULT'!$A:$B,2,FALSE),"")</f>
        <v/>
      </c>
    </row>
    <row r="267" ht="15.75" customHeight="1">
      <c r="A267" s="3" t="s">
        <v>774</v>
      </c>
      <c r="B267" s="3" t="s">
        <v>1904</v>
      </c>
      <c r="C267" s="3" t="s">
        <v>1904</v>
      </c>
      <c r="D267" s="3" t="str">
        <f>IFERROR(VLOOKUP($C267,'_METADATA_TEMPLATE'!$B$2:$H$826,2,FALSE),"")</f>
        <v/>
      </c>
      <c r="E267" s="3" t="str">
        <f>IFERROR(VLOOKUP($C267,'_METADATA_TEMPLATE'!$B$2:$H$826,4,FALSE),"")</f>
        <v/>
      </c>
      <c r="F267" s="3" t="str">
        <f>IFERROR(VLOOKUP($C267,'_METADATA_TEMPLATE'!$B$2:$H$826,5,FALSE),"")</f>
        <v/>
      </c>
      <c r="G267" s="3" t="str">
        <f>IFERROR(VLOOKUP($C267,'_METADATA_TEMPLATE'!$B$2:$H$826,6,FALSE),"")</f>
        <v/>
      </c>
      <c r="H267" s="3" t="str">
        <f>IFERROR(VLOOKUP($C267,'_METADATA_TEMPLATE'!$B$2:$H$826,7,FALSE),"")</f>
        <v/>
      </c>
      <c r="I267" s="3" t="str">
        <f>IFERROR(VLOOKUP(C267,'_METADATA_DEFAULT'!$A:$B,2,FALSE),"")</f>
        <v/>
      </c>
    </row>
    <row r="268" ht="15.75" customHeight="1">
      <c r="A268" s="2" t="s">
        <v>774</v>
      </c>
      <c r="B268" s="2" t="s">
        <v>1905</v>
      </c>
      <c r="C268" s="2" t="s">
        <v>1905</v>
      </c>
      <c r="D268" s="2" t="str">
        <f>IFERROR(VLOOKUP($C268,'_METADATA_TEMPLATE'!$B$2:$H$826,2,FALSE),"")</f>
        <v/>
      </c>
      <c r="E268" s="2" t="str">
        <f>IFERROR(VLOOKUP($C268,'_METADATA_TEMPLATE'!$B$2:$H$826,4,FALSE),"")</f>
        <v/>
      </c>
      <c r="F268" s="2" t="str">
        <f>IFERROR(VLOOKUP($C268,'_METADATA_TEMPLATE'!$B$2:$H$826,5,FALSE),"")</f>
        <v/>
      </c>
      <c r="G268" s="2" t="str">
        <f>IFERROR(VLOOKUP($C268,'_METADATA_TEMPLATE'!$B$2:$H$826,6,FALSE),"")</f>
        <v/>
      </c>
      <c r="H268" s="2" t="str">
        <f>IFERROR(VLOOKUP($C268,'_METADATA_TEMPLATE'!$B$2:$H$826,7,FALSE),"")</f>
        <v/>
      </c>
      <c r="I268" s="2" t="str">
        <f>IFERROR(VLOOKUP(C268,'_METADATA_DEFAULT'!$A:$B,2,FALSE),"")</f>
        <v/>
      </c>
    </row>
    <row r="269" ht="15.75" customHeight="1">
      <c r="A269" s="3" t="s">
        <v>774</v>
      </c>
      <c r="B269" s="3" t="s">
        <v>1906</v>
      </c>
      <c r="C269" s="3" t="s">
        <v>1906</v>
      </c>
      <c r="D269" s="3" t="str">
        <f>IFERROR(VLOOKUP($C269,'_METADATA_TEMPLATE'!$B$2:$H$826,2,FALSE),"")</f>
        <v/>
      </c>
      <c r="E269" s="3" t="str">
        <f>IFERROR(VLOOKUP($C269,'_METADATA_TEMPLATE'!$B$2:$H$826,4,FALSE),"")</f>
        <v/>
      </c>
      <c r="F269" s="3" t="str">
        <f>IFERROR(VLOOKUP($C269,'_METADATA_TEMPLATE'!$B$2:$H$826,5,FALSE),"")</f>
        <v/>
      </c>
      <c r="G269" s="3" t="str">
        <f>IFERROR(VLOOKUP($C269,'_METADATA_TEMPLATE'!$B$2:$H$826,6,FALSE),"")</f>
        <v/>
      </c>
      <c r="H269" s="3" t="str">
        <f>IFERROR(VLOOKUP($C269,'_METADATA_TEMPLATE'!$B$2:$H$826,7,FALSE),"")</f>
        <v/>
      </c>
      <c r="I269" s="3" t="str">
        <f>IFERROR(VLOOKUP(C269,'_METADATA_DEFAULT'!$A:$B,2,FALSE),"")</f>
        <v/>
      </c>
    </row>
    <row r="270" ht="15.75" customHeight="1">
      <c r="A270" s="2" t="s">
        <v>774</v>
      </c>
      <c r="B270" s="2" t="s">
        <v>1907</v>
      </c>
      <c r="C270" s="2" t="s">
        <v>1907</v>
      </c>
      <c r="D270" s="2" t="str">
        <f>IFERROR(VLOOKUP($C270,'_METADATA_TEMPLATE'!$B$2:$H$826,2,FALSE),"")</f>
        <v/>
      </c>
      <c r="E270" s="2" t="str">
        <f>IFERROR(VLOOKUP($C270,'_METADATA_TEMPLATE'!$B$2:$H$826,4,FALSE),"")</f>
        <v/>
      </c>
      <c r="F270" s="2" t="str">
        <f>IFERROR(VLOOKUP($C270,'_METADATA_TEMPLATE'!$B$2:$H$826,5,FALSE),"")</f>
        <v/>
      </c>
      <c r="G270" s="2" t="str">
        <f>IFERROR(VLOOKUP($C270,'_METADATA_TEMPLATE'!$B$2:$H$826,6,FALSE),"")</f>
        <v/>
      </c>
      <c r="H270" s="2" t="str">
        <f>IFERROR(VLOOKUP($C270,'_METADATA_TEMPLATE'!$B$2:$H$826,7,FALSE),"")</f>
        <v/>
      </c>
      <c r="I270" s="2" t="str">
        <f>IFERROR(VLOOKUP(C270,'_METADATA_DEFAULT'!$A:$B,2,FALSE),"")</f>
        <v/>
      </c>
    </row>
    <row r="271" ht="15.75" customHeight="1">
      <c r="A271" s="3" t="s">
        <v>774</v>
      </c>
      <c r="B271" s="3" t="s">
        <v>1908</v>
      </c>
      <c r="C271" s="3" t="s">
        <v>1908</v>
      </c>
      <c r="D271" s="3" t="str">
        <f>IFERROR(VLOOKUP($C271,'_METADATA_TEMPLATE'!$B$2:$H$826,2,FALSE),"")</f>
        <v/>
      </c>
      <c r="E271" s="3" t="str">
        <f>IFERROR(VLOOKUP($C271,'_METADATA_TEMPLATE'!$B$2:$H$826,4,FALSE),"")</f>
        <v/>
      </c>
      <c r="F271" s="3" t="str">
        <f>IFERROR(VLOOKUP($C271,'_METADATA_TEMPLATE'!$B$2:$H$826,5,FALSE),"")</f>
        <v/>
      </c>
      <c r="G271" s="3" t="str">
        <f>IFERROR(VLOOKUP($C271,'_METADATA_TEMPLATE'!$B$2:$H$826,6,FALSE),"")</f>
        <v/>
      </c>
      <c r="H271" s="3" t="str">
        <f>IFERROR(VLOOKUP($C271,'_METADATA_TEMPLATE'!$B$2:$H$826,7,FALSE),"")</f>
        <v/>
      </c>
      <c r="I271" s="3" t="str">
        <f>IFERROR(VLOOKUP(C271,'_METADATA_DEFAULT'!$A:$B,2,FALSE),"")</f>
        <v/>
      </c>
    </row>
    <row r="272" ht="15.75" customHeight="1">
      <c r="A272" s="2" t="s">
        <v>774</v>
      </c>
      <c r="B272" s="2" t="s">
        <v>1909</v>
      </c>
      <c r="C272" s="2" t="s">
        <v>1909</v>
      </c>
      <c r="D272" s="2" t="str">
        <f>IFERROR(VLOOKUP($C272,'_METADATA_TEMPLATE'!$B$2:$H$826,2,FALSE),"")</f>
        <v/>
      </c>
      <c r="E272" s="2" t="str">
        <f>IFERROR(VLOOKUP($C272,'_METADATA_TEMPLATE'!$B$2:$H$826,4,FALSE),"")</f>
        <v/>
      </c>
      <c r="F272" s="2" t="str">
        <f>IFERROR(VLOOKUP($C272,'_METADATA_TEMPLATE'!$B$2:$H$826,5,FALSE),"")</f>
        <v/>
      </c>
      <c r="G272" s="2" t="str">
        <f>IFERROR(VLOOKUP($C272,'_METADATA_TEMPLATE'!$B$2:$H$826,6,FALSE),"")</f>
        <v/>
      </c>
      <c r="H272" s="2" t="str">
        <f>IFERROR(VLOOKUP($C272,'_METADATA_TEMPLATE'!$B$2:$H$826,7,FALSE),"")</f>
        <v/>
      </c>
      <c r="I272" s="2" t="str">
        <f>IFERROR(VLOOKUP(C272,'_METADATA_DEFAULT'!$A:$B,2,FALSE),"")</f>
        <v/>
      </c>
    </row>
    <row r="273" ht="15.75" customHeight="1">
      <c r="A273" s="3" t="s">
        <v>774</v>
      </c>
      <c r="B273" s="3" t="s">
        <v>1910</v>
      </c>
      <c r="C273" s="3" t="s">
        <v>1910</v>
      </c>
      <c r="D273" s="3" t="str">
        <f>IFERROR(VLOOKUP($C273,'_METADATA_TEMPLATE'!$B$2:$H$826,2,FALSE),"")</f>
        <v/>
      </c>
      <c r="E273" s="3" t="str">
        <f>IFERROR(VLOOKUP($C273,'_METADATA_TEMPLATE'!$B$2:$H$826,4,FALSE),"")</f>
        <v/>
      </c>
      <c r="F273" s="3" t="str">
        <f>IFERROR(VLOOKUP($C273,'_METADATA_TEMPLATE'!$B$2:$H$826,5,FALSE),"")</f>
        <v/>
      </c>
      <c r="G273" s="3" t="str">
        <f>IFERROR(VLOOKUP($C273,'_METADATA_TEMPLATE'!$B$2:$H$826,6,FALSE),"")</f>
        <v/>
      </c>
      <c r="H273" s="3" t="str">
        <f>IFERROR(VLOOKUP($C273,'_METADATA_TEMPLATE'!$B$2:$H$826,7,FALSE),"")</f>
        <v/>
      </c>
      <c r="I273" s="3" t="str">
        <f>IFERROR(VLOOKUP(C273,'_METADATA_DEFAULT'!$A:$B,2,FALSE),"")</f>
        <v/>
      </c>
    </row>
    <row r="274" ht="15.75" customHeight="1">
      <c r="A274" s="2" t="s">
        <v>774</v>
      </c>
      <c r="B274" s="2" t="s">
        <v>1911</v>
      </c>
      <c r="C274" s="2" t="s">
        <v>1911</v>
      </c>
      <c r="D274" s="2" t="str">
        <f>IFERROR(VLOOKUP($C274,'_METADATA_TEMPLATE'!$B$2:$H$826,2,FALSE),"")</f>
        <v/>
      </c>
      <c r="E274" s="2" t="str">
        <f>IFERROR(VLOOKUP($C274,'_METADATA_TEMPLATE'!$B$2:$H$826,4,FALSE),"")</f>
        <v/>
      </c>
      <c r="F274" s="2" t="str">
        <f>IFERROR(VLOOKUP($C274,'_METADATA_TEMPLATE'!$B$2:$H$826,5,FALSE),"")</f>
        <v/>
      </c>
      <c r="G274" s="2" t="str">
        <f>IFERROR(VLOOKUP($C274,'_METADATA_TEMPLATE'!$B$2:$H$826,6,FALSE),"")</f>
        <v/>
      </c>
      <c r="H274" s="2" t="str">
        <f>IFERROR(VLOOKUP($C274,'_METADATA_TEMPLATE'!$B$2:$H$826,7,FALSE),"")</f>
        <v/>
      </c>
      <c r="I274" s="2" t="str">
        <f>IFERROR(VLOOKUP(C274,'_METADATA_DEFAULT'!$A:$B,2,FALSE),"")</f>
        <v/>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5.0"/>
    <col customWidth="1" min="3" max="4" width="10.0"/>
    <col customWidth="1" min="5" max="5" width="30.0"/>
    <col customWidth="1" min="6" max="6" width="14.0"/>
    <col customWidth="1" min="7" max="7" width="50.0"/>
    <col customWidth="1" min="8" max="8" width="20.0"/>
    <col customWidth="1" min="9" max="26" width="8.71"/>
  </cols>
  <sheetData>
    <row r="1" ht="30.0" customHeight="1">
      <c r="A1" s="4" t="s">
        <v>815</v>
      </c>
      <c r="B1" s="4" t="s">
        <v>317</v>
      </c>
      <c r="C1" s="4" t="s">
        <v>816</v>
      </c>
      <c r="D1" s="4" t="s">
        <v>817</v>
      </c>
      <c r="E1" s="4" t="s">
        <v>818</v>
      </c>
      <c r="F1" s="4" t="s">
        <v>819</v>
      </c>
      <c r="G1" s="4" t="s">
        <v>820</v>
      </c>
      <c r="H1" s="4" t="s">
        <v>821</v>
      </c>
    </row>
    <row r="2">
      <c r="A2" s="2" t="s">
        <v>822</v>
      </c>
      <c r="B2" s="2" t="s">
        <v>333</v>
      </c>
      <c r="C2" s="2">
        <v>1.0</v>
      </c>
      <c r="D2" s="2">
        <v>1.0</v>
      </c>
      <c r="E2" s="2" t="s">
        <v>823</v>
      </c>
      <c r="F2" s="2"/>
      <c r="G2" s="2" t="s">
        <v>824</v>
      </c>
      <c r="H2" s="2" t="s">
        <v>825</v>
      </c>
    </row>
    <row r="3">
      <c r="A3" s="3" t="s">
        <v>822</v>
      </c>
      <c r="B3" s="3" t="s">
        <v>334</v>
      </c>
      <c r="C3" s="3">
        <v>2.0</v>
      </c>
      <c r="D3" s="3">
        <v>2.0</v>
      </c>
      <c r="E3" s="3" t="s">
        <v>823</v>
      </c>
      <c r="F3" s="3"/>
      <c r="G3" s="3" t="s">
        <v>827</v>
      </c>
      <c r="H3" s="3" t="s">
        <v>825</v>
      </c>
    </row>
    <row r="4">
      <c r="A4" s="2" t="s">
        <v>822</v>
      </c>
      <c r="B4" s="2" t="s">
        <v>335</v>
      </c>
      <c r="C4" s="2">
        <v>3.0</v>
      </c>
      <c r="D4" s="2">
        <v>3.0</v>
      </c>
      <c r="E4" s="2" t="s">
        <v>823</v>
      </c>
      <c r="F4" s="2"/>
      <c r="G4" s="2" t="s">
        <v>829</v>
      </c>
      <c r="H4" s="2" t="s">
        <v>830</v>
      </c>
    </row>
    <row r="5">
      <c r="A5" s="3" t="s">
        <v>822</v>
      </c>
      <c r="B5" s="3" t="s">
        <v>336</v>
      </c>
      <c r="C5" s="3">
        <v>4.0</v>
      </c>
      <c r="D5" s="3">
        <v>4.0</v>
      </c>
      <c r="E5" s="3" t="s">
        <v>823</v>
      </c>
      <c r="F5" s="3"/>
      <c r="G5" s="3" t="s">
        <v>831</v>
      </c>
      <c r="H5" s="3" t="s">
        <v>825</v>
      </c>
    </row>
    <row r="6">
      <c r="A6" s="2" t="s">
        <v>822</v>
      </c>
      <c r="B6" s="2" t="s">
        <v>337</v>
      </c>
      <c r="C6" s="2">
        <v>5.0</v>
      </c>
      <c r="D6" s="2">
        <v>5.0</v>
      </c>
      <c r="E6" s="2" t="s">
        <v>823</v>
      </c>
      <c r="F6" s="2"/>
      <c r="G6" s="2" t="s">
        <v>832</v>
      </c>
      <c r="H6" s="2" t="s">
        <v>830</v>
      </c>
    </row>
    <row r="7">
      <c r="A7" s="3" t="s">
        <v>822</v>
      </c>
      <c r="B7" s="3" t="s">
        <v>338</v>
      </c>
      <c r="C7" s="3">
        <v>6.0</v>
      </c>
      <c r="D7" s="3">
        <v>6.0</v>
      </c>
      <c r="E7" s="3" t="s">
        <v>823</v>
      </c>
      <c r="F7" s="3"/>
      <c r="G7" s="3" t="s">
        <v>833</v>
      </c>
      <c r="H7" s="3" t="s">
        <v>825</v>
      </c>
    </row>
    <row r="8">
      <c r="A8" s="2" t="s">
        <v>822</v>
      </c>
      <c r="B8" s="2" t="s">
        <v>340</v>
      </c>
      <c r="C8" s="2">
        <v>7.0</v>
      </c>
      <c r="D8" s="2">
        <v>7.0</v>
      </c>
      <c r="E8" s="2" t="s">
        <v>823</v>
      </c>
      <c r="F8" s="2"/>
      <c r="G8" s="2" t="s">
        <v>836</v>
      </c>
      <c r="H8" s="2" t="s">
        <v>837</v>
      </c>
    </row>
    <row r="9">
      <c r="A9" s="3" t="s">
        <v>822</v>
      </c>
      <c r="B9" s="3" t="s">
        <v>342</v>
      </c>
      <c r="C9" s="3">
        <v>8.0</v>
      </c>
      <c r="D9" s="3">
        <v>8.0</v>
      </c>
      <c r="E9" s="3" t="s">
        <v>823</v>
      </c>
      <c r="F9" s="3"/>
      <c r="G9" s="3" t="s">
        <v>838</v>
      </c>
      <c r="H9" s="3" t="s">
        <v>830</v>
      </c>
    </row>
    <row r="10">
      <c r="A10" s="2" t="s">
        <v>822</v>
      </c>
      <c r="B10" s="2" t="s">
        <v>343</v>
      </c>
      <c r="C10" s="2">
        <v>9.0</v>
      </c>
      <c r="D10" s="2">
        <v>9.0</v>
      </c>
      <c r="E10" s="2" t="s">
        <v>823</v>
      </c>
      <c r="F10" s="2"/>
      <c r="G10" s="2" t="s">
        <v>839</v>
      </c>
      <c r="H10" s="2" t="s">
        <v>825</v>
      </c>
    </row>
    <row r="11">
      <c r="A11" s="3" t="s">
        <v>822</v>
      </c>
      <c r="B11" s="3" t="s">
        <v>345</v>
      </c>
      <c r="C11" s="3">
        <v>10.0</v>
      </c>
      <c r="D11" s="3">
        <v>10.0</v>
      </c>
      <c r="E11" s="3" t="s">
        <v>823</v>
      </c>
      <c r="F11" s="3"/>
      <c r="G11" s="3" t="s">
        <v>840</v>
      </c>
      <c r="H11" s="3" t="s">
        <v>841</v>
      </c>
    </row>
    <row r="12">
      <c r="A12" s="2" t="s">
        <v>822</v>
      </c>
      <c r="B12" s="2" t="s">
        <v>348</v>
      </c>
      <c r="C12" s="2">
        <v>11.0</v>
      </c>
      <c r="D12" s="2">
        <v>11.0</v>
      </c>
      <c r="E12" s="2" t="s">
        <v>823</v>
      </c>
      <c r="F12" s="2"/>
      <c r="G12" s="2" t="s">
        <v>843</v>
      </c>
      <c r="H12" s="2" t="s">
        <v>830</v>
      </c>
    </row>
    <row r="13">
      <c r="A13" s="3" t="s">
        <v>822</v>
      </c>
      <c r="B13" s="3" t="s">
        <v>349</v>
      </c>
      <c r="C13" s="3">
        <v>12.0</v>
      </c>
      <c r="D13" s="3">
        <v>12.0</v>
      </c>
      <c r="E13" s="3" t="s">
        <v>844</v>
      </c>
      <c r="F13" s="3" t="s">
        <v>845</v>
      </c>
      <c r="G13" s="3" t="s">
        <v>846</v>
      </c>
      <c r="H13" s="3" t="s">
        <v>847</v>
      </c>
    </row>
    <row r="14">
      <c r="A14" s="2" t="s">
        <v>822</v>
      </c>
      <c r="B14" s="2" t="s">
        <v>350</v>
      </c>
      <c r="C14" s="2">
        <v>13.0</v>
      </c>
      <c r="D14" s="2">
        <v>13.0</v>
      </c>
      <c r="E14" s="2" t="s">
        <v>844</v>
      </c>
      <c r="F14" s="2" t="s">
        <v>848</v>
      </c>
      <c r="G14" s="2" t="s">
        <v>849</v>
      </c>
      <c r="H14" s="2" t="s">
        <v>847</v>
      </c>
    </row>
    <row r="15">
      <c r="A15" s="3" t="s">
        <v>822</v>
      </c>
      <c r="B15" s="3" t="s">
        <v>351</v>
      </c>
      <c r="C15" s="3">
        <v>14.0</v>
      </c>
      <c r="D15" s="3">
        <v>14.0</v>
      </c>
      <c r="E15" s="3" t="s">
        <v>844</v>
      </c>
      <c r="F15" s="3" t="s">
        <v>852</v>
      </c>
      <c r="G15" s="3" t="s">
        <v>853</v>
      </c>
      <c r="H15" s="3" t="s">
        <v>847</v>
      </c>
    </row>
    <row r="16">
      <c r="A16" s="2" t="s">
        <v>822</v>
      </c>
      <c r="B16" s="2" t="s">
        <v>352</v>
      </c>
      <c r="C16" s="2">
        <v>15.0</v>
      </c>
      <c r="D16" s="2">
        <v>15.0</v>
      </c>
      <c r="E16" s="2" t="s">
        <v>844</v>
      </c>
      <c r="F16" s="2" t="s">
        <v>854</v>
      </c>
      <c r="G16" s="2" t="s">
        <v>855</v>
      </c>
      <c r="H16" s="2" t="s">
        <v>847</v>
      </c>
    </row>
    <row r="17">
      <c r="A17" s="3" t="s">
        <v>822</v>
      </c>
      <c r="B17" s="3" t="s">
        <v>354</v>
      </c>
      <c r="C17" s="3">
        <v>16.0</v>
      </c>
      <c r="D17" s="3">
        <v>16.0</v>
      </c>
      <c r="E17" s="3" t="s">
        <v>844</v>
      </c>
      <c r="F17" s="3"/>
      <c r="G17" s="3" t="s">
        <v>859</v>
      </c>
      <c r="H17" s="3" t="s">
        <v>837</v>
      </c>
    </row>
    <row r="18">
      <c r="A18" s="2" t="s">
        <v>822</v>
      </c>
      <c r="B18" s="2" t="s">
        <v>360</v>
      </c>
      <c r="C18" s="2">
        <v>17.0</v>
      </c>
      <c r="D18" s="2">
        <v>17.0</v>
      </c>
      <c r="E18" s="2" t="s">
        <v>844</v>
      </c>
      <c r="F18" s="2" t="s">
        <v>848</v>
      </c>
      <c r="G18" s="2" t="s">
        <v>849</v>
      </c>
      <c r="H18" s="2" t="s">
        <v>860</v>
      </c>
    </row>
    <row r="19">
      <c r="A19" s="3" t="s">
        <v>822</v>
      </c>
      <c r="B19" s="3" t="s">
        <v>363</v>
      </c>
      <c r="C19" s="3">
        <v>18.0</v>
      </c>
      <c r="D19" s="3">
        <v>18.0</v>
      </c>
      <c r="E19" s="3" t="s">
        <v>844</v>
      </c>
      <c r="F19" s="3" t="s">
        <v>852</v>
      </c>
      <c r="G19" s="3" t="s">
        <v>853</v>
      </c>
      <c r="H19" s="3" t="s">
        <v>860</v>
      </c>
    </row>
    <row r="20">
      <c r="A20" s="2" t="s">
        <v>822</v>
      </c>
      <c r="B20" s="2" t="s">
        <v>366</v>
      </c>
      <c r="C20" s="2">
        <v>19.0</v>
      </c>
      <c r="D20" s="2">
        <v>19.0</v>
      </c>
      <c r="E20" s="2" t="s">
        <v>844</v>
      </c>
      <c r="F20" s="2" t="s">
        <v>854</v>
      </c>
      <c r="G20" s="2" t="s">
        <v>855</v>
      </c>
      <c r="H20" s="2" t="s">
        <v>860</v>
      </c>
    </row>
    <row r="21" ht="15.75" customHeight="1">
      <c r="A21" s="3" t="s">
        <v>822</v>
      </c>
      <c r="B21" s="3" t="s">
        <v>368</v>
      </c>
      <c r="C21" s="3">
        <v>20.0</v>
      </c>
      <c r="D21" s="3">
        <v>20.0</v>
      </c>
      <c r="E21" s="3" t="s">
        <v>844</v>
      </c>
      <c r="F21" s="3" t="s">
        <v>863</v>
      </c>
      <c r="G21" s="3" t="s">
        <v>864</v>
      </c>
      <c r="H21" s="3" t="s">
        <v>847</v>
      </c>
    </row>
    <row r="22" ht="15.75" customHeight="1">
      <c r="A22" s="2" t="s">
        <v>822</v>
      </c>
      <c r="B22" s="2" t="s">
        <v>369</v>
      </c>
      <c r="C22" s="2">
        <v>21.0</v>
      </c>
      <c r="D22" s="2">
        <v>21.0</v>
      </c>
      <c r="E22" s="2" t="s">
        <v>844</v>
      </c>
      <c r="F22" s="2" t="s">
        <v>865</v>
      </c>
      <c r="G22" s="2" t="s">
        <v>866</v>
      </c>
      <c r="H22" s="2" t="s">
        <v>847</v>
      </c>
    </row>
    <row r="23" ht="15.75" customHeight="1">
      <c r="A23" s="3" t="s">
        <v>822</v>
      </c>
      <c r="B23" s="3" t="s">
        <v>370</v>
      </c>
      <c r="C23" s="3">
        <v>22.0</v>
      </c>
      <c r="D23" s="3">
        <v>22.0</v>
      </c>
      <c r="E23" s="3" t="s">
        <v>844</v>
      </c>
      <c r="F23" s="3" t="s">
        <v>867</v>
      </c>
      <c r="G23" s="3" t="s">
        <v>868</v>
      </c>
      <c r="H23" s="3" t="s">
        <v>847</v>
      </c>
    </row>
    <row r="24" ht="15.75" customHeight="1">
      <c r="A24" s="2" t="s">
        <v>822</v>
      </c>
      <c r="B24" s="2" t="s">
        <v>372</v>
      </c>
      <c r="C24" s="2">
        <v>23.0</v>
      </c>
      <c r="D24" s="2">
        <v>23.0</v>
      </c>
      <c r="E24" s="2" t="s">
        <v>844</v>
      </c>
      <c r="F24" s="2" t="s">
        <v>870</v>
      </c>
      <c r="G24" s="2" t="s">
        <v>871</v>
      </c>
      <c r="H24" s="2" t="s">
        <v>837</v>
      </c>
    </row>
    <row r="25" ht="15.75" customHeight="1">
      <c r="A25" s="3" t="s">
        <v>822</v>
      </c>
      <c r="B25" s="3" t="s">
        <v>377</v>
      </c>
      <c r="C25" s="3">
        <v>24.0</v>
      </c>
      <c r="D25" s="3">
        <v>24.0</v>
      </c>
      <c r="E25" s="3" t="s">
        <v>844</v>
      </c>
      <c r="F25" s="3" t="s">
        <v>872</v>
      </c>
      <c r="G25" s="3" t="s">
        <v>873</v>
      </c>
      <c r="H25" s="3" t="s">
        <v>847</v>
      </c>
    </row>
    <row r="26" ht="15.75" customHeight="1">
      <c r="A26" s="2" t="s">
        <v>822</v>
      </c>
      <c r="B26" s="2" t="s">
        <v>379</v>
      </c>
      <c r="C26" s="2">
        <v>25.0</v>
      </c>
      <c r="D26" s="2">
        <v>25.0</v>
      </c>
      <c r="E26" s="2" t="s">
        <v>844</v>
      </c>
      <c r="F26" s="2" t="s">
        <v>876</v>
      </c>
      <c r="G26" s="2" t="s">
        <v>877</v>
      </c>
      <c r="H26" s="2" t="s">
        <v>847</v>
      </c>
    </row>
    <row r="27" ht="15.75" customHeight="1">
      <c r="A27" s="3" t="s">
        <v>822</v>
      </c>
      <c r="B27" s="3" t="s">
        <v>380</v>
      </c>
      <c r="C27" s="3">
        <v>26.0</v>
      </c>
      <c r="D27" s="3">
        <v>26.0</v>
      </c>
      <c r="E27" s="3" t="s">
        <v>844</v>
      </c>
      <c r="F27" s="3"/>
      <c r="G27" s="3" t="s">
        <v>878</v>
      </c>
      <c r="H27" s="3" t="s">
        <v>830</v>
      </c>
    </row>
    <row r="28" ht="15.75" customHeight="1">
      <c r="A28" s="2" t="s">
        <v>822</v>
      </c>
      <c r="B28" s="2" t="s">
        <v>382</v>
      </c>
      <c r="C28" s="2">
        <v>27.0</v>
      </c>
      <c r="D28" s="2">
        <v>27.0</v>
      </c>
      <c r="E28" s="2" t="s">
        <v>844</v>
      </c>
      <c r="F28" s="2"/>
      <c r="G28" s="2" t="s">
        <v>879</v>
      </c>
      <c r="H28" s="2" t="s">
        <v>847</v>
      </c>
    </row>
    <row r="29" ht="15.75" customHeight="1">
      <c r="A29" s="3" t="s">
        <v>822</v>
      </c>
      <c r="B29" s="3" t="s">
        <v>385</v>
      </c>
      <c r="C29" s="3">
        <v>28.0</v>
      </c>
      <c r="D29" s="3">
        <v>28.0</v>
      </c>
      <c r="E29" s="3" t="s">
        <v>844</v>
      </c>
      <c r="F29" s="3"/>
      <c r="G29" s="3" t="s">
        <v>881</v>
      </c>
      <c r="H29" s="3" t="s">
        <v>837</v>
      </c>
    </row>
    <row r="30" ht="15.75" customHeight="1">
      <c r="A30" s="2" t="s">
        <v>822</v>
      </c>
      <c r="B30" s="2" t="s">
        <v>389</v>
      </c>
      <c r="C30" s="2">
        <v>29.0</v>
      </c>
      <c r="D30" s="2">
        <v>29.0</v>
      </c>
      <c r="E30" s="2" t="s">
        <v>882</v>
      </c>
      <c r="F30" s="2"/>
      <c r="G30" s="2" t="s">
        <v>883</v>
      </c>
      <c r="H30" s="2" t="s">
        <v>885</v>
      </c>
    </row>
    <row r="31" ht="15.75" customHeight="1">
      <c r="A31" s="3" t="s">
        <v>822</v>
      </c>
      <c r="B31" s="3" t="s">
        <v>391</v>
      </c>
      <c r="C31" s="3">
        <v>30.0</v>
      </c>
      <c r="D31" s="3">
        <v>30.0</v>
      </c>
      <c r="E31" s="3" t="s">
        <v>882</v>
      </c>
      <c r="F31" s="3"/>
      <c r="G31" s="3" t="s">
        <v>886</v>
      </c>
      <c r="H31" s="3" t="s">
        <v>837</v>
      </c>
    </row>
    <row r="32" ht="15.75" customHeight="1">
      <c r="A32" s="2" t="s">
        <v>822</v>
      </c>
      <c r="B32" s="2" t="s">
        <v>397</v>
      </c>
      <c r="C32" s="2">
        <v>31.0</v>
      </c>
      <c r="D32" s="2">
        <v>31.0</v>
      </c>
      <c r="E32" s="2" t="s">
        <v>882</v>
      </c>
      <c r="F32" s="2"/>
      <c r="G32" s="2" t="s">
        <v>887</v>
      </c>
      <c r="H32" s="2" t="s">
        <v>860</v>
      </c>
    </row>
    <row r="33" ht="15.75" customHeight="1">
      <c r="A33" s="3" t="s">
        <v>822</v>
      </c>
      <c r="B33" s="3" t="s">
        <v>401</v>
      </c>
      <c r="C33" s="3">
        <v>32.0</v>
      </c>
      <c r="D33" s="3">
        <v>32.0</v>
      </c>
      <c r="E33" s="3" t="s">
        <v>882</v>
      </c>
      <c r="F33" s="3"/>
      <c r="G33" s="3" t="s">
        <v>888</v>
      </c>
      <c r="H33" s="3" t="s">
        <v>885</v>
      </c>
    </row>
    <row r="34" ht="15.75" customHeight="1">
      <c r="A34" s="2" t="s">
        <v>822</v>
      </c>
      <c r="B34" s="2" t="s">
        <v>403</v>
      </c>
      <c r="C34" s="2">
        <v>33.0</v>
      </c>
      <c r="D34" s="2">
        <v>33.0</v>
      </c>
      <c r="E34" s="2" t="s">
        <v>882</v>
      </c>
      <c r="F34" s="2"/>
      <c r="G34" s="2" t="s">
        <v>890</v>
      </c>
      <c r="H34" s="2" t="s">
        <v>847</v>
      </c>
    </row>
    <row r="35" ht="15.75" customHeight="1">
      <c r="A35" s="3" t="s">
        <v>822</v>
      </c>
      <c r="B35" s="3" t="s">
        <v>404</v>
      </c>
      <c r="C35" s="3">
        <v>34.0</v>
      </c>
      <c r="D35" s="3">
        <v>34.0</v>
      </c>
      <c r="E35" s="3" t="s">
        <v>882</v>
      </c>
      <c r="F35" s="3"/>
      <c r="G35" s="3" t="s">
        <v>893</v>
      </c>
      <c r="H35" s="3" t="s">
        <v>847</v>
      </c>
    </row>
    <row r="36" ht="15.75" customHeight="1">
      <c r="A36" s="2" t="s">
        <v>822</v>
      </c>
      <c r="B36" s="2" t="s">
        <v>406</v>
      </c>
      <c r="C36" s="2">
        <v>35.0</v>
      </c>
      <c r="D36" s="2">
        <v>35.0</v>
      </c>
      <c r="E36" s="2" t="s">
        <v>882</v>
      </c>
      <c r="F36" s="2"/>
      <c r="G36" s="2" t="s">
        <v>894</v>
      </c>
      <c r="H36" s="2" t="s">
        <v>847</v>
      </c>
    </row>
    <row r="37" ht="15.75" customHeight="1">
      <c r="A37" s="3" t="s">
        <v>822</v>
      </c>
      <c r="B37" s="3" t="s">
        <v>409</v>
      </c>
      <c r="C37" s="3">
        <v>36.0</v>
      </c>
      <c r="D37" s="3">
        <v>36.0</v>
      </c>
      <c r="E37" s="3" t="s">
        <v>882</v>
      </c>
      <c r="F37" s="3"/>
      <c r="G37" s="3" t="s">
        <v>895</v>
      </c>
      <c r="H37" s="3" t="s">
        <v>847</v>
      </c>
    </row>
    <row r="38" ht="15.75" customHeight="1">
      <c r="A38" s="2" t="s">
        <v>822</v>
      </c>
      <c r="B38" s="2" t="s">
        <v>410</v>
      </c>
      <c r="C38" s="2">
        <v>37.0</v>
      </c>
      <c r="D38" s="2">
        <v>37.0</v>
      </c>
      <c r="E38" s="2" t="s">
        <v>882</v>
      </c>
      <c r="F38" s="2"/>
      <c r="G38" s="2" t="s">
        <v>897</v>
      </c>
      <c r="H38" s="2" t="s">
        <v>885</v>
      </c>
    </row>
    <row r="39" ht="15.75" customHeight="1">
      <c r="A39" s="3" t="s">
        <v>822</v>
      </c>
      <c r="B39" s="3" t="s">
        <v>412</v>
      </c>
      <c r="C39" s="3">
        <v>38.0</v>
      </c>
      <c r="D39" s="3">
        <v>38.0</v>
      </c>
      <c r="E39" s="3" t="s">
        <v>882</v>
      </c>
      <c r="F39" s="3"/>
      <c r="G39" s="3" t="s">
        <v>900</v>
      </c>
      <c r="H39" s="3" t="s">
        <v>847</v>
      </c>
    </row>
    <row r="40" ht="15.75" customHeight="1">
      <c r="A40" s="2" t="s">
        <v>822</v>
      </c>
      <c r="B40" s="2" t="s">
        <v>413</v>
      </c>
      <c r="C40" s="2">
        <v>39.0</v>
      </c>
      <c r="D40" s="2">
        <v>39.0</v>
      </c>
      <c r="E40" s="2" t="s">
        <v>882</v>
      </c>
      <c r="F40" s="2"/>
      <c r="G40" s="2" t="s">
        <v>902</v>
      </c>
      <c r="H40" s="2" t="s">
        <v>885</v>
      </c>
    </row>
    <row r="41" ht="15.75" customHeight="1">
      <c r="A41" s="3" t="s">
        <v>822</v>
      </c>
      <c r="B41" s="3" t="s">
        <v>415</v>
      </c>
      <c r="C41" s="3">
        <v>40.0</v>
      </c>
      <c r="D41" s="3">
        <v>40.0</v>
      </c>
      <c r="E41" s="3" t="s">
        <v>882</v>
      </c>
      <c r="F41" s="3"/>
      <c r="G41" s="3" t="s">
        <v>903</v>
      </c>
      <c r="H41" s="3" t="s">
        <v>847</v>
      </c>
    </row>
    <row r="42" ht="15.75" customHeight="1">
      <c r="A42" s="2" t="s">
        <v>822</v>
      </c>
      <c r="B42" s="2" t="s">
        <v>418</v>
      </c>
      <c r="C42" s="2">
        <v>41.0</v>
      </c>
      <c r="D42" s="2">
        <v>41.0</v>
      </c>
      <c r="E42" s="2" t="s">
        <v>882</v>
      </c>
      <c r="F42" s="2"/>
      <c r="G42" s="2" t="s">
        <v>905</v>
      </c>
      <c r="H42" s="2" t="s">
        <v>837</v>
      </c>
    </row>
    <row r="43" ht="15.75" customHeight="1">
      <c r="A43" s="3" t="s">
        <v>822</v>
      </c>
      <c r="B43" s="3" t="s">
        <v>422</v>
      </c>
      <c r="C43" s="3">
        <v>42.0</v>
      </c>
      <c r="D43" s="3">
        <v>42.0</v>
      </c>
      <c r="E43" s="3" t="s">
        <v>882</v>
      </c>
      <c r="F43" s="3"/>
      <c r="G43" s="3" t="s">
        <v>908</v>
      </c>
      <c r="H43" s="3" t="s">
        <v>837</v>
      </c>
    </row>
    <row r="44" ht="15.75" customHeight="1">
      <c r="A44" s="2" t="s">
        <v>822</v>
      </c>
      <c r="B44" s="2" t="s">
        <v>425</v>
      </c>
      <c r="C44" s="2">
        <v>43.0</v>
      </c>
      <c r="D44" s="2">
        <v>43.0</v>
      </c>
      <c r="E44" s="2" t="s">
        <v>882</v>
      </c>
      <c r="F44" s="2"/>
      <c r="G44" s="2" t="s">
        <v>910</v>
      </c>
      <c r="H44" s="2" t="s">
        <v>830</v>
      </c>
    </row>
    <row r="45" ht="15.75" customHeight="1">
      <c r="A45" s="3" t="s">
        <v>822</v>
      </c>
      <c r="B45" s="3" t="s">
        <v>427</v>
      </c>
      <c r="C45" s="3">
        <v>44.0</v>
      </c>
      <c r="D45" s="3">
        <v>44.0</v>
      </c>
      <c r="E45" s="3" t="s">
        <v>882</v>
      </c>
      <c r="F45" s="3"/>
      <c r="G45" s="3" t="s">
        <v>878</v>
      </c>
      <c r="H45" s="3" t="s">
        <v>830</v>
      </c>
    </row>
    <row r="46" ht="15.75" customHeight="1">
      <c r="A46" s="2" t="s">
        <v>822</v>
      </c>
      <c r="B46" s="2" t="s">
        <v>429</v>
      </c>
      <c r="C46" s="2">
        <v>45.0</v>
      </c>
      <c r="D46" s="2">
        <v>45.0</v>
      </c>
      <c r="E46" s="2" t="s">
        <v>882</v>
      </c>
      <c r="F46" s="2"/>
      <c r="G46" s="2" t="s">
        <v>879</v>
      </c>
      <c r="H46" s="2" t="s">
        <v>847</v>
      </c>
    </row>
    <row r="47" ht="15.75" customHeight="1">
      <c r="A47" s="3" t="s">
        <v>822</v>
      </c>
      <c r="B47" s="3" t="s">
        <v>431</v>
      </c>
      <c r="C47" s="3">
        <v>46.0</v>
      </c>
      <c r="D47" s="3">
        <v>46.0</v>
      </c>
      <c r="E47" s="3" t="s">
        <v>882</v>
      </c>
      <c r="F47" s="3"/>
      <c r="G47" s="3" t="s">
        <v>913</v>
      </c>
      <c r="H47" s="3" t="s">
        <v>837</v>
      </c>
    </row>
    <row r="48" ht="15.75" customHeight="1">
      <c r="A48" s="2" t="s">
        <v>822</v>
      </c>
      <c r="B48" s="2" t="s">
        <v>914</v>
      </c>
      <c r="C48" s="2">
        <v>47.0</v>
      </c>
      <c r="D48" s="2">
        <v>47.0</v>
      </c>
      <c r="E48" s="2" t="s">
        <v>882</v>
      </c>
      <c r="F48" s="2"/>
      <c r="G48" s="2" t="s">
        <v>915</v>
      </c>
      <c r="H48" s="2" t="s">
        <v>860</v>
      </c>
    </row>
    <row r="49" ht="15.75" customHeight="1">
      <c r="A49" s="3" t="s">
        <v>822</v>
      </c>
      <c r="B49" s="3" t="s">
        <v>434</v>
      </c>
      <c r="C49" s="3">
        <v>48.0</v>
      </c>
      <c r="D49" s="3">
        <v>48.0</v>
      </c>
      <c r="E49" s="3" t="s">
        <v>882</v>
      </c>
      <c r="F49" s="3"/>
      <c r="G49" s="3" t="s">
        <v>917</v>
      </c>
      <c r="H49" s="3" t="s">
        <v>885</v>
      </c>
    </row>
    <row r="50" ht="15.75" customHeight="1">
      <c r="A50" s="2" t="s">
        <v>822</v>
      </c>
      <c r="B50" s="2" t="s">
        <v>436</v>
      </c>
      <c r="C50" s="2">
        <v>49.0</v>
      </c>
      <c r="D50" s="2">
        <v>49.0</v>
      </c>
      <c r="E50" s="2" t="s">
        <v>882</v>
      </c>
      <c r="F50" s="2"/>
      <c r="G50" s="2" t="s">
        <v>918</v>
      </c>
      <c r="H50" s="2" t="s">
        <v>919</v>
      </c>
    </row>
    <row r="51" ht="15.75" customHeight="1">
      <c r="A51" s="3" t="s">
        <v>822</v>
      </c>
      <c r="B51" s="3" t="s">
        <v>439</v>
      </c>
      <c r="C51" s="3">
        <v>50.0</v>
      </c>
      <c r="D51" s="3">
        <v>50.0</v>
      </c>
      <c r="E51" s="3" t="s">
        <v>882</v>
      </c>
      <c r="F51" s="3"/>
      <c r="G51" s="3" t="s">
        <v>921</v>
      </c>
      <c r="H51" s="3" t="s">
        <v>837</v>
      </c>
    </row>
    <row r="52" ht="15.75" customHeight="1">
      <c r="A52" s="2" t="s">
        <v>822</v>
      </c>
      <c r="B52" s="2" t="s">
        <v>443</v>
      </c>
      <c r="C52" s="2">
        <v>51.0</v>
      </c>
      <c r="D52" s="2">
        <v>51.0</v>
      </c>
      <c r="E52" s="2" t="s">
        <v>882</v>
      </c>
      <c r="F52" s="2"/>
      <c r="G52" s="2" t="s">
        <v>922</v>
      </c>
      <c r="H52" s="2" t="s">
        <v>841</v>
      </c>
    </row>
    <row r="53" ht="15.75" customHeight="1">
      <c r="A53" s="3" t="s">
        <v>822</v>
      </c>
      <c r="B53" s="3" t="s">
        <v>449</v>
      </c>
      <c r="C53" s="3">
        <v>52.0</v>
      </c>
      <c r="D53" s="3">
        <v>52.0</v>
      </c>
      <c r="E53" s="3" t="s">
        <v>882</v>
      </c>
      <c r="F53" s="3"/>
      <c r="G53" s="3" t="s">
        <v>924</v>
      </c>
      <c r="H53" s="3" t="s">
        <v>925</v>
      </c>
    </row>
    <row r="54" ht="15.75" customHeight="1">
      <c r="A54" s="2" t="s">
        <v>822</v>
      </c>
      <c r="B54" s="2" t="s">
        <v>455</v>
      </c>
      <c r="C54" s="2">
        <v>53.0</v>
      </c>
      <c r="D54" s="2">
        <v>53.0</v>
      </c>
      <c r="E54" s="2" t="s">
        <v>882</v>
      </c>
      <c r="F54" s="2"/>
      <c r="G54" s="2" t="s">
        <v>927</v>
      </c>
      <c r="H54" s="2" t="s">
        <v>919</v>
      </c>
    </row>
    <row r="55" ht="15.75" customHeight="1">
      <c r="A55" s="3" t="s">
        <v>822</v>
      </c>
      <c r="B55" s="3" t="s">
        <v>458</v>
      </c>
      <c r="C55" s="3">
        <v>54.0</v>
      </c>
      <c r="D55" s="3">
        <v>54.0</v>
      </c>
      <c r="E55" s="3" t="s">
        <v>882</v>
      </c>
      <c r="F55" s="3"/>
      <c r="G55" s="3" t="s">
        <v>928</v>
      </c>
      <c r="H55" s="3" t="s">
        <v>847</v>
      </c>
    </row>
    <row r="56" ht="15.75" customHeight="1">
      <c r="A56" s="2" t="s">
        <v>822</v>
      </c>
      <c r="B56" s="2" t="s">
        <v>460</v>
      </c>
      <c r="C56" s="2">
        <v>55.0</v>
      </c>
      <c r="D56" s="2">
        <v>55.0</v>
      </c>
      <c r="E56" s="2" t="s">
        <v>882</v>
      </c>
      <c r="F56" s="2"/>
      <c r="G56" s="2" t="s">
        <v>931</v>
      </c>
      <c r="H56" s="2" t="s">
        <v>837</v>
      </c>
    </row>
    <row r="57" ht="15.75" customHeight="1">
      <c r="A57" s="3" t="s">
        <v>822</v>
      </c>
      <c r="B57" s="3" t="s">
        <v>465</v>
      </c>
      <c r="C57" s="3">
        <v>56.0</v>
      </c>
      <c r="D57" s="3">
        <v>56.0</v>
      </c>
      <c r="E57" s="3" t="s">
        <v>882</v>
      </c>
      <c r="F57" s="3"/>
      <c r="G57" s="3" t="s">
        <v>933</v>
      </c>
      <c r="H57" s="3" t="s">
        <v>837</v>
      </c>
    </row>
    <row r="58" ht="15.75" customHeight="1">
      <c r="A58" s="2" t="s">
        <v>822</v>
      </c>
      <c r="B58" s="2" t="s">
        <v>470</v>
      </c>
      <c r="C58" s="2">
        <v>57.0</v>
      </c>
      <c r="D58" s="2">
        <v>57.0</v>
      </c>
      <c r="E58" s="2" t="s">
        <v>882</v>
      </c>
      <c r="F58" s="2"/>
      <c r="G58" s="2" t="s">
        <v>935</v>
      </c>
      <c r="H58" s="2" t="s">
        <v>837</v>
      </c>
    </row>
    <row r="59" ht="15.75" customHeight="1">
      <c r="A59" s="3" t="s">
        <v>822</v>
      </c>
      <c r="B59" s="3" t="s">
        <v>475</v>
      </c>
      <c r="C59" s="3">
        <v>58.0</v>
      </c>
      <c r="D59" s="3">
        <v>58.0</v>
      </c>
      <c r="E59" s="3" t="s">
        <v>882</v>
      </c>
      <c r="F59" s="3"/>
      <c r="G59" s="3" t="s">
        <v>936</v>
      </c>
      <c r="H59" s="3" t="s">
        <v>837</v>
      </c>
    </row>
    <row r="60" ht="15.75" customHeight="1">
      <c r="A60" s="2" t="s">
        <v>822</v>
      </c>
      <c r="B60" s="2" t="s">
        <v>480</v>
      </c>
      <c r="C60" s="2">
        <v>59.0</v>
      </c>
      <c r="D60" s="2">
        <v>59.0</v>
      </c>
      <c r="E60" s="2" t="s">
        <v>882</v>
      </c>
      <c r="F60" s="2"/>
      <c r="G60" s="2" t="s">
        <v>937</v>
      </c>
      <c r="H60" s="2" t="s">
        <v>837</v>
      </c>
    </row>
    <row r="61" ht="15.75" customHeight="1">
      <c r="A61" s="3" t="s">
        <v>822</v>
      </c>
      <c r="B61" s="3" t="s">
        <v>486</v>
      </c>
      <c r="C61" s="3">
        <v>60.0</v>
      </c>
      <c r="D61" s="3">
        <v>60.0</v>
      </c>
      <c r="E61" s="3" t="s">
        <v>882</v>
      </c>
      <c r="F61" s="3"/>
      <c r="G61" s="3" t="s">
        <v>939</v>
      </c>
      <c r="H61" s="3" t="s">
        <v>837</v>
      </c>
    </row>
    <row r="62" ht="15.75" customHeight="1">
      <c r="A62" s="2" t="s">
        <v>822</v>
      </c>
      <c r="B62" s="2" t="s">
        <v>490</v>
      </c>
      <c r="C62" s="2">
        <v>61.0</v>
      </c>
      <c r="D62" s="2">
        <v>61.0</v>
      </c>
      <c r="E62" s="2" t="s">
        <v>882</v>
      </c>
      <c r="F62" s="2"/>
      <c r="G62" s="2" t="s">
        <v>941</v>
      </c>
      <c r="H62" s="2" t="s">
        <v>837</v>
      </c>
    </row>
    <row r="63" ht="15.75" customHeight="1">
      <c r="A63" s="3" t="s">
        <v>822</v>
      </c>
      <c r="B63" s="3" t="s">
        <v>496</v>
      </c>
      <c r="C63" s="3">
        <v>62.0</v>
      </c>
      <c r="D63" s="3">
        <v>62.0</v>
      </c>
      <c r="E63" s="3" t="s">
        <v>882</v>
      </c>
      <c r="F63" s="3"/>
      <c r="G63" s="3" t="s">
        <v>944</v>
      </c>
      <c r="H63" s="3" t="s">
        <v>837</v>
      </c>
    </row>
    <row r="64" ht="15.75" customHeight="1">
      <c r="A64" s="2" t="s">
        <v>822</v>
      </c>
      <c r="B64" s="2" t="s">
        <v>502</v>
      </c>
      <c r="C64" s="2">
        <v>63.0</v>
      </c>
      <c r="D64" s="2">
        <v>63.0</v>
      </c>
      <c r="E64" s="2" t="s">
        <v>882</v>
      </c>
      <c r="F64" s="2"/>
      <c r="G64" s="2" t="s">
        <v>945</v>
      </c>
      <c r="H64" s="2" t="s">
        <v>837</v>
      </c>
    </row>
    <row r="65" ht="15.75" customHeight="1">
      <c r="A65" s="3" t="s">
        <v>822</v>
      </c>
      <c r="B65" s="3" t="s">
        <v>507</v>
      </c>
      <c r="C65" s="3">
        <v>64.0</v>
      </c>
      <c r="D65" s="3">
        <v>64.0</v>
      </c>
      <c r="E65" s="3" t="s">
        <v>882</v>
      </c>
      <c r="F65" s="3"/>
      <c r="G65" s="3" t="s">
        <v>947</v>
      </c>
      <c r="H65" s="3" t="s">
        <v>837</v>
      </c>
    </row>
    <row r="66" ht="15.75" customHeight="1">
      <c r="A66" s="2" t="s">
        <v>822</v>
      </c>
      <c r="B66" s="2" t="s">
        <v>513</v>
      </c>
      <c r="C66" s="2">
        <v>65.0</v>
      </c>
      <c r="D66" s="2">
        <v>65.0</v>
      </c>
      <c r="E66" s="2" t="s">
        <v>882</v>
      </c>
      <c r="F66" s="2"/>
      <c r="G66" s="2" t="s">
        <v>949</v>
      </c>
      <c r="H66" s="2" t="s">
        <v>837</v>
      </c>
    </row>
    <row r="67" ht="15.75" customHeight="1">
      <c r="A67" s="3" t="s">
        <v>822</v>
      </c>
      <c r="B67" s="3" t="s">
        <v>519</v>
      </c>
      <c r="C67" s="3">
        <v>66.0</v>
      </c>
      <c r="D67" s="3">
        <v>66.0</v>
      </c>
      <c r="E67" s="3" t="s">
        <v>882</v>
      </c>
      <c r="F67" s="3"/>
      <c r="G67" s="3" t="s">
        <v>951</v>
      </c>
      <c r="H67" s="3" t="s">
        <v>837</v>
      </c>
    </row>
    <row r="68" ht="15.75" customHeight="1">
      <c r="A68" s="2" t="s">
        <v>822</v>
      </c>
      <c r="B68" s="2" t="s">
        <v>525</v>
      </c>
      <c r="C68" s="2">
        <v>67.0</v>
      </c>
      <c r="D68" s="2">
        <v>67.0</v>
      </c>
      <c r="E68" s="2" t="s">
        <v>882</v>
      </c>
      <c r="F68" s="2"/>
      <c r="G68" s="2" t="s">
        <v>952</v>
      </c>
      <c r="H68" s="2" t="s">
        <v>837</v>
      </c>
    </row>
    <row r="69" ht="15.75" customHeight="1">
      <c r="A69" s="3" t="s">
        <v>822</v>
      </c>
      <c r="B69" s="3" t="s">
        <v>531</v>
      </c>
      <c r="C69" s="3">
        <v>68.0</v>
      </c>
      <c r="D69" s="3">
        <v>68.0</v>
      </c>
      <c r="E69" s="3" t="s">
        <v>882</v>
      </c>
      <c r="F69" s="3"/>
      <c r="G69" s="3" t="s">
        <v>953</v>
      </c>
      <c r="H69" s="3" t="s">
        <v>885</v>
      </c>
    </row>
    <row r="70" ht="15.75" customHeight="1">
      <c r="A70" s="2" t="s">
        <v>822</v>
      </c>
      <c r="B70" s="2" t="s">
        <v>954</v>
      </c>
      <c r="C70" s="2">
        <v>69.0</v>
      </c>
      <c r="D70" s="2">
        <v>69.0</v>
      </c>
      <c r="E70" s="2" t="s">
        <v>955</v>
      </c>
      <c r="F70" s="2"/>
      <c r="G70" s="2" t="s">
        <v>956</v>
      </c>
      <c r="H70" s="2" t="s">
        <v>957</v>
      </c>
    </row>
    <row r="71" ht="15.75" customHeight="1">
      <c r="A71" s="3" t="s">
        <v>822</v>
      </c>
      <c r="B71" s="3" t="s">
        <v>97</v>
      </c>
      <c r="C71" s="3">
        <v>70.0</v>
      </c>
      <c r="D71" s="3">
        <v>70.0</v>
      </c>
      <c r="E71" s="3" t="s">
        <v>955</v>
      </c>
      <c r="F71" s="3" t="s">
        <v>865</v>
      </c>
      <c r="G71" s="3" t="s">
        <v>959</v>
      </c>
      <c r="H71" s="3" t="s">
        <v>885</v>
      </c>
    </row>
    <row r="72" ht="15.75" customHeight="1">
      <c r="A72" s="2" t="s">
        <v>822</v>
      </c>
      <c r="B72" s="2" t="s">
        <v>960</v>
      </c>
      <c r="C72" s="2">
        <v>71.0</v>
      </c>
      <c r="D72" s="2">
        <v>71.0</v>
      </c>
      <c r="E72" s="2" t="s">
        <v>955</v>
      </c>
      <c r="F72" s="2" t="s">
        <v>865</v>
      </c>
      <c r="G72" s="2" t="s">
        <v>964</v>
      </c>
      <c r="H72" s="2" t="s">
        <v>847</v>
      </c>
    </row>
    <row r="73" ht="15.75" customHeight="1">
      <c r="A73" s="3" t="s">
        <v>822</v>
      </c>
      <c r="B73" s="3" t="s">
        <v>101</v>
      </c>
      <c r="C73" s="3">
        <v>72.0</v>
      </c>
      <c r="D73" s="3">
        <v>72.0</v>
      </c>
      <c r="E73" s="3" t="s">
        <v>955</v>
      </c>
      <c r="F73" s="3" t="s">
        <v>867</v>
      </c>
      <c r="G73" s="3" t="s">
        <v>965</v>
      </c>
      <c r="H73" s="3" t="s">
        <v>847</v>
      </c>
    </row>
    <row r="74" ht="15.75" customHeight="1">
      <c r="A74" s="2" t="s">
        <v>822</v>
      </c>
      <c r="B74" s="2" t="s">
        <v>966</v>
      </c>
      <c r="C74" s="2">
        <v>73.0</v>
      </c>
      <c r="D74" s="2">
        <v>73.0</v>
      </c>
      <c r="E74" s="2" t="s">
        <v>955</v>
      </c>
      <c r="F74" s="2"/>
      <c r="G74" s="2" t="s">
        <v>967</v>
      </c>
      <c r="H74" s="2" t="s">
        <v>885</v>
      </c>
    </row>
    <row r="75" ht="15.75" customHeight="1">
      <c r="A75" s="3" t="s">
        <v>822</v>
      </c>
      <c r="B75" s="3" t="s">
        <v>106</v>
      </c>
      <c r="C75" s="3">
        <v>74.0</v>
      </c>
      <c r="D75" s="3">
        <v>74.0</v>
      </c>
      <c r="E75" s="3" t="s">
        <v>955</v>
      </c>
      <c r="F75" s="3" t="s">
        <v>870</v>
      </c>
      <c r="G75" s="3" t="s">
        <v>968</v>
      </c>
      <c r="H75" s="3" t="s">
        <v>837</v>
      </c>
    </row>
    <row r="76" ht="15.75" customHeight="1">
      <c r="A76" s="2" t="s">
        <v>822</v>
      </c>
      <c r="B76" s="2" t="s">
        <v>116</v>
      </c>
      <c r="C76" s="2">
        <v>75.0</v>
      </c>
      <c r="D76" s="2">
        <v>75.0</v>
      </c>
      <c r="E76" s="2" t="s">
        <v>955</v>
      </c>
      <c r="F76" s="2" t="s">
        <v>872</v>
      </c>
      <c r="G76" s="2" t="s">
        <v>969</v>
      </c>
      <c r="H76" s="2" t="s">
        <v>837</v>
      </c>
    </row>
    <row r="77" ht="15.75" customHeight="1">
      <c r="A77" s="3" t="s">
        <v>822</v>
      </c>
      <c r="B77" s="3" t="s">
        <v>125</v>
      </c>
      <c r="C77" s="3">
        <v>76.0</v>
      </c>
      <c r="D77" s="3">
        <v>76.0</v>
      </c>
      <c r="E77" s="3" t="s">
        <v>955</v>
      </c>
      <c r="F77" s="3" t="s">
        <v>872</v>
      </c>
      <c r="G77" s="3" t="s">
        <v>972</v>
      </c>
      <c r="H77" s="3" t="s">
        <v>837</v>
      </c>
    </row>
    <row r="78" ht="15.75" customHeight="1">
      <c r="A78" s="2" t="s">
        <v>822</v>
      </c>
      <c r="B78" s="2" t="s">
        <v>131</v>
      </c>
      <c r="C78" s="2">
        <v>77.0</v>
      </c>
      <c r="D78" s="2">
        <v>77.0</v>
      </c>
      <c r="E78" s="2" t="s">
        <v>955</v>
      </c>
      <c r="F78" s="2" t="s">
        <v>973</v>
      </c>
      <c r="G78" s="2" t="s">
        <v>846</v>
      </c>
      <c r="H78" s="2" t="s">
        <v>860</v>
      </c>
    </row>
    <row r="79" ht="15.75" customHeight="1">
      <c r="A79" s="3" t="s">
        <v>822</v>
      </c>
      <c r="B79" s="3" t="s">
        <v>139</v>
      </c>
      <c r="C79" s="3">
        <v>78.0</v>
      </c>
      <c r="D79" s="3">
        <v>78.0</v>
      </c>
      <c r="E79" s="3" t="s">
        <v>955</v>
      </c>
      <c r="F79" s="3" t="s">
        <v>974</v>
      </c>
      <c r="G79" s="3" t="s">
        <v>849</v>
      </c>
      <c r="H79" s="3" t="s">
        <v>860</v>
      </c>
    </row>
    <row r="80" ht="15.75" customHeight="1">
      <c r="A80" s="2" t="s">
        <v>822</v>
      </c>
      <c r="B80" s="2" t="s">
        <v>147</v>
      </c>
      <c r="C80" s="2">
        <v>79.0</v>
      </c>
      <c r="D80" s="2">
        <v>79.0</v>
      </c>
      <c r="E80" s="2" t="s">
        <v>955</v>
      </c>
      <c r="F80" s="2" t="s">
        <v>977</v>
      </c>
      <c r="G80" s="2" t="s">
        <v>979</v>
      </c>
      <c r="H80" s="2" t="s">
        <v>860</v>
      </c>
    </row>
    <row r="81" ht="15.75" customHeight="1">
      <c r="A81" s="3" t="s">
        <v>822</v>
      </c>
      <c r="B81" s="3" t="s">
        <v>155</v>
      </c>
      <c r="C81" s="3">
        <v>80.0</v>
      </c>
      <c r="D81" s="3">
        <v>80.0</v>
      </c>
      <c r="E81" s="3" t="s">
        <v>955</v>
      </c>
      <c r="F81" s="3" t="s">
        <v>981</v>
      </c>
      <c r="G81" s="3" t="s">
        <v>982</v>
      </c>
      <c r="H81" s="3" t="s">
        <v>837</v>
      </c>
    </row>
    <row r="82" ht="15.75" customHeight="1">
      <c r="A82" s="2" t="s">
        <v>822</v>
      </c>
      <c r="B82" s="2" t="s">
        <v>164</v>
      </c>
      <c r="C82" s="2">
        <v>81.0</v>
      </c>
      <c r="D82" s="2">
        <v>81.0</v>
      </c>
      <c r="E82" s="2" t="s">
        <v>955</v>
      </c>
      <c r="F82" s="2" t="s">
        <v>983</v>
      </c>
      <c r="G82" s="2" t="s">
        <v>984</v>
      </c>
      <c r="H82" s="2" t="s">
        <v>837</v>
      </c>
    </row>
    <row r="83" ht="15.75" customHeight="1">
      <c r="A83" s="3" t="s">
        <v>822</v>
      </c>
      <c r="B83" s="3" t="s">
        <v>171</v>
      </c>
      <c r="C83" s="3">
        <v>82.0</v>
      </c>
      <c r="D83" s="3">
        <v>82.0</v>
      </c>
      <c r="E83" s="3" t="s">
        <v>955</v>
      </c>
      <c r="F83" s="3"/>
      <c r="G83" s="3" t="s">
        <v>986</v>
      </c>
      <c r="H83" s="3" t="s">
        <v>847</v>
      </c>
    </row>
    <row r="84" ht="15.75" customHeight="1">
      <c r="A84" s="2" t="s">
        <v>822</v>
      </c>
      <c r="B84" s="2" t="s">
        <v>175</v>
      </c>
      <c r="C84" s="2">
        <v>83.0</v>
      </c>
      <c r="D84" s="2">
        <v>83.0</v>
      </c>
      <c r="E84" s="2" t="s">
        <v>955</v>
      </c>
      <c r="F84" s="2"/>
      <c r="G84" s="2" t="s">
        <v>988</v>
      </c>
      <c r="H84" s="2" t="s">
        <v>860</v>
      </c>
    </row>
    <row r="85" ht="15.75" customHeight="1">
      <c r="A85" s="3" t="s">
        <v>822</v>
      </c>
      <c r="B85" s="3" t="s">
        <v>182</v>
      </c>
      <c r="C85" s="3">
        <v>84.0</v>
      </c>
      <c r="D85" s="3">
        <v>84.0</v>
      </c>
      <c r="E85" s="3" t="s">
        <v>955</v>
      </c>
      <c r="F85" s="3"/>
      <c r="G85" s="3" t="s">
        <v>989</v>
      </c>
      <c r="H85" s="3" t="s">
        <v>990</v>
      </c>
    </row>
    <row r="86" ht="15.75" customHeight="1">
      <c r="A86" s="2" t="s">
        <v>822</v>
      </c>
      <c r="B86" s="2" t="s">
        <v>185</v>
      </c>
      <c r="C86" s="2">
        <v>85.0</v>
      </c>
      <c r="D86" s="2">
        <v>85.0</v>
      </c>
      <c r="E86" s="2" t="s">
        <v>955</v>
      </c>
      <c r="F86" s="2" t="s">
        <v>991</v>
      </c>
      <c r="G86" s="2" t="s">
        <v>992</v>
      </c>
      <c r="H86" s="2" t="s">
        <v>919</v>
      </c>
    </row>
    <row r="87" ht="15.75" customHeight="1">
      <c r="A87" s="3" t="s">
        <v>822</v>
      </c>
      <c r="B87" s="3" t="s">
        <v>189</v>
      </c>
      <c r="C87" s="3">
        <v>86.0</v>
      </c>
      <c r="D87" s="3">
        <v>86.0</v>
      </c>
      <c r="E87" s="3" t="s">
        <v>955</v>
      </c>
      <c r="F87" s="3"/>
      <c r="G87" s="3" t="s">
        <v>995</v>
      </c>
      <c r="H87" s="3" t="s">
        <v>837</v>
      </c>
    </row>
    <row r="88" ht="15.75" customHeight="1">
      <c r="A88" s="2" t="s">
        <v>822</v>
      </c>
      <c r="B88" s="2" t="s">
        <v>996</v>
      </c>
      <c r="C88" s="2">
        <v>87.0</v>
      </c>
      <c r="D88" s="2">
        <v>87.0</v>
      </c>
      <c r="E88" s="2" t="s">
        <v>955</v>
      </c>
      <c r="F88" s="2" t="s">
        <v>991</v>
      </c>
      <c r="G88" s="2" t="s">
        <v>997</v>
      </c>
      <c r="H88" s="2" t="s">
        <v>837</v>
      </c>
    </row>
    <row r="89" ht="15.75" customHeight="1">
      <c r="A89" s="3" t="s">
        <v>822</v>
      </c>
      <c r="B89" s="3" t="s">
        <v>999</v>
      </c>
      <c r="C89" s="3">
        <v>88.0</v>
      </c>
      <c r="D89" s="3">
        <v>88.0</v>
      </c>
      <c r="E89" s="3" t="s">
        <v>955</v>
      </c>
      <c r="F89" s="3" t="s">
        <v>991</v>
      </c>
      <c r="G89" s="3" t="s">
        <v>1000</v>
      </c>
      <c r="H89" s="3" t="s">
        <v>837</v>
      </c>
    </row>
    <row r="90" ht="15.75" customHeight="1">
      <c r="A90" s="2" t="s">
        <v>822</v>
      </c>
      <c r="B90" s="2" t="s">
        <v>1001</v>
      </c>
      <c r="C90" s="2">
        <v>89.0</v>
      </c>
      <c r="D90" s="2">
        <v>89.0</v>
      </c>
      <c r="E90" s="2" t="s">
        <v>955</v>
      </c>
      <c r="F90" s="2" t="s">
        <v>991</v>
      </c>
      <c r="G90" s="2" t="s">
        <v>1002</v>
      </c>
      <c r="H90" s="2" t="s">
        <v>837</v>
      </c>
    </row>
    <row r="91" ht="15.75" customHeight="1">
      <c r="A91" s="3" t="s">
        <v>822</v>
      </c>
      <c r="B91" s="3" t="s">
        <v>1004</v>
      </c>
      <c r="C91" s="3">
        <v>90.0</v>
      </c>
      <c r="D91" s="3">
        <v>90.0</v>
      </c>
      <c r="E91" s="3" t="s">
        <v>955</v>
      </c>
      <c r="F91" s="3" t="s">
        <v>991</v>
      </c>
      <c r="G91" s="3" t="s">
        <v>1006</v>
      </c>
      <c r="H91" s="3" t="s">
        <v>837</v>
      </c>
    </row>
    <row r="92" ht="15.75" customHeight="1">
      <c r="A92" s="2" t="s">
        <v>822</v>
      </c>
      <c r="B92" s="2" t="s">
        <v>1007</v>
      </c>
      <c r="C92" s="2">
        <v>91.0</v>
      </c>
      <c r="D92" s="2">
        <v>91.0</v>
      </c>
      <c r="E92" s="2" t="s">
        <v>955</v>
      </c>
      <c r="F92" s="2" t="s">
        <v>991</v>
      </c>
      <c r="G92" s="2" t="s">
        <v>1008</v>
      </c>
      <c r="H92" s="2" t="s">
        <v>837</v>
      </c>
    </row>
    <row r="93" ht="15.75" customHeight="1">
      <c r="A93" s="3" t="s">
        <v>822</v>
      </c>
      <c r="B93" s="3" t="s">
        <v>1010</v>
      </c>
      <c r="C93" s="3">
        <v>92.0</v>
      </c>
      <c r="D93" s="3">
        <v>92.0</v>
      </c>
      <c r="E93" s="3" t="s">
        <v>955</v>
      </c>
      <c r="F93" s="3" t="s">
        <v>991</v>
      </c>
      <c r="G93" s="3" t="s">
        <v>1011</v>
      </c>
      <c r="H93" s="3" t="s">
        <v>837</v>
      </c>
    </row>
    <row r="94" ht="15.75" customHeight="1">
      <c r="A94" s="2" t="s">
        <v>822</v>
      </c>
      <c r="B94" s="2" t="s">
        <v>1012</v>
      </c>
      <c r="C94" s="2">
        <v>93.0</v>
      </c>
      <c r="D94" s="2">
        <v>93.0</v>
      </c>
      <c r="E94" s="2" t="s">
        <v>955</v>
      </c>
      <c r="F94" s="2" t="s">
        <v>991</v>
      </c>
      <c r="G94" s="2" t="s">
        <v>1013</v>
      </c>
      <c r="H94" s="2" t="s">
        <v>837</v>
      </c>
    </row>
    <row r="95" ht="15.75" customHeight="1">
      <c r="A95" s="3" t="s">
        <v>822</v>
      </c>
      <c r="B95" s="3" t="s">
        <v>1014</v>
      </c>
      <c r="C95" s="3">
        <v>94.0</v>
      </c>
      <c r="D95" s="3">
        <v>94.0</v>
      </c>
      <c r="E95" s="3" t="s">
        <v>955</v>
      </c>
      <c r="F95" s="3" t="s">
        <v>991</v>
      </c>
      <c r="G95" s="3" t="s">
        <v>1016</v>
      </c>
      <c r="H95" s="3" t="s">
        <v>837</v>
      </c>
    </row>
    <row r="96" ht="15.75" customHeight="1">
      <c r="A96" s="2" t="s">
        <v>822</v>
      </c>
      <c r="B96" s="2" t="s">
        <v>1017</v>
      </c>
      <c r="C96" s="2">
        <v>95.0</v>
      </c>
      <c r="D96" s="2">
        <v>95.0</v>
      </c>
      <c r="E96" s="2" t="s">
        <v>955</v>
      </c>
      <c r="F96" s="2" t="s">
        <v>991</v>
      </c>
      <c r="G96" s="2" t="s">
        <v>1019</v>
      </c>
      <c r="H96" s="2" t="s">
        <v>837</v>
      </c>
    </row>
    <row r="97" ht="15.75" customHeight="1">
      <c r="A97" s="3" t="s">
        <v>822</v>
      </c>
      <c r="B97" s="3" t="s">
        <v>1021</v>
      </c>
      <c r="C97" s="3">
        <v>96.0</v>
      </c>
      <c r="D97" s="3">
        <v>96.0</v>
      </c>
      <c r="E97" s="3" t="s">
        <v>955</v>
      </c>
      <c r="F97" s="3" t="s">
        <v>991</v>
      </c>
      <c r="G97" s="3" t="s">
        <v>1022</v>
      </c>
      <c r="H97" s="3" t="s">
        <v>837</v>
      </c>
    </row>
    <row r="98" ht="15.75" customHeight="1">
      <c r="A98" s="2" t="s">
        <v>822</v>
      </c>
      <c r="B98" s="2" t="s">
        <v>1023</v>
      </c>
      <c r="C98" s="2">
        <v>97.0</v>
      </c>
      <c r="D98" s="2">
        <v>97.0</v>
      </c>
      <c r="E98" s="2" t="s">
        <v>955</v>
      </c>
      <c r="F98" s="2" t="s">
        <v>991</v>
      </c>
      <c r="G98" s="2" t="s">
        <v>1024</v>
      </c>
      <c r="H98" s="2" t="s">
        <v>837</v>
      </c>
    </row>
    <row r="99" ht="15.75" customHeight="1">
      <c r="A99" s="3" t="s">
        <v>822</v>
      </c>
      <c r="B99" s="3" t="s">
        <v>1025</v>
      </c>
      <c r="C99" s="3">
        <v>98.0</v>
      </c>
      <c r="D99" s="3">
        <v>98.0</v>
      </c>
      <c r="E99" s="3" t="s">
        <v>955</v>
      </c>
      <c r="F99" s="3" t="s">
        <v>991</v>
      </c>
      <c r="G99" s="3" t="s">
        <v>1027</v>
      </c>
      <c r="H99" s="3" t="s">
        <v>837</v>
      </c>
    </row>
    <row r="100" ht="15.75" customHeight="1">
      <c r="A100" s="2" t="s">
        <v>822</v>
      </c>
      <c r="B100" s="2" t="s">
        <v>1028</v>
      </c>
      <c r="C100" s="2">
        <v>99.0</v>
      </c>
      <c r="D100" s="2">
        <v>99.0</v>
      </c>
      <c r="E100" s="2" t="s">
        <v>1029</v>
      </c>
      <c r="F100" s="2"/>
      <c r="G100" s="2" t="s">
        <v>1030</v>
      </c>
      <c r="H100" s="2" t="s">
        <v>957</v>
      </c>
    </row>
    <row r="101" ht="15.75" customHeight="1">
      <c r="A101" s="3" t="s">
        <v>822</v>
      </c>
      <c r="B101" s="3" t="s">
        <v>79</v>
      </c>
      <c r="C101" s="3">
        <v>100.0</v>
      </c>
      <c r="D101" s="3">
        <v>100.0</v>
      </c>
      <c r="E101" s="3" t="s">
        <v>1029</v>
      </c>
      <c r="F101" s="3"/>
      <c r="G101" s="3" t="s">
        <v>1033</v>
      </c>
      <c r="H101" s="3" t="s">
        <v>847</v>
      </c>
    </row>
    <row r="102" ht="15.75" customHeight="1">
      <c r="A102" s="2" t="s">
        <v>822</v>
      </c>
      <c r="B102" s="2" t="s">
        <v>83</v>
      </c>
      <c r="C102" s="2">
        <v>101.0</v>
      </c>
      <c r="D102" s="2">
        <v>101.0</v>
      </c>
      <c r="E102" s="2" t="s">
        <v>1029</v>
      </c>
      <c r="F102" s="2"/>
      <c r="G102" s="2" t="s">
        <v>1034</v>
      </c>
      <c r="H102" s="2" t="s">
        <v>837</v>
      </c>
    </row>
    <row r="103" ht="15.75" customHeight="1">
      <c r="A103" s="3" t="s">
        <v>822</v>
      </c>
      <c r="B103" s="3" t="s">
        <v>89</v>
      </c>
      <c r="C103" s="3">
        <v>102.0</v>
      </c>
      <c r="D103" s="3">
        <v>102.0</v>
      </c>
      <c r="E103" s="3" t="s">
        <v>1029</v>
      </c>
      <c r="F103" s="3"/>
      <c r="G103" s="3" t="s">
        <v>846</v>
      </c>
      <c r="H103" s="3" t="s">
        <v>860</v>
      </c>
    </row>
    <row r="104" ht="15.75" customHeight="1">
      <c r="A104" s="2" t="s">
        <v>822</v>
      </c>
      <c r="B104" s="2" t="s">
        <v>375</v>
      </c>
      <c r="C104" s="2">
        <v>103.0</v>
      </c>
      <c r="D104" s="2">
        <v>103.0</v>
      </c>
      <c r="E104" s="2" t="s">
        <v>1029</v>
      </c>
      <c r="F104" s="2"/>
      <c r="G104" s="2" t="s">
        <v>1036</v>
      </c>
      <c r="H104" s="2" t="s">
        <v>860</v>
      </c>
    </row>
    <row r="105" ht="15.75" customHeight="1">
      <c r="A105" s="3" t="s">
        <v>822</v>
      </c>
      <c r="B105" s="3" t="s">
        <v>95</v>
      </c>
      <c r="C105" s="3">
        <v>104.0</v>
      </c>
      <c r="D105" s="3">
        <v>104.0</v>
      </c>
      <c r="E105" s="3" t="s">
        <v>1029</v>
      </c>
      <c r="F105" s="3"/>
      <c r="G105" s="3" t="s">
        <v>1038</v>
      </c>
      <c r="H105" s="3" t="s">
        <v>860</v>
      </c>
    </row>
    <row r="106" ht="15.75" customHeight="1">
      <c r="A106" s="2" t="s">
        <v>822</v>
      </c>
      <c r="B106" s="2" t="s">
        <v>104</v>
      </c>
      <c r="C106" s="2">
        <v>105.0</v>
      </c>
      <c r="D106" s="2">
        <v>105.0</v>
      </c>
      <c r="E106" s="2" t="s">
        <v>1029</v>
      </c>
      <c r="F106" s="2"/>
      <c r="G106" s="2" t="s">
        <v>1041</v>
      </c>
      <c r="H106" s="2" t="s">
        <v>837</v>
      </c>
    </row>
    <row r="107" ht="15.75" customHeight="1">
      <c r="A107" s="3" t="s">
        <v>822</v>
      </c>
      <c r="B107" s="3" t="s">
        <v>381</v>
      </c>
      <c r="C107" s="3">
        <v>106.0</v>
      </c>
      <c r="D107" s="3">
        <v>106.0</v>
      </c>
      <c r="E107" s="3" t="s">
        <v>1029</v>
      </c>
      <c r="F107" s="3" t="s">
        <v>845</v>
      </c>
      <c r="G107" s="3" t="s">
        <v>846</v>
      </c>
      <c r="H107" s="3" t="s">
        <v>885</v>
      </c>
    </row>
    <row r="108" ht="15.75" customHeight="1">
      <c r="A108" s="2" t="s">
        <v>822</v>
      </c>
      <c r="B108" s="2" t="s">
        <v>383</v>
      </c>
      <c r="C108" s="2">
        <v>107.0</v>
      </c>
      <c r="D108" s="2">
        <v>107.0</v>
      </c>
      <c r="E108" s="2" t="s">
        <v>1029</v>
      </c>
      <c r="F108" s="2" t="s">
        <v>848</v>
      </c>
      <c r="G108" s="2" t="s">
        <v>849</v>
      </c>
      <c r="H108" s="2" t="s">
        <v>885</v>
      </c>
    </row>
    <row r="109" ht="15.75" customHeight="1">
      <c r="A109" s="3" t="s">
        <v>822</v>
      </c>
      <c r="B109" s="3" t="s">
        <v>111</v>
      </c>
      <c r="C109" s="3">
        <v>108.0</v>
      </c>
      <c r="D109" s="3">
        <v>108.0</v>
      </c>
      <c r="E109" s="3" t="s">
        <v>1029</v>
      </c>
      <c r="F109" s="3"/>
      <c r="G109" s="3" t="s">
        <v>1043</v>
      </c>
      <c r="H109" s="3" t="s">
        <v>837</v>
      </c>
    </row>
    <row r="110" ht="15.75" customHeight="1">
      <c r="A110" s="2" t="s">
        <v>822</v>
      </c>
      <c r="B110" s="2" t="s">
        <v>118</v>
      </c>
      <c r="C110" s="2">
        <v>109.0</v>
      </c>
      <c r="D110" s="2">
        <v>109.0</v>
      </c>
      <c r="E110" s="2" t="s">
        <v>1029</v>
      </c>
      <c r="F110" s="2"/>
      <c r="G110" s="2" t="s">
        <v>1045</v>
      </c>
      <c r="H110" s="2" t="s">
        <v>919</v>
      </c>
    </row>
    <row r="111" ht="15.75" customHeight="1">
      <c r="A111" s="3" t="s">
        <v>822</v>
      </c>
      <c r="B111" s="3" t="s">
        <v>386</v>
      </c>
      <c r="C111" s="3">
        <v>110.0</v>
      </c>
      <c r="D111" s="3">
        <v>110.0</v>
      </c>
      <c r="E111" s="3" t="s">
        <v>1029</v>
      </c>
      <c r="F111" s="3" t="s">
        <v>852</v>
      </c>
      <c r="G111" s="3" t="s">
        <v>853</v>
      </c>
      <c r="H111" s="3" t="s">
        <v>885</v>
      </c>
    </row>
    <row r="112" ht="15.75" customHeight="1">
      <c r="A112" s="2" t="s">
        <v>822</v>
      </c>
      <c r="B112" s="2" t="s">
        <v>688</v>
      </c>
      <c r="C112" s="2">
        <v>111.0</v>
      </c>
      <c r="D112" s="2">
        <v>111.0</v>
      </c>
      <c r="E112" s="2" t="s">
        <v>1029</v>
      </c>
      <c r="F112" s="2"/>
      <c r="G112" s="2" t="s">
        <v>1047</v>
      </c>
      <c r="H112" s="2" t="s">
        <v>860</v>
      </c>
    </row>
    <row r="113" ht="15.75" customHeight="1">
      <c r="A113" s="3" t="s">
        <v>822</v>
      </c>
      <c r="B113" s="3" t="s">
        <v>388</v>
      </c>
      <c r="C113" s="3">
        <v>112.0</v>
      </c>
      <c r="D113" s="3">
        <v>112.0</v>
      </c>
      <c r="E113" s="3" t="s">
        <v>1029</v>
      </c>
      <c r="F113" s="3" t="s">
        <v>854</v>
      </c>
      <c r="G113" s="3" t="s">
        <v>1049</v>
      </c>
      <c r="H113" s="3" t="s">
        <v>885</v>
      </c>
    </row>
    <row r="114" ht="15.75" customHeight="1">
      <c r="A114" s="2" t="s">
        <v>822</v>
      </c>
      <c r="B114" s="2" t="s">
        <v>122</v>
      </c>
      <c r="C114" s="2">
        <v>113.0</v>
      </c>
      <c r="D114" s="2">
        <v>113.0</v>
      </c>
      <c r="E114" s="2" t="s">
        <v>1029</v>
      </c>
      <c r="F114" s="2"/>
      <c r="G114" s="2" t="s">
        <v>1051</v>
      </c>
      <c r="H114" s="2" t="s">
        <v>1052</v>
      </c>
    </row>
    <row r="115" ht="15.75" customHeight="1">
      <c r="A115" s="3" t="s">
        <v>822</v>
      </c>
      <c r="B115" s="3" t="s">
        <v>392</v>
      </c>
      <c r="C115" s="3">
        <v>114.0</v>
      </c>
      <c r="D115" s="3">
        <v>114.0</v>
      </c>
      <c r="E115" s="3" t="s">
        <v>1029</v>
      </c>
      <c r="F115" s="3"/>
      <c r="G115" s="3" t="s">
        <v>1053</v>
      </c>
      <c r="H115" s="3" t="s">
        <v>885</v>
      </c>
    </row>
    <row r="116" ht="15.75" customHeight="1">
      <c r="A116" s="2" t="s">
        <v>822</v>
      </c>
      <c r="B116" s="2" t="s">
        <v>126</v>
      </c>
      <c r="C116" s="2">
        <v>115.0</v>
      </c>
      <c r="D116" s="2">
        <v>115.0</v>
      </c>
      <c r="E116" s="2" t="s">
        <v>1029</v>
      </c>
      <c r="F116" s="2"/>
      <c r="G116" s="2" t="s">
        <v>1054</v>
      </c>
      <c r="H116" s="2" t="s">
        <v>1052</v>
      </c>
    </row>
    <row r="117" ht="15.75" customHeight="1">
      <c r="A117" s="3" t="s">
        <v>822</v>
      </c>
      <c r="B117" s="3" t="s">
        <v>395</v>
      </c>
      <c r="C117" s="3">
        <v>116.0</v>
      </c>
      <c r="D117" s="3">
        <v>116.0</v>
      </c>
      <c r="E117" s="3" t="s">
        <v>1029</v>
      </c>
      <c r="F117" s="3"/>
      <c r="G117" s="3" t="s">
        <v>1057</v>
      </c>
      <c r="H117" s="3" t="s">
        <v>885</v>
      </c>
    </row>
    <row r="118" ht="15.75" customHeight="1">
      <c r="A118" s="2" t="s">
        <v>822</v>
      </c>
      <c r="B118" s="2" t="s">
        <v>400</v>
      </c>
      <c r="C118" s="2">
        <v>117.0</v>
      </c>
      <c r="D118" s="2">
        <v>117.0</v>
      </c>
      <c r="E118" s="2" t="s">
        <v>1029</v>
      </c>
      <c r="F118" s="2" t="s">
        <v>865</v>
      </c>
      <c r="G118" s="2" t="s">
        <v>1059</v>
      </c>
      <c r="H118" s="2" t="s">
        <v>885</v>
      </c>
    </row>
    <row r="119" ht="15.75" customHeight="1">
      <c r="A119" s="3" t="s">
        <v>822</v>
      </c>
      <c r="B119" s="3" t="s">
        <v>700</v>
      </c>
      <c r="C119" s="3">
        <v>118.0</v>
      </c>
      <c r="D119" s="3">
        <v>118.0</v>
      </c>
      <c r="E119" s="3" t="s">
        <v>1029</v>
      </c>
      <c r="F119" s="3"/>
      <c r="G119" s="3" t="s">
        <v>1060</v>
      </c>
      <c r="H119" s="3" t="s">
        <v>847</v>
      </c>
    </row>
    <row r="120" ht="15.75" customHeight="1">
      <c r="A120" s="2" t="s">
        <v>822</v>
      </c>
      <c r="B120" s="2" t="s">
        <v>402</v>
      </c>
      <c r="C120" s="2">
        <v>119.0</v>
      </c>
      <c r="D120" s="2">
        <v>119.0</v>
      </c>
      <c r="E120" s="2" t="s">
        <v>1029</v>
      </c>
      <c r="F120" s="2" t="s">
        <v>867</v>
      </c>
      <c r="G120" s="2" t="s">
        <v>1061</v>
      </c>
      <c r="H120" s="2" t="s">
        <v>885</v>
      </c>
    </row>
    <row r="121" ht="15.75" customHeight="1">
      <c r="A121" s="3" t="s">
        <v>822</v>
      </c>
      <c r="B121" s="3" t="s">
        <v>405</v>
      </c>
      <c r="C121" s="3">
        <v>120.0</v>
      </c>
      <c r="D121" s="3">
        <v>120.0</v>
      </c>
      <c r="E121" s="3" t="s">
        <v>1029</v>
      </c>
      <c r="F121" s="3" t="s">
        <v>870</v>
      </c>
      <c r="G121" s="3" t="s">
        <v>1062</v>
      </c>
      <c r="H121" s="3" t="s">
        <v>885</v>
      </c>
    </row>
    <row r="122" ht="15.75" customHeight="1">
      <c r="A122" s="2" t="s">
        <v>822</v>
      </c>
      <c r="B122" s="2" t="s">
        <v>408</v>
      </c>
      <c r="C122" s="2">
        <v>121.0</v>
      </c>
      <c r="D122" s="2">
        <v>121.0</v>
      </c>
      <c r="E122" s="2" t="s">
        <v>1029</v>
      </c>
      <c r="F122" s="2"/>
      <c r="G122" s="2" t="s">
        <v>1066</v>
      </c>
      <c r="H122" s="2" t="s">
        <v>837</v>
      </c>
    </row>
    <row r="123" ht="15.75" customHeight="1">
      <c r="A123" s="3" t="s">
        <v>822</v>
      </c>
      <c r="B123" s="3" t="s">
        <v>414</v>
      </c>
      <c r="C123" s="3">
        <v>122.0</v>
      </c>
      <c r="D123" s="3">
        <v>122.0</v>
      </c>
      <c r="E123" s="3" t="s">
        <v>1029</v>
      </c>
      <c r="F123" s="3"/>
      <c r="G123" s="3" t="s">
        <v>1067</v>
      </c>
      <c r="H123" s="3" t="s">
        <v>847</v>
      </c>
    </row>
    <row r="124" ht="15.75" customHeight="1">
      <c r="A124" s="2" t="s">
        <v>822</v>
      </c>
      <c r="B124" s="2" t="s">
        <v>417</v>
      </c>
      <c r="C124" s="2">
        <v>123.0</v>
      </c>
      <c r="D124" s="2">
        <v>123.0</v>
      </c>
      <c r="E124" s="2" t="s">
        <v>1029</v>
      </c>
      <c r="F124" s="2" t="s">
        <v>870</v>
      </c>
      <c r="G124" s="2" t="s">
        <v>1068</v>
      </c>
      <c r="H124" s="2" t="s">
        <v>847</v>
      </c>
    </row>
    <row r="125" ht="15.75" customHeight="1">
      <c r="A125" s="3" t="s">
        <v>822</v>
      </c>
      <c r="B125" s="3" t="s">
        <v>420</v>
      </c>
      <c r="C125" s="3">
        <v>124.0</v>
      </c>
      <c r="D125" s="3">
        <v>124.0</v>
      </c>
      <c r="E125" s="3" t="s">
        <v>1029</v>
      </c>
      <c r="F125" s="3" t="s">
        <v>1069</v>
      </c>
      <c r="G125" s="3" t="s">
        <v>1070</v>
      </c>
      <c r="H125" s="3" t="s">
        <v>830</v>
      </c>
    </row>
    <row r="126" ht="15.75" customHeight="1">
      <c r="A126" s="2" t="s">
        <v>822</v>
      </c>
      <c r="B126" s="2" t="s">
        <v>424</v>
      </c>
      <c r="C126" s="2">
        <v>125.0</v>
      </c>
      <c r="D126" s="2">
        <v>125.0</v>
      </c>
      <c r="E126" s="2" t="s">
        <v>1029</v>
      </c>
      <c r="F126" s="2"/>
      <c r="G126" s="2" t="s">
        <v>1073</v>
      </c>
      <c r="H126" s="2" t="s">
        <v>847</v>
      </c>
    </row>
    <row r="127" ht="15.75" customHeight="1">
      <c r="A127" s="3" t="s">
        <v>822</v>
      </c>
      <c r="B127" s="3" t="s">
        <v>426</v>
      </c>
      <c r="C127" s="3">
        <v>126.0</v>
      </c>
      <c r="D127" s="3">
        <v>126.0</v>
      </c>
      <c r="E127" s="3" t="s">
        <v>1029</v>
      </c>
      <c r="F127" s="3"/>
      <c r="G127" s="3" t="s">
        <v>1075</v>
      </c>
      <c r="H127" s="3" t="s">
        <v>847</v>
      </c>
    </row>
    <row r="128" ht="15.75" customHeight="1">
      <c r="A128" s="2" t="s">
        <v>822</v>
      </c>
      <c r="B128" s="2" t="s">
        <v>428</v>
      </c>
      <c r="C128" s="2">
        <v>127.0</v>
      </c>
      <c r="D128" s="2">
        <v>127.0</v>
      </c>
      <c r="E128" s="2" t="s">
        <v>1029</v>
      </c>
      <c r="F128" s="2"/>
      <c r="G128" s="2" t="s">
        <v>1078</v>
      </c>
      <c r="H128" s="2" t="s">
        <v>885</v>
      </c>
    </row>
    <row r="129" ht="15.75" customHeight="1">
      <c r="A129" s="3" t="s">
        <v>822</v>
      </c>
      <c r="B129" s="3" t="s">
        <v>432</v>
      </c>
      <c r="C129" s="3">
        <v>128.0</v>
      </c>
      <c r="D129" s="3">
        <v>128.0</v>
      </c>
      <c r="E129" s="3" t="s">
        <v>1029</v>
      </c>
      <c r="F129" s="3"/>
      <c r="G129" s="3" t="s">
        <v>1079</v>
      </c>
      <c r="H129" s="3" t="s">
        <v>847</v>
      </c>
    </row>
    <row r="130" ht="15.75" customHeight="1">
      <c r="A130" s="2" t="s">
        <v>822</v>
      </c>
      <c r="B130" s="2" t="s">
        <v>435</v>
      </c>
      <c r="C130" s="2">
        <v>129.0</v>
      </c>
      <c r="D130" s="2">
        <v>129.0</v>
      </c>
      <c r="E130" s="2" t="s">
        <v>1029</v>
      </c>
      <c r="F130" s="2"/>
      <c r="G130" s="2" t="s">
        <v>1081</v>
      </c>
      <c r="H130" s="2" t="s">
        <v>847</v>
      </c>
    </row>
    <row r="131" ht="15.75" customHeight="1">
      <c r="A131" s="3" t="s">
        <v>822</v>
      </c>
      <c r="B131" s="3" t="s">
        <v>437</v>
      </c>
      <c r="C131" s="3">
        <v>130.0</v>
      </c>
      <c r="D131" s="3">
        <v>130.0</v>
      </c>
      <c r="E131" s="3" t="s">
        <v>1029</v>
      </c>
      <c r="F131" s="3"/>
      <c r="G131" s="3" t="s">
        <v>1082</v>
      </c>
      <c r="H131" s="3" t="s">
        <v>847</v>
      </c>
    </row>
    <row r="132" ht="15.75" customHeight="1">
      <c r="A132" s="2" t="s">
        <v>822</v>
      </c>
      <c r="B132" s="2" t="s">
        <v>10</v>
      </c>
      <c r="C132" s="2">
        <v>131.0</v>
      </c>
      <c r="D132" s="2">
        <v>131.0</v>
      </c>
      <c r="E132" s="2" t="s">
        <v>1029</v>
      </c>
      <c r="F132" s="2"/>
      <c r="G132" s="2" t="s">
        <v>1084</v>
      </c>
      <c r="H132" s="2" t="s">
        <v>847</v>
      </c>
    </row>
    <row r="133" ht="15.75" customHeight="1">
      <c r="A133" s="3" t="s">
        <v>822</v>
      </c>
      <c r="B133" s="3" t="s">
        <v>445</v>
      </c>
      <c r="C133" s="3">
        <v>132.0</v>
      </c>
      <c r="D133" s="3">
        <v>132.0</v>
      </c>
      <c r="E133" s="3" t="s">
        <v>1029</v>
      </c>
      <c r="F133" s="3"/>
      <c r="G133" s="3" t="s">
        <v>1085</v>
      </c>
      <c r="H133" s="3" t="s">
        <v>847</v>
      </c>
    </row>
    <row r="134" ht="15.75" customHeight="1">
      <c r="A134" s="2" t="s">
        <v>822</v>
      </c>
      <c r="B134" s="2" t="s">
        <v>447</v>
      </c>
      <c r="C134" s="2">
        <v>133.0</v>
      </c>
      <c r="D134" s="2">
        <v>133.0</v>
      </c>
      <c r="E134" s="2" t="s">
        <v>1029</v>
      </c>
      <c r="F134" s="2"/>
      <c r="G134" s="2" t="s">
        <v>1088</v>
      </c>
      <c r="H134" s="2" t="s">
        <v>847</v>
      </c>
    </row>
    <row r="135" ht="15.75" customHeight="1">
      <c r="A135" s="3" t="s">
        <v>822</v>
      </c>
      <c r="B135" s="3" t="s">
        <v>452</v>
      </c>
      <c r="C135" s="3">
        <v>134.0</v>
      </c>
      <c r="D135" s="3">
        <v>134.0</v>
      </c>
      <c r="E135" s="3" t="s">
        <v>1029</v>
      </c>
      <c r="F135" s="3" t="s">
        <v>870</v>
      </c>
      <c r="G135" s="3" t="s">
        <v>1089</v>
      </c>
      <c r="H135" s="3" t="s">
        <v>837</v>
      </c>
    </row>
    <row r="136" ht="15.75" customHeight="1">
      <c r="A136" s="2" t="s">
        <v>822</v>
      </c>
      <c r="B136" s="2" t="s">
        <v>457</v>
      </c>
      <c r="C136" s="2">
        <v>135.0</v>
      </c>
      <c r="D136" s="2">
        <v>135.0</v>
      </c>
      <c r="E136" s="2" t="s">
        <v>1029</v>
      </c>
      <c r="F136" s="2" t="s">
        <v>870</v>
      </c>
      <c r="G136" s="2" t="s">
        <v>1090</v>
      </c>
      <c r="H136" s="2" t="s">
        <v>860</v>
      </c>
    </row>
    <row r="137" ht="15.75" customHeight="1">
      <c r="A137" s="3" t="s">
        <v>822</v>
      </c>
      <c r="B137" s="3" t="s">
        <v>463</v>
      </c>
      <c r="C137" s="3">
        <v>136.0</v>
      </c>
      <c r="D137" s="3">
        <v>136.0</v>
      </c>
      <c r="E137" s="3" t="s">
        <v>1029</v>
      </c>
      <c r="F137" s="3" t="s">
        <v>870</v>
      </c>
      <c r="G137" s="3" t="s">
        <v>1092</v>
      </c>
      <c r="H137" s="3" t="s">
        <v>847</v>
      </c>
    </row>
    <row r="138" ht="15.75" customHeight="1">
      <c r="A138" s="2" t="s">
        <v>822</v>
      </c>
      <c r="B138" s="2" t="s">
        <v>468</v>
      </c>
      <c r="C138" s="2">
        <v>137.0</v>
      </c>
      <c r="D138" s="2">
        <v>137.0</v>
      </c>
      <c r="E138" s="2" t="s">
        <v>1029</v>
      </c>
      <c r="F138" s="2" t="s">
        <v>872</v>
      </c>
      <c r="G138" s="2" t="s">
        <v>1094</v>
      </c>
      <c r="H138" s="2" t="s">
        <v>837</v>
      </c>
    </row>
    <row r="139" ht="15.75" customHeight="1">
      <c r="A139" s="3" t="s">
        <v>822</v>
      </c>
      <c r="B139" s="3" t="s">
        <v>473</v>
      </c>
      <c r="C139" s="3">
        <v>138.0</v>
      </c>
      <c r="D139" s="3">
        <v>138.0</v>
      </c>
      <c r="E139" s="3" t="s">
        <v>1029</v>
      </c>
      <c r="F139" s="3" t="s">
        <v>872</v>
      </c>
      <c r="G139" s="3" t="s">
        <v>1095</v>
      </c>
      <c r="H139" s="3" t="s">
        <v>830</v>
      </c>
    </row>
    <row r="140" ht="15.75" customHeight="1">
      <c r="A140" s="2" t="s">
        <v>822</v>
      </c>
      <c r="B140" s="2" t="s">
        <v>478</v>
      </c>
      <c r="C140" s="2">
        <v>139.0</v>
      </c>
      <c r="D140" s="2">
        <v>139.0</v>
      </c>
      <c r="E140" s="2" t="s">
        <v>1029</v>
      </c>
      <c r="F140" s="2" t="s">
        <v>872</v>
      </c>
      <c r="G140" s="2" t="s">
        <v>1097</v>
      </c>
      <c r="H140" s="2" t="s">
        <v>860</v>
      </c>
    </row>
    <row r="141" ht="15.75" customHeight="1">
      <c r="A141" s="3" t="s">
        <v>822</v>
      </c>
      <c r="B141" s="3" t="s">
        <v>484</v>
      </c>
      <c r="C141" s="3">
        <v>140.0</v>
      </c>
      <c r="D141" s="3">
        <v>140.0</v>
      </c>
      <c r="E141" s="3" t="s">
        <v>1029</v>
      </c>
      <c r="F141" s="3" t="s">
        <v>872</v>
      </c>
      <c r="G141" s="3" t="s">
        <v>1099</v>
      </c>
      <c r="H141" s="3" t="s">
        <v>860</v>
      </c>
    </row>
    <row r="142" ht="15.75" customHeight="1">
      <c r="A142" s="2" t="s">
        <v>822</v>
      </c>
      <c r="B142" s="2" t="s">
        <v>492</v>
      </c>
      <c r="C142" s="2">
        <v>141.0</v>
      </c>
      <c r="D142" s="2">
        <v>141.0</v>
      </c>
      <c r="E142" s="2" t="s">
        <v>1029</v>
      </c>
      <c r="F142" s="2" t="s">
        <v>876</v>
      </c>
      <c r="G142" s="2" t="s">
        <v>1101</v>
      </c>
      <c r="H142" s="2" t="s">
        <v>837</v>
      </c>
    </row>
    <row r="143" ht="15.75" customHeight="1">
      <c r="A143" s="3" t="s">
        <v>822</v>
      </c>
      <c r="B143" s="3" t="s">
        <v>497</v>
      </c>
      <c r="C143" s="3">
        <v>142.0</v>
      </c>
      <c r="D143" s="3">
        <v>142.0</v>
      </c>
      <c r="E143" s="3" t="s">
        <v>1029</v>
      </c>
      <c r="F143" s="3" t="s">
        <v>876</v>
      </c>
      <c r="G143" s="3" t="s">
        <v>1102</v>
      </c>
      <c r="H143" s="3" t="s">
        <v>847</v>
      </c>
    </row>
    <row r="144" ht="15.75" customHeight="1">
      <c r="A144" s="2" t="s">
        <v>822</v>
      </c>
      <c r="B144" s="2" t="s">
        <v>1103</v>
      </c>
      <c r="C144" s="2">
        <v>143.0</v>
      </c>
      <c r="D144" s="2">
        <v>143.0</v>
      </c>
      <c r="E144" s="2" t="s">
        <v>1029</v>
      </c>
      <c r="F144" s="2"/>
      <c r="G144" s="2" t="s">
        <v>1105</v>
      </c>
      <c r="H144" s="2" t="s">
        <v>885</v>
      </c>
    </row>
    <row r="145" ht="15.75" customHeight="1">
      <c r="A145" s="3" t="s">
        <v>822</v>
      </c>
      <c r="B145" s="3" t="s">
        <v>500</v>
      </c>
      <c r="C145" s="3">
        <v>144.0</v>
      </c>
      <c r="D145" s="3">
        <v>144.0</v>
      </c>
      <c r="E145" s="3" t="s">
        <v>1029</v>
      </c>
      <c r="F145" s="3" t="s">
        <v>876</v>
      </c>
      <c r="G145" s="3" t="s">
        <v>1107</v>
      </c>
      <c r="H145" s="3" t="s">
        <v>837</v>
      </c>
    </row>
    <row r="146" ht="15.75" customHeight="1">
      <c r="A146" s="2" t="s">
        <v>822</v>
      </c>
      <c r="B146" s="2" t="s">
        <v>505</v>
      </c>
      <c r="C146" s="2">
        <v>145.0</v>
      </c>
      <c r="D146" s="2">
        <v>145.0</v>
      </c>
      <c r="E146" s="2" t="s">
        <v>1029</v>
      </c>
      <c r="F146" s="2" t="s">
        <v>876</v>
      </c>
      <c r="G146" s="2" t="s">
        <v>1110</v>
      </c>
      <c r="H146" s="2" t="s">
        <v>847</v>
      </c>
    </row>
    <row r="147" ht="15.75" customHeight="1">
      <c r="A147" s="3" t="s">
        <v>822</v>
      </c>
      <c r="B147" s="3" t="s">
        <v>509</v>
      </c>
      <c r="C147" s="3">
        <v>146.0</v>
      </c>
      <c r="D147" s="3">
        <v>146.0</v>
      </c>
      <c r="E147" s="3" t="s">
        <v>1029</v>
      </c>
      <c r="F147" s="3" t="s">
        <v>981</v>
      </c>
      <c r="G147" s="3" t="s">
        <v>1111</v>
      </c>
      <c r="H147" s="3" t="s">
        <v>837</v>
      </c>
    </row>
    <row r="148" ht="15.75" customHeight="1">
      <c r="A148" s="2" t="s">
        <v>822</v>
      </c>
      <c r="B148" s="2" t="s">
        <v>515</v>
      </c>
      <c r="C148" s="2">
        <v>147.0</v>
      </c>
      <c r="D148" s="2">
        <v>147.0</v>
      </c>
      <c r="E148" s="2" t="s">
        <v>1029</v>
      </c>
      <c r="F148" s="2" t="s">
        <v>981</v>
      </c>
      <c r="G148" s="2" t="s">
        <v>1112</v>
      </c>
      <c r="H148" s="2" t="s">
        <v>837</v>
      </c>
    </row>
    <row r="149" ht="15.75" customHeight="1">
      <c r="A149" s="3" t="s">
        <v>822</v>
      </c>
      <c r="B149" s="3" t="s">
        <v>521</v>
      </c>
      <c r="C149" s="3">
        <v>148.0</v>
      </c>
      <c r="D149" s="3">
        <v>148.0</v>
      </c>
      <c r="E149" s="3" t="s">
        <v>1029</v>
      </c>
      <c r="F149" s="3" t="s">
        <v>981</v>
      </c>
      <c r="G149" s="3" t="s">
        <v>1114</v>
      </c>
      <c r="H149" s="3" t="s">
        <v>837</v>
      </c>
    </row>
    <row r="150" ht="15.75" customHeight="1">
      <c r="A150" s="2" t="s">
        <v>822</v>
      </c>
      <c r="B150" s="2" t="s">
        <v>527</v>
      </c>
      <c r="C150" s="2">
        <v>149.0</v>
      </c>
      <c r="D150" s="2">
        <v>149.0</v>
      </c>
      <c r="E150" s="2" t="s">
        <v>1029</v>
      </c>
      <c r="F150" s="2" t="s">
        <v>981</v>
      </c>
      <c r="G150" s="2" t="s">
        <v>1116</v>
      </c>
      <c r="H150" s="2" t="s">
        <v>837</v>
      </c>
    </row>
    <row r="151" ht="15.75" customHeight="1">
      <c r="A151" s="3" t="s">
        <v>822</v>
      </c>
      <c r="B151" s="3" t="s">
        <v>533</v>
      </c>
      <c r="C151" s="3">
        <v>150.0</v>
      </c>
      <c r="D151" s="3">
        <v>150.0</v>
      </c>
      <c r="E151" s="3" t="s">
        <v>1029</v>
      </c>
      <c r="F151" s="3" t="s">
        <v>983</v>
      </c>
      <c r="G151" s="3" t="s">
        <v>1118</v>
      </c>
      <c r="H151" s="3" t="s">
        <v>860</v>
      </c>
    </row>
    <row r="152" ht="15.75" customHeight="1">
      <c r="A152" s="2" t="s">
        <v>822</v>
      </c>
      <c r="B152" s="2" t="s">
        <v>537</v>
      </c>
      <c r="C152" s="2">
        <v>151.0</v>
      </c>
      <c r="D152" s="2">
        <v>151.0</v>
      </c>
      <c r="E152" s="2" t="s">
        <v>1029</v>
      </c>
      <c r="F152" s="2" t="s">
        <v>983</v>
      </c>
      <c r="G152" s="2" t="s">
        <v>1118</v>
      </c>
      <c r="H152" s="2" t="s">
        <v>847</v>
      </c>
    </row>
    <row r="153" ht="15.75" customHeight="1">
      <c r="A153" s="3" t="s">
        <v>822</v>
      </c>
      <c r="B153" s="3" t="s">
        <v>539</v>
      </c>
      <c r="C153" s="3">
        <v>152.0</v>
      </c>
      <c r="D153" s="3">
        <v>152.0</v>
      </c>
      <c r="E153" s="3" t="s">
        <v>1029</v>
      </c>
      <c r="F153" s="3" t="s">
        <v>983</v>
      </c>
      <c r="G153" s="3" t="s">
        <v>1119</v>
      </c>
      <c r="H153" s="3" t="s">
        <v>885</v>
      </c>
    </row>
    <row r="154" ht="15.75" customHeight="1">
      <c r="A154" s="2" t="s">
        <v>822</v>
      </c>
      <c r="B154" s="2" t="s">
        <v>542</v>
      </c>
      <c r="C154" s="2">
        <v>153.0</v>
      </c>
      <c r="D154" s="2">
        <v>153.0</v>
      </c>
      <c r="E154" s="2" t="s">
        <v>1029</v>
      </c>
      <c r="F154" s="2" t="s">
        <v>983</v>
      </c>
      <c r="G154" s="2" t="s">
        <v>1119</v>
      </c>
      <c r="H154" s="2" t="s">
        <v>837</v>
      </c>
    </row>
    <row r="155" ht="15.75" customHeight="1">
      <c r="A155" s="3" t="s">
        <v>822</v>
      </c>
      <c r="B155" s="3" t="s">
        <v>547</v>
      </c>
      <c r="C155" s="3">
        <v>154.0</v>
      </c>
      <c r="D155" s="3">
        <v>154.0</v>
      </c>
      <c r="E155" s="3" t="s">
        <v>1029</v>
      </c>
      <c r="F155" s="3" t="s">
        <v>983</v>
      </c>
      <c r="G155" s="3" t="s">
        <v>1122</v>
      </c>
      <c r="H155" s="3" t="s">
        <v>885</v>
      </c>
    </row>
    <row r="156" ht="15.75" customHeight="1">
      <c r="A156" s="2" t="s">
        <v>822</v>
      </c>
      <c r="B156" s="2" t="s">
        <v>549</v>
      </c>
      <c r="C156" s="2">
        <v>155.0</v>
      </c>
      <c r="D156" s="2">
        <v>155.0</v>
      </c>
      <c r="E156" s="2" t="s">
        <v>1029</v>
      </c>
      <c r="F156" s="2" t="s">
        <v>983</v>
      </c>
      <c r="G156" s="2" t="s">
        <v>1122</v>
      </c>
      <c r="H156" s="2" t="s">
        <v>919</v>
      </c>
    </row>
    <row r="157" ht="15.75" customHeight="1">
      <c r="A157" s="3" t="s">
        <v>822</v>
      </c>
      <c r="B157" s="3" t="s">
        <v>551</v>
      </c>
      <c r="C157" s="3">
        <v>156.0</v>
      </c>
      <c r="D157" s="3">
        <v>156.0</v>
      </c>
      <c r="E157" s="3" t="s">
        <v>1029</v>
      </c>
      <c r="F157" s="3" t="s">
        <v>983</v>
      </c>
      <c r="G157" s="3" t="s">
        <v>1124</v>
      </c>
      <c r="H157" s="3" t="s">
        <v>885</v>
      </c>
    </row>
    <row r="158" ht="15.75" customHeight="1">
      <c r="A158" s="2" t="s">
        <v>822</v>
      </c>
      <c r="B158" s="2" t="s">
        <v>553</v>
      </c>
      <c r="C158" s="2">
        <v>157.0</v>
      </c>
      <c r="D158" s="2">
        <v>157.0</v>
      </c>
      <c r="E158" s="2" t="s">
        <v>1029</v>
      </c>
      <c r="F158" s="2" t="s">
        <v>983</v>
      </c>
      <c r="G158" s="2" t="s">
        <v>1125</v>
      </c>
      <c r="H158" s="2" t="s">
        <v>847</v>
      </c>
    </row>
    <row r="159" ht="15.75" customHeight="1">
      <c r="A159" s="3" t="s">
        <v>822</v>
      </c>
      <c r="B159" s="3" t="s">
        <v>1127</v>
      </c>
      <c r="C159" s="3">
        <v>158.0</v>
      </c>
      <c r="D159" s="3">
        <v>158.0</v>
      </c>
      <c r="E159" s="3" t="s">
        <v>1029</v>
      </c>
      <c r="F159" s="3"/>
      <c r="G159" s="3" t="s">
        <v>967</v>
      </c>
      <c r="H159" s="3" t="s">
        <v>885</v>
      </c>
    </row>
    <row r="160" ht="15.75" customHeight="1">
      <c r="A160" s="2" t="s">
        <v>822</v>
      </c>
      <c r="B160" s="2" t="s">
        <v>556</v>
      </c>
      <c r="C160" s="2">
        <v>159.0</v>
      </c>
      <c r="D160" s="2">
        <v>159.0</v>
      </c>
      <c r="E160" s="2" t="s">
        <v>1029</v>
      </c>
      <c r="F160" s="2" t="s">
        <v>991</v>
      </c>
      <c r="G160" s="2" t="s">
        <v>1129</v>
      </c>
      <c r="H160" s="2" t="s">
        <v>847</v>
      </c>
    </row>
    <row r="161" ht="15.75" customHeight="1">
      <c r="A161" s="3" t="s">
        <v>822</v>
      </c>
      <c r="B161" s="3" t="s">
        <v>559</v>
      </c>
      <c r="C161" s="3">
        <v>160.0</v>
      </c>
      <c r="D161" s="3">
        <v>160.0</v>
      </c>
      <c r="E161" s="3" t="s">
        <v>1029</v>
      </c>
      <c r="F161" s="3" t="s">
        <v>991</v>
      </c>
      <c r="G161" s="3" t="s">
        <v>1130</v>
      </c>
      <c r="H161" s="3" t="s">
        <v>837</v>
      </c>
    </row>
    <row r="162" ht="15.75" customHeight="1">
      <c r="A162" s="2" t="s">
        <v>822</v>
      </c>
      <c r="B162" s="2" t="s">
        <v>565</v>
      </c>
      <c r="C162" s="2">
        <v>161.0</v>
      </c>
      <c r="D162" s="2">
        <v>161.0</v>
      </c>
      <c r="E162" s="2" t="s">
        <v>1029</v>
      </c>
      <c r="F162" s="2" t="s">
        <v>991</v>
      </c>
      <c r="G162" s="2" t="s">
        <v>1131</v>
      </c>
      <c r="H162" s="2" t="s">
        <v>837</v>
      </c>
    </row>
    <row r="163" ht="15.75" customHeight="1">
      <c r="A163" s="3" t="s">
        <v>822</v>
      </c>
      <c r="B163" s="3" t="s">
        <v>570</v>
      </c>
      <c r="C163" s="3">
        <v>162.0</v>
      </c>
      <c r="D163" s="3">
        <v>162.0</v>
      </c>
      <c r="E163" s="3" t="s">
        <v>1029</v>
      </c>
      <c r="F163" s="3" t="s">
        <v>991</v>
      </c>
      <c r="G163" s="3" t="s">
        <v>1133</v>
      </c>
      <c r="H163" s="3" t="s">
        <v>837</v>
      </c>
    </row>
    <row r="164" ht="15.75" customHeight="1">
      <c r="A164" s="2" t="s">
        <v>822</v>
      </c>
      <c r="B164" s="2" t="s">
        <v>575</v>
      </c>
      <c r="C164" s="2">
        <v>163.0</v>
      </c>
      <c r="D164" s="2">
        <v>163.0</v>
      </c>
      <c r="E164" s="2" t="s">
        <v>1029</v>
      </c>
      <c r="F164" s="2" t="s">
        <v>991</v>
      </c>
      <c r="G164" s="2" t="s">
        <v>1136</v>
      </c>
      <c r="H164" s="2" t="s">
        <v>837</v>
      </c>
    </row>
    <row r="165" ht="15.75" customHeight="1">
      <c r="A165" s="3" t="s">
        <v>822</v>
      </c>
      <c r="B165" s="3" t="s">
        <v>581</v>
      </c>
      <c r="C165" s="3">
        <v>164.0</v>
      </c>
      <c r="D165" s="3">
        <v>164.0</v>
      </c>
      <c r="E165" s="3" t="s">
        <v>1029</v>
      </c>
      <c r="F165" s="3" t="s">
        <v>991</v>
      </c>
      <c r="G165" s="3" t="s">
        <v>1138</v>
      </c>
      <c r="H165" s="3" t="s">
        <v>837</v>
      </c>
    </row>
    <row r="166" ht="15.75" customHeight="1">
      <c r="A166" s="2" t="s">
        <v>822</v>
      </c>
      <c r="B166" s="2" t="s">
        <v>587</v>
      </c>
      <c r="C166" s="2">
        <v>165.0</v>
      </c>
      <c r="D166" s="2">
        <v>165.0</v>
      </c>
      <c r="E166" s="2" t="s">
        <v>1029</v>
      </c>
      <c r="F166" s="2" t="s">
        <v>991</v>
      </c>
      <c r="G166" s="2" t="s">
        <v>1139</v>
      </c>
      <c r="H166" s="2" t="s">
        <v>830</v>
      </c>
    </row>
    <row r="167" ht="15.75" customHeight="1">
      <c r="A167" s="3" t="s">
        <v>822</v>
      </c>
      <c r="B167" s="3" t="s">
        <v>589</v>
      </c>
      <c r="C167" s="3">
        <v>166.0</v>
      </c>
      <c r="D167" s="3">
        <v>166.0</v>
      </c>
      <c r="E167" s="3" t="s">
        <v>1029</v>
      </c>
      <c r="F167" s="3" t="s">
        <v>991</v>
      </c>
      <c r="G167" s="3" t="s">
        <v>1140</v>
      </c>
      <c r="H167" s="3" t="s">
        <v>830</v>
      </c>
    </row>
    <row r="168" ht="15.75" customHeight="1">
      <c r="A168" s="2" t="s">
        <v>822</v>
      </c>
      <c r="B168" s="2" t="s">
        <v>592</v>
      </c>
      <c r="C168" s="2">
        <v>167.0</v>
      </c>
      <c r="D168" s="2">
        <v>167.0</v>
      </c>
      <c r="E168" s="2" t="s">
        <v>1029</v>
      </c>
      <c r="F168" s="2" t="s">
        <v>991</v>
      </c>
      <c r="G168" s="2" t="s">
        <v>1142</v>
      </c>
      <c r="H168" s="2" t="s">
        <v>847</v>
      </c>
    </row>
    <row r="169" ht="15.75" customHeight="1">
      <c r="A169" s="3" t="s">
        <v>822</v>
      </c>
      <c r="B169" s="3" t="s">
        <v>595</v>
      </c>
      <c r="C169" s="3">
        <v>168.0</v>
      </c>
      <c r="D169" s="3">
        <v>168.0</v>
      </c>
      <c r="E169" s="3" t="s">
        <v>1029</v>
      </c>
      <c r="F169" s="3" t="s">
        <v>991</v>
      </c>
      <c r="G169" s="3" t="s">
        <v>1144</v>
      </c>
      <c r="H169" s="3" t="s">
        <v>837</v>
      </c>
    </row>
    <row r="170" ht="15.75" customHeight="1">
      <c r="A170" s="2" t="s">
        <v>822</v>
      </c>
      <c r="B170" s="2" t="s">
        <v>602</v>
      </c>
      <c r="C170" s="2">
        <v>169.0</v>
      </c>
      <c r="D170" s="2">
        <v>169.0</v>
      </c>
      <c r="E170" s="2" t="s">
        <v>1029</v>
      </c>
      <c r="F170" s="2"/>
      <c r="G170" s="2" t="s">
        <v>1146</v>
      </c>
      <c r="H170" s="2" t="s">
        <v>860</v>
      </c>
    </row>
    <row r="171" ht="15.75" customHeight="1">
      <c r="A171" s="3" t="s">
        <v>822</v>
      </c>
      <c r="B171" s="3" t="s">
        <v>606</v>
      </c>
      <c r="C171" s="3">
        <v>170.0</v>
      </c>
      <c r="D171" s="3">
        <v>170.0</v>
      </c>
      <c r="E171" s="3" t="s">
        <v>1029</v>
      </c>
      <c r="F171" s="3" t="s">
        <v>991</v>
      </c>
      <c r="G171" s="3" t="s">
        <v>1147</v>
      </c>
      <c r="H171" s="3" t="s">
        <v>885</v>
      </c>
    </row>
    <row r="172" ht="15.75" customHeight="1">
      <c r="A172" s="2" t="s">
        <v>822</v>
      </c>
      <c r="B172" s="2" t="s">
        <v>611</v>
      </c>
      <c r="C172" s="2">
        <v>171.0</v>
      </c>
      <c r="D172" s="2">
        <v>171.0</v>
      </c>
      <c r="E172" s="2" t="s">
        <v>1029</v>
      </c>
      <c r="F172" s="2"/>
      <c r="G172" s="2" t="s">
        <v>1149</v>
      </c>
      <c r="H172" s="2" t="s">
        <v>837</v>
      </c>
    </row>
    <row r="173" ht="15.75" customHeight="1">
      <c r="A173" s="3" t="s">
        <v>822</v>
      </c>
      <c r="B173" s="3" t="s">
        <v>617</v>
      </c>
      <c r="C173" s="3">
        <v>172.0</v>
      </c>
      <c r="D173" s="3">
        <v>172.0</v>
      </c>
      <c r="E173" s="3" t="s">
        <v>1029</v>
      </c>
      <c r="F173" s="3" t="s">
        <v>991</v>
      </c>
      <c r="G173" s="3" t="s">
        <v>1151</v>
      </c>
      <c r="H173" s="3" t="s">
        <v>837</v>
      </c>
    </row>
    <row r="174" ht="15.75" customHeight="1">
      <c r="A174" s="2" t="s">
        <v>822</v>
      </c>
      <c r="B174" s="2" t="s">
        <v>623</v>
      </c>
      <c r="C174" s="2">
        <v>173.0</v>
      </c>
      <c r="D174" s="2">
        <v>173.0</v>
      </c>
      <c r="E174" s="2" t="s">
        <v>1029</v>
      </c>
      <c r="F174" s="2" t="s">
        <v>1153</v>
      </c>
      <c r="G174" s="2" t="s">
        <v>1154</v>
      </c>
      <c r="H174" s="2" t="s">
        <v>837</v>
      </c>
    </row>
    <row r="175" ht="15.75" customHeight="1">
      <c r="A175" s="3" t="s">
        <v>822</v>
      </c>
      <c r="B175" s="3" t="s">
        <v>628</v>
      </c>
      <c r="C175" s="3">
        <v>174.0</v>
      </c>
      <c r="D175" s="3">
        <v>174.0</v>
      </c>
      <c r="E175" s="3" t="s">
        <v>1029</v>
      </c>
      <c r="F175" s="3" t="s">
        <v>1153</v>
      </c>
      <c r="G175" s="3" t="s">
        <v>1155</v>
      </c>
      <c r="H175" s="3" t="s">
        <v>919</v>
      </c>
    </row>
    <row r="176" ht="15.75" customHeight="1">
      <c r="A176" s="2" t="s">
        <v>822</v>
      </c>
      <c r="B176" s="2" t="s">
        <v>632</v>
      </c>
      <c r="C176" s="2">
        <v>175.0</v>
      </c>
      <c r="D176" s="2">
        <v>175.0</v>
      </c>
      <c r="E176" s="2" t="s">
        <v>1029</v>
      </c>
      <c r="F176" s="2" t="s">
        <v>1158</v>
      </c>
      <c r="G176" s="2" t="s">
        <v>1159</v>
      </c>
      <c r="H176" s="2" t="s">
        <v>847</v>
      </c>
    </row>
    <row r="177" ht="15.75" customHeight="1">
      <c r="A177" s="3" t="s">
        <v>822</v>
      </c>
      <c r="B177" s="3" t="s">
        <v>634</v>
      </c>
      <c r="C177" s="3">
        <v>176.0</v>
      </c>
      <c r="D177" s="3">
        <v>176.0</v>
      </c>
      <c r="E177" s="3" t="s">
        <v>1029</v>
      </c>
      <c r="F177" s="3" t="s">
        <v>1158</v>
      </c>
      <c r="G177" s="3" t="s">
        <v>1160</v>
      </c>
      <c r="H177" s="3" t="s">
        <v>830</v>
      </c>
    </row>
    <row r="178" ht="15.75" customHeight="1">
      <c r="A178" s="2" t="s">
        <v>822</v>
      </c>
      <c r="B178" s="2" t="s">
        <v>637</v>
      </c>
      <c r="C178" s="2">
        <v>177.0</v>
      </c>
      <c r="D178" s="2">
        <v>177.0</v>
      </c>
      <c r="E178" s="2" t="s">
        <v>1029</v>
      </c>
      <c r="F178" s="2" t="s">
        <v>1158</v>
      </c>
      <c r="G178" s="2" t="s">
        <v>1162</v>
      </c>
      <c r="H178" s="2" t="s">
        <v>847</v>
      </c>
    </row>
    <row r="179" ht="15.75" customHeight="1">
      <c r="A179" s="3" t="s">
        <v>822</v>
      </c>
      <c r="B179" s="3" t="s">
        <v>640</v>
      </c>
      <c r="C179" s="3">
        <v>178.0</v>
      </c>
      <c r="D179" s="3">
        <v>178.0</v>
      </c>
      <c r="E179" s="3" t="s">
        <v>1029</v>
      </c>
      <c r="F179" s="3" t="s">
        <v>1158</v>
      </c>
      <c r="G179" s="3" t="s">
        <v>1164</v>
      </c>
      <c r="H179" s="3" t="s">
        <v>860</v>
      </c>
    </row>
    <row r="180" ht="15.75" customHeight="1">
      <c r="A180" s="2" t="s">
        <v>822</v>
      </c>
      <c r="B180" s="2" t="s">
        <v>648</v>
      </c>
      <c r="C180" s="2">
        <v>179.0</v>
      </c>
      <c r="D180" s="2">
        <v>179.0</v>
      </c>
      <c r="E180" s="2" t="s">
        <v>1029</v>
      </c>
      <c r="F180" s="2" t="s">
        <v>1158</v>
      </c>
      <c r="G180" s="2" t="s">
        <v>1166</v>
      </c>
      <c r="H180" s="2" t="s">
        <v>860</v>
      </c>
    </row>
    <row r="181" ht="15.75" customHeight="1">
      <c r="A181" s="3" t="s">
        <v>822</v>
      </c>
      <c r="B181" s="3" t="s">
        <v>653</v>
      </c>
      <c r="C181" s="3">
        <v>180.0</v>
      </c>
      <c r="D181" s="3">
        <v>180.0</v>
      </c>
      <c r="E181" s="3" t="s">
        <v>1029</v>
      </c>
      <c r="F181" s="3" t="s">
        <v>1158</v>
      </c>
      <c r="G181" s="3" t="s">
        <v>1167</v>
      </c>
      <c r="H181" s="3" t="s">
        <v>860</v>
      </c>
    </row>
    <row r="182" ht="15.75" customHeight="1">
      <c r="A182" s="2" t="s">
        <v>822</v>
      </c>
      <c r="B182" s="2" t="s">
        <v>658</v>
      </c>
      <c r="C182" s="2">
        <v>181.0</v>
      </c>
      <c r="D182" s="2">
        <v>181.0</v>
      </c>
      <c r="E182" s="2" t="s">
        <v>1029</v>
      </c>
      <c r="F182" s="2" t="s">
        <v>1168</v>
      </c>
      <c r="G182" s="2" t="s">
        <v>1169</v>
      </c>
      <c r="H182" s="2" t="s">
        <v>837</v>
      </c>
    </row>
    <row r="183" ht="15.75" customHeight="1">
      <c r="A183" s="3" t="s">
        <v>822</v>
      </c>
      <c r="B183" s="3" t="s">
        <v>663</v>
      </c>
      <c r="C183" s="3">
        <v>182.0</v>
      </c>
      <c r="D183" s="3">
        <v>182.0</v>
      </c>
      <c r="E183" s="3" t="s">
        <v>1029</v>
      </c>
      <c r="F183" s="3" t="s">
        <v>1168</v>
      </c>
      <c r="G183" s="3" t="s">
        <v>1171</v>
      </c>
      <c r="H183" s="3" t="s">
        <v>837</v>
      </c>
    </row>
    <row r="184" ht="15.75" customHeight="1">
      <c r="A184" s="2" t="s">
        <v>822</v>
      </c>
      <c r="B184" s="2" t="s">
        <v>668</v>
      </c>
      <c r="C184" s="2">
        <v>183.0</v>
      </c>
      <c r="D184" s="2">
        <v>183.0</v>
      </c>
      <c r="E184" s="2" t="s">
        <v>1029</v>
      </c>
      <c r="F184" s="2" t="s">
        <v>1168</v>
      </c>
      <c r="G184" s="2" t="s">
        <v>1174</v>
      </c>
      <c r="H184" s="2" t="s">
        <v>837</v>
      </c>
    </row>
    <row r="185" ht="15.75" customHeight="1">
      <c r="A185" s="3" t="s">
        <v>822</v>
      </c>
      <c r="B185" s="3" t="s">
        <v>673</v>
      </c>
      <c r="C185" s="3">
        <v>184.0</v>
      </c>
      <c r="D185" s="3">
        <v>184.0</v>
      </c>
      <c r="E185" s="3" t="s">
        <v>1029</v>
      </c>
      <c r="F185" s="3" t="s">
        <v>1168</v>
      </c>
      <c r="G185" s="3" t="s">
        <v>1175</v>
      </c>
      <c r="H185" s="3" t="s">
        <v>837</v>
      </c>
    </row>
    <row r="186" ht="15.75" customHeight="1">
      <c r="A186" s="2" t="s">
        <v>822</v>
      </c>
      <c r="B186" s="2" t="s">
        <v>678</v>
      </c>
      <c r="C186" s="2">
        <v>185.0</v>
      </c>
      <c r="D186" s="2">
        <v>185.0</v>
      </c>
      <c r="E186" s="2" t="s">
        <v>1029</v>
      </c>
      <c r="F186" s="2" t="s">
        <v>1168</v>
      </c>
      <c r="G186" s="2" t="s">
        <v>1176</v>
      </c>
      <c r="H186" s="2" t="s">
        <v>837</v>
      </c>
    </row>
    <row r="187" ht="15.75" customHeight="1">
      <c r="A187" s="3" t="s">
        <v>822</v>
      </c>
      <c r="B187" s="3" t="s">
        <v>683</v>
      </c>
      <c r="C187" s="3">
        <v>186.0</v>
      </c>
      <c r="D187" s="3">
        <v>186.0</v>
      </c>
      <c r="E187" s="3" t="s">
        <v>1029</v>
      </c>
      <c r="F187" s="3" t="s">
        <v>1168</v>
      </c>
      <c r="G187" s="3" t="s">
        <v>1177</v>
      </c>
      <c r="H187" s="3" t="s">
        <v>837</v>
      </c>
    </row>
    <row r="188" ht="15.75" customHeight="1">
      <c r="A188" s="2" t="s">
        <v>822</v>
      </c>
      <c r="B188" s="2" t="s">
        <v>691</v>
      </c>
      <c r="C188" s="2">
        <v>187.0</v>
      </c>
      <c r="D188" s="2">
        <v>187.0</v>
      </c>
      <c r="E188" s="2" t="s">
        <v>1029</v>
      </c>
      <c r="F188" s="2" t="s">
        <v>1168</v>
      </c>
      <c r="G188" s="2" t="s">
        <v>1179</v>
      </c>
      <c r="H188" s="2" t="s">
        <v>837</v>
      </c>
    </row>
    <row r="189" ht="15.75" customHeight="1">
      <c r="A189" s="3" t="s">
        <v>822</v>
      </c>
      <c r="B189" s="3" t="s">
        <v>698</v>
      </c>
      <c r="C189" s="3">
        <v>188.0</v>
      </c>
      <c r="D189" s="3">
        <v>188.0</v>
      </c>
      <c r="E189" s="3" t="s">
        <v>1029</v>
      </c>
      <c r="F189" s="3" t="s">
        <v>1168</v>
      </c>
      <c r="G189" s="3" t="s">
        <v>1181</v>
      </c>
      <c r="H189" s="3" t="s">
        <v>837</v>
      </c>
    </row>
    <row r="190" ht="15.75" customHeight="1">
      <c r="A190" s="2" t="s">
        <v>822</v>
      </c>
      <c r="B190" s="2" t="s">
        <v>707</v>
      </c>
      <c r="C190" s="2">
        <v>189.0</v>
      </c>
      <c r="D190" s="2">
        <v>189.0</v>
      </c>
      <c r="E190" s="2" t="s">
        <v>1029</v>
      </c>
      <c r="F190" s="2" t="s">
        <v>1182</v>
      </c>
      <c r="G190" s="2" t="s">
        <v>1183</v>
      </c>
      <c r="H190" s="2" t="s">
        <v>837</v>
      </c>
    </row>
    <row r="191" ht="15.75" customHeight="1">
      <c r="A191" s="3" t="s">
        <v>822</v>
      </c>
      <c r="B191" s="3" t="s">
        <v>714</v>
      </c>
      <c r="C191" s="3">
        <v>190.0</v>
      </c>
      <c r="D191" s="3">
        <v>190.0</v>
      </c>
      <c r="E191" s="3" t="s">
        <v>1029</v>
      </c>
      <c r="F191" s="3" t="s">
        <v>1182</v>
      </c>
      <c r="G191" s="3" t="s">
        <v>1184</v>
      </c>
      <c r="H191" s="3" t="s">
        <v>837</v>
      </c>
    </row>
    <row r="192" ht="15.75" customHeight="1">
      <c r="A192" s="2" t="s">
        <v>822</v>
      </c>
      <c r="B192" s="2" t="s">
        <v>721</v>
      </c>
      <c r="C192" s="2">
        <v>191.0</v>
      </c>
      <c r="D192" s="2">
        <v>191.0</v>
      </c>
      <c r="E192" s="2" t="s">
        <v>1029</v>
      </c>
      <c r="F192" s="2" t="s">
        <v>1186</v>
      </c>
      <c r="G192" s="2" t="s">
        <v>1187</v>
      </c>
      <c r="H192" s="2" t="s">
        <v>837</v>
      </c>
    </row>
    <row r="193" ht="15.75" customHeight="1">
      <c r="A193" s="3" t="s">
        <v>822</v>
      </c>
      <c r="B193" s="3" t="s">
        <v>726</v>
      </c>
      <c r="C193" s="3">
        <v>192.0</v>
      </c>
      <c r="D193" s="3">
        <v>192.0</v>
      </c>
      <c r="E193" s="3" t="s">
        <v>1029</v>
      </c>
      <c r="F193" s="3" t="s">
        <v>1190</v>
      </c>
      <c r="G193" s="3" t="s">
        <v>1191</v>
      </c>
      <c r="H193" s="3" t="s">
        <v>837</v>
      </c>
    </row>
    <row r="194" ht="15.75" customHeight="1">
      <c r="A194" s="2" t="s">
        <v>822</v>
      </c>
      <c r="B194" s="2" t="s">
        <v>730</v>
      </c>
      <c r="C194" s="2">
        <v>193.0</v>
      </c>
      <c r="D194" s="2">
        <v>193.0</v>
      </c>
      <c r="E194" s="2" t="s">
        <v>1029</v>
      </c>
      <c r="F194" s="2" t="s">
        <v>1190</v>
      </c>
      <c r="G194" s="2" t="s">
        <v>1192</v>
      </c>
      <c r="H194" s="2" t="s">
        <v>919</v>
      </c>
    </row>
    <row r="195" ht="15.75" customHeight="1">
      <c r="A195" s="3" t="s">
        <v>822</v>
      </c>
      <c r="B195" s="3" t="s">
        <v>732</v>
      </c>
      <c r="C195" s="3">
        <v>194.0</v>
      </c>
      <c r="D195" s="3">
        <v>194.0</v>
      </c>
      <c r="E195" s="3" t="s">
        <v>1029</v>
      </c>
      <c r="F195" s="3" t="s">
        <v>1190</v>
      </c>
      <c r="G195" s="3" t="s">
        <v>1194</v>
      </c>
      <c r="H195" s="3" t="s">
        <v>919</v>
      </c>
    </row>
    <row r="196" ht="15.75" customHeight="1">
      <c r="A196" s="2" t="s">
        <v>822</v>
      </c>
      <c r="B196" s="2" t="s">
        <v>735</v>
      </c>
      <c r="C196" s="2">
        <v>195.0</v>
      </c>
      <c r="D196" s="2">
        <v>195.0</v>
      </c>
      <c r="E196" s="2" t="s">
        <v>1029</v>
      </c>
      <c r="F196" s="2" t="s">
        <v>1196</v>
      </c>
      <c r="G196" s="2" t="s">
        <v>1197</v>
      </c>
      <c r="H196" s="2" t="s">
        <v>837</v>
      </c>
    </row>
    <row r="197" ht="15.75" customHeight="1">
      <c r="A197" s="3" t="s">
        <v>822</v>
      </c>
      <c r="B197" s="3" t="s">
        <v>739</v>
      </c>
      <c r="C197" s="3">
        <v>196.0</v>
      </c>
      <c r="D197" s="3">
        <v>196.0</v>
      </c>
      <c r="E197" s="3" t="s">
        <v>1029</v>
      </c>
      <c r="F197" s="3" t="s">
        <v>1196</v>
      </c>
      <c r="G197" s="3" t="s">
        <v>1199</v>
      </c>
      <c r="H197" s="3" t="s">
        <v>919</v>
      </c>
    </row>
    <row r="198" ht="15.75" customHeight="1">
      <c r="A198" s="2" t="s">
        <v>822</v>
      </c>
      <c r="B198" s="2" t="s">
        <v>741</v>
      </c>
      <c r="C198" s="2">
        <v>197.0</v>
      </c>
      <c r="D198" s="2">
        <v>197.0</v>
      </c>
      <c r="E198" s="2" t="s">
        <v>1029</v>
      </c>
      <c r="F198" s="2" t="s">
        <v>1196</v>
      </c>
      <c r="G198" s="2" t="s">
        <v>1201</v>
      </c>
      <c r="H198" s="2" t="s">
        <v>919</v>
      </c>
    </row>
    <row r="199" ht="15.75" customHeight="1">
      <c r="A199" s="3" t="s">
        <v>822</v>
      </c>
      <c r="B199" s="3" t="s">
        <v>744</v>
      </c>
      <c r="C199" s="3">
        <v>198.0</v>
      </c>
      <c r="D199" s="3">
        <v>198.0</v>
      </c>
      <c r="E199" s="3" t="s">
        <v>1029</v>
      </c>
      <c r="F199" s="3" t="s">
        <v>1202</v>
      </c>
      <c r="G199" s="3" t="s">
        <v>1203</v>
      </c>
      <c r="H199" s="3" t="s">
        <v>837</v>
      </c>
    </row>
    <row r="200" ht="15.75" customHeight="1">
      <c r="A200" s="2" t="s">
        <v>822</v>
      </c>
      <c r="B200" s="2" t="s">
        <v>749</v>
      </c>
      <c r="C200" s="2">
        <v>199.0</v>
      </c>
      <c r="D200" s="2">
        <v>199.0</v>
      </c>
      <c r="E200" s="2" t="s">
        <v>1029</v>
      </c>
      <c r="F200" s="2" t="s">
        <v>1205</v>
      </c>
      <c r="G200" s="2" t="s">
        <v>1206</v>
      </c>
      <c r="H200" s="2" t="s">
        <v>837</v>
      </c>
    </row>
    <row r="201" ht="15.75" customHeight="1">
      <c r="A201" s="3" t="s">
        <v>822</v>
      </c>
      <c r="B201" s="3" t="s">
        <v>755</v>
      </c>
      <c r="C201" s="3">
        <v>200.0</v>
      </c>
      <c r="D201" s="3">
        <v>200.0</v>
      </c>
      <c r="E201" s="3" t="s">
        <v>1029</v>
      </c>
      <c r="F201" s="3" t="s">
        <v>1207</v>
      </c>
      <c r="G201" s="3" t="s">
        <v>1208</v>
      </c>
      <c r="H201" s="3" t="s">
        <v>837</v>
      </c>
    </row>
    <row r="202" ht="15.75" customHeight="1">
      <c r="A202" s="2" t="s">
        <v>822</v>
      </c>
      <c r="B202" s="2" t="s">
        <v>760</v>
      </c>
      <c r="C202" s="2">
        <v>201.0</v>
      </c>
      <c r="D202" s="2">
        <v>201.0</v>
      </c>
      <c r="E202" s="2" t="s">
        <v>1029</v>
      </c>
      <c r="F202" s="2" t="s">
        <v>1207</v>
      </c>
      <c r="G202" s="2" t="s">
        <v>1211</v>
      </c>
      <c r="H202" s="2" t="s">
        <v>837</v>
      </c>
    </row>
    <row r="203" ht="15.75" customHeight="1">
      <c r="A203" s="3" t="s">
        <v>822</v>
      </c>
      <c r="B203" s="3" t="s">
        <v>765</v>
      </c>
      <c r="C203" s="3">
        <v>202.0</v>
      </c>
      <c r="D203" s="3">
        <v>202.0</v>
      </c>
      <c r="E203" s="3" t="s">
        <v>1029</v>
      </c>
      <c r="F203" s="3" t="s">
        <v>1207</v>
      </c>
      <c r="G203" s="3" t="s">
        <v>1212</v>
      </c>
      <c r="H203" s="3" t="s">
        <v>837</v>
      </c>
    </row>
    <row r="204" ht="15.75" customHeight="1">
      <c r="A204" s="2" t="s">
        <v>822</v>
      </c>
      <c r="B204" s="2" t="s">
        <v>769</v>
      </c>
      <c r="C204" s="2">
        <v>203.0</v>
      </c>
      <c r="D204" s="2">
        <v>203.0</v>
      </c>
      <c r="E204" s="2" t="s">
        <v>1029</v>
      </c>
      <c r="F204" s="2" t="s">
        <v>1213</v>
      </c>
      <c r="G204" s="2" t="s">
        <v>1214</v>
      </c>
      <c r="H204" s="2" t="s">
        <v>919</v>
      </c>
    </row>
    <row r="205" ht="15.75" customHeight="1">
      <c r="A205" s="3" t="s">
        <v>822</v>
      </c>
      <c r="B205" s="3" t="s">
        <v>771</v>
      </c>
      <c r="C205" s="3">
        <v>204.0</v>
      </c>
      <c r="D205" s="3">
        <v>204.0</v>
      </c>
      <c r="E205" s="3" t="s">
        <v>1029</v>
      </c>
      <c r="F205" s="3" t="s">
        <v>1213</v>
      </c>
      <c r="G205" s="3" t="s">
        <v>1216</v>
      </c>
      <c r="H205" s="3" t="s">
        <v>919</v>
      </c>
    </row>
    <row r="206" ht="15.75" customHeight="1">
      <c r="A206" s="2" t="s">
        <v>822</v>
      </c>
      <c r="B206" s="2" t="s">
        <v>773</v>
      </c>
      <c r="C206" s="2">
        <v>205.0</v>
      </c>
      <c r="D206" s="2">
        <v>205.0</v>
      </c>
      <c r="E206" s="2" t="s">
        <v>1029</v>
      </c>
      <c r="F206" s="2" t="s">
        <v>1213</v>
      </c>
      <c r="G206" s="2" t="s">
        <v>1217</v>
      </c>
      <c r="H206" s="2" t="s">
        <v>919</v>
      </c>
    </row>
    <row r="207" ht="15.75" customHeight="1">
      <c r="A207" s="3" t="s">
        <v>822</v>
      </c>
      <c r="B207" s="3" t="s">
        <v>777</v>
      </c>
      <c r="C207" s="3">
        <v>206.0</v>
      </c>
      <c r="D207" s="3">
        <v>206.0</v>
      </c>
      <c r="E207" s="3" t="s">
        <v>1029</v>
      </c>
      <c r="F207" s="3"/>
      <c r="G207" s="3" t="s">
        <v>1218</v>
      </c>
      <c r="H207" s="3" t="s">
        <v>837</v>
      </c>
    </row>
    <row r="208" ht="15.75" customHeight="1">
      <c r="A208" s="2" t="s">
        <v>822</v>
      </c>
      <c r="B208" s="2" t="s">
        <v>781</v>
      </c>
      <c r="C208" s="2">
        <v>207.0</v>
      </c>
      <c r="D208" s="2">
        <v>207.0</v>
      </c>
      <c r="E208" s="2" t="s">
        <v>1029</v>
      </c>
      <c r="F208" s="2" t="s">
        <v>1213</v>
      </c>
      <c r="G208" s="2" t="s">
        <v>1221</v>
      </c>
      <c r="H208" s="2" t="s">
        <v>919</v>
      </c>
    </row>
    <row r="209" ht="15.75" customHeight="1">
      <c r="A209" s="3" t="s">
        <v>822</v>
      </c>
      <c r="B209" s="3" t="s">
        <v>783</v>
      </c>
      <c r="C209" s="3">
        <v>208.0</v>
      </c>
      <c r="D209" s="3">
        <v>208.0</v>
      </c>
      <c r="E209" s="3" t="s">
        <v>1029</v>
      </c>
      <c r="F209" s="3" t="s">
        <v>1213</v>
      </c>
      <c r="G209" s="3" t="s">
        <v>1224</v>
      </c>
      <c r="H209" s="3" t="s">
        <v>919</v>
      </c>
    </row>
    <row r="210" ht="15.75" customHeight="1">
      <c r="A210" s="2" t="s">
        <v>822</v>
      </c>
      <c r="B210" s="2" t="s">
        <v>785</v>
      </c>
      <c r="C210" s="2">
        <v>209.0</v>
      </c>
      <c r="D210" s="2">
        <v>209.0</v>
      </c>
      <c r="E210" s="2" t="s">
        <v>1029</v>
      </c>
      <c r="F210" s="2" t="s">
        <v>1213</v>
      </c>
      <c r="G210" s="2" t="s">
        <v>1225</v>
      </c>
      <c r="H210" s="2" t="s">
        <v>919</v>
      </c>
    </row>
    <row r="211" ht="15.75" customHeight="1">
      <c r="A211" s="3" t="s">
        <v>822</v>
      </c>
      <c r="B211" s="3" t="s">
        <v>788</v>
      </c>
      <c r="C211" s="3">
        <v>210.0</v>
      </c>
      <c r="D211" s="3">
        <v>210.0</v>
      </c>
      <c r="E211" s="3" t="s">
        <v>1029</v>
      </c>
      <c r="F211" s="3"/>
      <c r="G211" s="3" t="s">
        <v>1226</v>
      </c>
      <c r="H211" s="3" t="s">
        <v>837</v>
      </c>
    </row>
    <row r="212" ht="15.75" customHeight="1">
      <c r="A212" s="2" t="s">
        <v>822</v>
      </c>
      <c r="B212" s="2" t="s">
        <v>792</v>
      </c>
      <c r="C212" s="2">
        <v>211.0</v>
      </c>
      <c r="D212" s="2">
        <v>211.0</v>
      </c>
      <c r="E212" s="2" t="s">
        <v>1029</v>
      </c>
      <c r="F212" s="2" t="s">
        <v>1227</v>
      </c>
      <c r="G212" s="2" t="s">
        <v>1228</v>
      </c>
      <c r="H212" s="2" t="s">
        <v>990</v>
      </c>
    </row>
    <row r="213" ht="15.75" customHeight="1">
      <c r="A213" s="3" t="s">
        <v>822</v>
      </c>
      <c r="B213" s="3" t="s">
        <v>796</v>
      </c>
      <c r="C213" s="3">
        <v>212.0</v>
      </c>
      <c r="D213" s="3">
        <v>212.0</v>
      </c>
      <c r="E213" s="3" t="s">
        <v>1029</v>
      </c>
      <c r="F213" s="3" t="s">
        <v>1230</v>
      </c>
      <c r="G213" s="3" t="s">
        <v>1231</v>
      </c>
      <c r="H213" s="3" t="s">
        <v>1052</v>
      </c>
    </row>
    <row r="214" ht="15.75" customHeight="1">
      <c r="A214" s="2" t="s">
        <v>822</v>
      </c>
      <c r="B214" s="2" t="s">
        <v>800</v>
      </c>
      <c r="C214" s="2">
        <v>213.0</v>
      </c>
      <c r="D214" s="2">
        <v>213.0</v>
      </c>
      <c r="E214" s="2" t="s">
        <v>1029</v>
      </c>
      <c r="F214" s="2" t="s">
        <v>1230</v>
      </c>
      <c r="G214" s="2" t="s">
        <v>1233</v>
      </c>
      <c r="H214" s="2" t="s">
        <v>1052</v>
      </c>
    </row>
    <row r="215" ht="15.75" customHeight="1">
      <c r="A215" s="3" t="s">
        <v>822</v>
      </c>
      <c r="B215" s="3" t="s">
        <v>801</v>
      </c>
      <c r="C215" s="3">
        <v>214.0</v>
      </c>
      <c r="D215" s="3">
        <v>214.0</v>
      </c>
      <c r="E215" s="3" t="s">
        <v>1029</v>
      </c>
      <c r="F215" s="3" t="s">
        <v>1230</v>
      </c>
      <c r="G215" s="3" t="s">
        <v>1234</v>
      </c>
      <c r="H215" s="3" t="s">
        <v>1052</v>
      </c>
    </row>
    <row r="216" ht="15.75" customHeight="1">
      <c r="A216" s="2" t="s">
        <v>822</v>
      </c>
      <c r="B216" s="2" t="s">
        <v>803</v>
      </c>
      <c r="C216" s="2">
        <v>215.0</v>
      </c>
      <c r="D216" s="2">
        <v>215.0</v>
      </c>
      <c r="E216" s="2" t="s">
        <v>1029</v>
      </c>
      <c r="F216" s="2" t="s">
        <v>1230</v>
      </c>
      <c r="G216" s="2" t="s">
        <v>1236</v>
      </c>
      <c r="H216" s="2" t="s">
        <v>1052</v>
      </c>
    </row>
    <row r="217" ht="15.75" customHeight="1">
      <c r="A217" s="3" t="s">
        <v>822</v>
      </c>
      <c r="B217" s="3" t="s">
        <v>805</v>
      </c>
      <c r="C217" s="3">
        <v>216.0</v>
      </c>
      <c r="D217" s="3">
        <v>216.0</v>
      </c>
      <c r="E217" s="3" t="s">
        <v>1029</v>
      </c>
      <c r="F217" s="3" t="s">
        <v>1230</v>
      </c>
      <c r="G217" s="3" t="s">
        <v>1237</v>
      </c>
      <c r="H217" s="3" t="s">
        <v>1052</v>
      </c>
    </row>
    <row r="218" ht="15.75" customHeight="1">
      <c r="A218" s="2" t="s">
        <v>822</v>
      </c>
      <c r="B218" s="2" t="s">
        <v>807</v>
      </c>
      <c r="C218" s="2">
        <v>217.0</v>
      </c>
      <c r="D218" s="2">
        <v>217.0</v>
      </c>
      <c r="E218" s="2" t="s">
        <v>1029</v>
      </c>
      <c r="F218" s="2" t="s">
        <v>1230</v>
      </c>
      <c r="G218" s="2" t="s">
        <v>1238</v>
      </c>
      <c r="H218" s="2" t="s">
        <v>1052</v>
      </c>
    </row>
    <row r="219" ht="15.75" customHeight="1">
      <c r="A219" s="3" t="s">
        <v>822</v>
      </c>
      <c r="B219" s="3" t="s">
        <v>810</v>
      </c>
      <c r="C219" s="3">
        <v>218.0</v>
      </c>
      <c r="D219" s="3">
        <v>218.0</v>
      </c>
      <c r="E219" s="3" t="s">
        <v>1029</v>
      </c>
      <c r="F219" s="3"/>
      <c r="G219" s="3" t="s">
        <v>1240</v>
      </c>
      <c r="H219" s="3" t="s">
        <v>837</v>
      </c>
    </row>
    <row r="220" ht="15.75" customHeight="1">
      <c r="A220" s="2" t="s">
        <v>822</v>
      </c>
      <c r="B220" s="2" t="s">
        <v>814</v>
      </c>
      <c r="C220" s="2">
        <v>219.0</v>
      </c>
      <c r="D220" s="2">
        <v>219.0</v>
      </c>
      <c r="E220" s="2" t="s">
        <v>1029</v>
      </c>
      <c r="F220" s="2" t="s">
        <v>1242</v>
      </c>
      <c r="G220" s="2" t="s">
        <v>1243</v>
      </c>
      <c r="H220" s="2" t="s">
        <v>1052</v>
      </c>
    </row>
    <row r="221" ht="15.75" customHeight="1">
      <c r="A221" s="3" t="s">
        <v>822</v>
      </c>
      <c r="B221" s="3" t="s">
        <v>828</v>
      </c>
      <c r="C221" s="3">
        <v>220.0</v>
      </c>
      <c r="D221" s="3">
        <v>220.0</v>
      </c>
      <c r="E221" s="3" t="s">
        <v>1029</v>
      </c>
      <c r="F221" s="3" t="s">
        <v>1242</v>
      </c>
      <c r="G221" s="3" t="s">
        <v>1245</v>
      </c>
      <c r="H221" s="3" t="s">
        <v>1052</v>
      </c>
    </row>
    <row r="222" ht="15.75" customHeight="1">
      <c r="A222" s="2" t="s">
        <v>822</v>
      </c>
      <c r="B222" s="2" t="s">
        <v>835</v>
      </c>
      <c r="C222" s="2">
        <v>221.0</v>
      </c>
      <c r="D222" s="2">
        <v>221.0</v>
      </c>
      <c r="E222" s="2" t="s">
        <v>1029</v>
      </c>
      <c r="F222" s="2" t="s">
        <v>1242</v>
      </c>
      <c r="G222" s="2" t="s">
        <v>1246</v>
      </c>
      <c r="H222" s="2" t="s">
        <v>1052</v>
      </c>
    </row>
    <row r="223" ht="15.75" customHeight="1">
      <c r="A223" s="3" t="s">
        <v>822</v>
      </c>
      <c r="B223" s="3" t="s">
        <v>851</v>
      </c>
      <c r="C223" s="3">
        <v>222.0</v>
      </c>
      <c r="D223" s="3">
        <v>222.0</v>
      </c>
      <c r="E223" s="3" t="s">
        <v>1029</v>
      </c>
      <c r="F223" s="3"/>
      <c r="G223" s="3" t="s">
        <v>1249</v>
      </c>
      <c r="H223" s="3" t="s">
        <v>837</v>
      </c>
    </row>
    <row r="224" ht="15.75" customHeight="1">
      <c r="A224" s="2" t="s">
        <v>822</v>
      </c>
      <c r="B224" s="2" t="s">
        <v>874</v>
      </c>
      <c r="C224" s="2">
        <v>223.0</v>
      </c>
      <c r="D224" s="2">
        <v>223.0</v>
      </c>
      <c r="E224" s="2" t="s">
        <v>1029</v>
      </c>
      <c r="F224" s="2" t="s">
        <v>1242</v>
      </c>
      <c r="G224" s="2" t="s">
        <v>1250</v>
      </c>
      <c r="H224" s="2" t="s">
        <v>919</v>
      </c>
    </row>
    <row r="225" ht="15.75" customHeight="1">
      <c r="A225" s="3" t="s">
        <v>822</v>
      </c>
      <c r="B225" s="3" t="s">
        <v>884</v>
      </c>
      <c r="C225" s="3">
        <v>224.0</v>
      </c>
      <c r="D225" s="3">
        <v>224.0</v>
      </c>
      <c r="E225" s="3" t="s">
        <v>1029</v>
      </c>
      <c r="F225" s="3" t="s">
        <v>1251</v>
      </c>
      <c r="G225" s="3" t="s">
        <v>1252</v>
      </c>
      <c r="H225" s="3" t="s">
        <v>1052</v>
      </c>
    </row>
    <row r="226" ht="15.75" customHeight="1">
      <c r="A226" s="2" t="s">
        <v>822</v>
      </c>
      <c r="B226" s="2" t="s">
        <v>891</v>
      </c>
      <c r="C226" s="2">
        <v>225.0</v>
      </c>
      <c r="D226" s="2">
        <v>225.0</v>
      </c>
      <c r="E226" s="2" t="s">
        <v>1029</v>
      </c>
      <c r="F226" s="2" t="s">
        <v>1251</v>
      </c>
      <c r="G226" s="2" t="s">
        <v>1254</v>
      </c>
      <c r="H226" s="2" t="s">
        <v>1052</v>
      </c>
    </row>
    <row r="227" ht="15.75" customHeight="1">
      <c r="A227" s="3" t="s">
        <v>822</v>
      </c>
      <c r="B227" s="3" t="s">
        <v>898</v>
      </c>
      <c r="C227" s="3">
        <v>226.0</v>
      </c>
      <c r="D227" s="3">
        <v>226.0</v>
      </c>
      <c r="E227" s="3" t="s">
        <v>1029</v>
      </c>
      <c r="F227" s="3" t="s">
        <v>1251</v>
      </c>
      <c r="G227" s="3" t="s">
        <v>1256</v>
      </c>
      <c r="H227" s="3" t="s">
        <v>1052</v>
      </c>
    </row>
    <row r="228" ht="15.75" customHeight="1">
      <c r="A228" s="2" t="s">
        <v>822</v>
      </c>
      <c r="B228" s="2" t="s">
        <v>907</v>
      </c>
      <c r="C228" s="2">
        <v>227.0</v>
      </c>
      <c r="D228" s="2">
        <v>227.0</v>
      </c>
      <c r="E228" s="2" t="s">
        <v>1029</v>
      </c>
      <c r="F228" s="2" t="s">
        <v>1251</v>
      </c>
      <c r="G228" s="2" t="s">
        <v>1258</v>
      </c>
      <c r="H228" s="2" t="s">
        <v>837</v>
      </c>
    </row>
    <row r="229" ht="15.75" customHeight="1">
      <c r="A229" s="3" t="s">
        <v>822</v>
      </c>
      <c r="B229" s="3" t="s">
        <v>920</v>
      </c>
      <c r="C229" s="3">
        <v>228.0</v>
      </c>
      <c r="D229" s="3">
        <v>228.0</v>
      </c>
      <c r="E229" s="3" t="s">
        <v>1029</v>
      </c>
      <c r="F229" s="3" t="s">
        <v>1251</v>
      </c>
      <c r="G229" s="3" t="s">
        <v>1260</v>
      </c>
      <c r="H229" s="3" t="s">
        <v>919</v>
      </c>
    </row>
    <row r="230" ht="15.75" customHeight="1">
      <c r="A230" s="2" t="s">
        <v>822</v>
      </c>
      <c r="B230" s="2" t="s">
        <v>930</v>
      </c>
      <c r="C230" s="2">
        <v>229.0</v>
      </c>
      <c r="D230" s="2">
        <v>229.0</v>
      </c>
      <c r="E230" s="2" t="s">
        <v>1029</v>
      </c>
      <c r="F230" s="2"/>
      <c r="G230" s="2" t="s">
        <v>1261</v>
      </c>
      <c r="H230" s="2" t="s">
        <v>837</v>
      </c>
    </row>
    <row r="231" ht="15.75" customHeight="1">
      <c r="A231" s="3" t="s">
        <v>822</v>
      </c>
      <c r="B231" s="3" t="s">
        <v>946</v>
      </c>
      <c r="C231" s="3">
        <v>230.0</v>
      </c>
      <c r="D231" s="3">
        <v>230.0</v>
      </c>
      <c r="E231" s="3" t="s">
        <v>1029</v>
      </c>
      <c r="F231" s="3" t="s">
        <v>1263</v>
      </c>
      <c r="G231" s="3" t="s">
        <v>1264</v>
      </c>
      <c r="H231" s="3" t="s">
        <v>1265</v>
      </c>
    </row>
    <row r="232" ht="15.75" customHeight="1">
      <c r="A232" s="2" t="s">
        <v>822</v>
      </c>
      <c r="B232" s="2" t="s">
        <v>963</v>
      </c>
      <c r="C232" s="2">
        <v>231.0</v>
      </c>
      <c r="D232" s="2">
        <v>231.0</v>
      </c>
      <c r="E232" s="2" t="s">
        <v>1029</v>
      </c>
      <c r="F232" s="2" t="s">
        <v>1263</v>
      </c>
      <c r="G232" s="2" t="s">
        <v>1266</v>
      </c>
      <c r="H232" s="2" t="s">
        <v>1265</v>
      </c>
    </row>
    <row r="233" ht="15.75" customHeight="1">
      <c r="A233" s="3" t="s">
        <v>822</v>
      </c>
      <c r="B233" s="3" t="s">
        <v>971</v>
      </c>
      <c r="C233" s="3">
        <v>232.0</v>
      </c>
      <c r="D233" s="3">
        <v>232.0</v>
      </c>
      <c r="E233" s="3" t="s">
        <v>1029</v>
      </c>
      <c r="F233" s="3" t="s">
        <v>1263</v>
      </c>
      <c r="G233" s="3" t="s">
        <v>1268</v>
      </c>
      <c r="H233" s="3" t="s">
        <v>1265</v>
      </c>
    </row>
    <row r="234" ht="15.75" customHeight="1">
      <c r="A234" s="2" t="s">
        <v>822</v>
      </c>
      <c r="B234" s="2" t="s">
        <v>980</v>
      </c>
      <c r="C234" s="2">
        <v>233.0</v>
      </c>
      <c r="D234" s="2">
        <v>233.0</v>
      </c>
      <c r="E234" s="2" t="s">
        <v>1029</v>
      </c>
      <c r="F234" s="2" t="s">
        <v>1263</v>
      </c>
      <c r="G234" s="2" t="s">
        <v>1269</v>
      </c>
      <c r="H234" s="2" t="s">
        <v>1265</v>
      </c>
    </row>
    <row r="235" ht="15.75" customHeight="1">
      <c r="A235" s="3" t="s">
        <v>822</v>
      </c>
      <c r="B235" s="3" t="s">
        <v>993</v>
      </c>
      <c r="C235" s="3">
        <v>234.0</v>
      </c>
      <c r="D235" s="3">
        <v>234.0</v>
      </c>
      <c r="E235" s="3" t="s">
        <v>1029</v>
      </c>
      <c r="F235" s="3" t="s">
        <v>1263</v>
      </c>
      <c r="G235" s="3" t="s">
        <v>1271</v>
      </c>
      <c r="H235" s="3" t="s">
        <v>1265</v>
      </c>
    </row>
    <row r="236" ht="15.75" customHeight="1">
      <c r="A236" s="2" t="s">
        <v>822</v>
      </c>
      <c r="B236" s="2" t="s">
        <v>1005</v>
      </c>
      <c r="C236" s="2">
        <v>235.0</v>
      </c>
      <c r="D236" s="2">
        <v>235.0</v>
      </c>
      <c r="E236" s="2" t="s">
        <v>1029</v>
      </c>
      <c r="F236" s="2" t="s">
        <v>1263</v>
      </c>
      <c r="G236" s="2" t="s">
        <v>1273</v>
      </c>
      <c r="H236" s="2" t="s">
        <v>1265</v>
      </c>
    </row>
    <row r="237" ht="15.75" customHeight="1">
      <c r="A237" s="3" t="s">
        <v>822</v>
      </c>
      <c r="B237" s="3" t="s">
        <v>1018</v>
      </c>
      <c r="C237" s="3">
        <v>236.0</v>
      </c>
      <c r="D237" s="3">
        <v>236.0</v>
      </c>
      <c r="E237" s="3" t="s">
        <v>1029</v>
      </c>
      <c r="F237" s="3" t="s">
        <v>1263</v>
      </c>
      <c r="G237" s="3" t="s">
        <v>1274</v>
      </c>
      <c r="H237" s="3" t="s">
        <v>919</v>
      </c>
    </row>
    <row r="238" ht="15.75" customHeight="1">
      <c r="A238" s="2" t="s">
        <v>822</v>
      </c>
      <c r="B238" s="2" t="s">
        <v>1032</v>
      </c>
      <c r="C238" s="2">
        <v>237.0</v>
      </c>
      <c r="D238" s="2">
        <v>237.0</v>
      </c>
      <c r="E238" s="2" t="s">
        <v>1029</v>
      </c>
      <c r="F238" s="2" t="s">
        <v>1275</v>
      </c>
      <c r="G238" s="2" t="s">
        <v>1231</v>
      </c>
      <c r="H238" s="2" t="s">
        <v>1052</v>
      </c>
    </row>
    <row r="239" ht="15.75" customHeight="1">
      <c r="A239" s="3" t="s">
        <v>822</v>
      </c>
      <c r="B239" s="3" t="s">
        <v>1039</v>
      </c>
      <c r="C239" s="3">
        <v>238.0</v>
      </c>
      <c r="D239" s="3">
        <v>238.0</v>
      </c>
      <c r="E239" s="3" t="s">
        <v>1029</v>
      </c>
      <c r="F239" s="3" t="s">
        <v>1275</v>
      </c>
      <c r="G239" s="3" t="s">
        <v>1233</v>
      </c>
      <c r="H239" s="3" t="s">
        <v>1052</v>
      </c>
    </row>
    <row r="240" ht="15.75" customHeight="1">
      <c r="A240" s="2" t="s">
        <v>822</v>
      </c>
      <c r="B240" s="2" t="s">
        <v>1046</v>
      </c>
      <c r="C240" s="2">
        <v>239.0</v>
      </c>
      <c r="D240" s="2">
        <v>239.0</v>
      </c>
      <c r="E240" s="2" t="s">
        <v>1029</v>
      </c>
      <c r="F240" s="2" t="s">
        <v>1275</v>
      </c>
      <c r="G240" s="2" t="s">
        <v>1234</v>
      </c>
      <c r="H240" s="2" t="s">
        <v>1052</v>
      </c>
    </row>
    <row r="241" ht="15.75" customHeight="1">
      <c r="A241" s="3" t="s">
        <v>822</v>
      </c>
      <c r="B241" s="3" t="s">
        <v>1055</v>
      </c>
      <c r="C241" s="3">
        <v>240.0</v>
      </c>
      <c r="D241" s="3">
        <v>240.0</v>
      </c>
      <c r="E241" s="3" t="s">
        <v>1029</v>
      </c>
      <c r="F241" s="3" t="s">
        <v>1275</v>
      </c>
      <c r="G241" s="3" t="s">
        <v>1277</v>
      </c>
      <c r="H241" s="3" t="s">
        <v>1052</v>
      </c>
    </row>
    <row r="242" ht="15.75" customHeight="1">
      <c r="A242" s="2" t="s">
        <v>822</v>
      </c>
      <c r="B242" s="2" t="s">
        <v>1065</v>
      </c>
      <c r="C242" s="2">
        <v>241.0</v>
      </c>
      <c r="D242" s="2">
        <v>241.0</v>
      </c>
      <c r="E242" s="2" t="s">
        <v>1029</v>
      </c>
      <c r="F242" s="2" t="s">
        <v>1275</v>
      </c>
      <c r="G242" s="2" t="s">
        <v>1237</v>
      </c>
      <c r="H242" s="2" t="s">
        <v>1052</v>
      </c>
    </row>
    <row r="243" ht="15.75" customHeight="1">
      <c r="A243" s="3" t="s">
        <v>822</v>
      </c>
      <c r="B243" s="3" t="s">
        <v>1077</v>
      </c>
      <c r="C243" s="3">
        <v>242.0</v>
      </c>
      <c r="D243" s="3">
        <v>242.0</v>
      </c>
      <c r="E243" s="3" t="s">
        <v>1029</v>
      </c>
      <c r="F243" s="3"/>
      <c r="G243" s="3" t="s">
        <v>1279</v>
      </c>
      <c r="H243" s="3" t="s">
        <v>837</v>
      </c>
    </row>
    <row r="244" ht="15.75" customHeight="1">
      <c r="A244" s="2" t="s">
        <v>822</v>
      </c>
      <c r="B244" s="2" t="s">
        <v>1096</v>
      </c>
      <c r="C244" s="2">
        <v>243.0</v>
      </c>
      <c r="D244" s="2">
        <v>243.0</v>
      </c>
      <c r="E244" s="2" t="s">
        <v>1029</v>
      </c>
      <c r="F244" s="2" t="s">
        <v>1275</v>
      </c>
      <c r="G244" s="2" t="s">
        <v>1238</v>
      </c>
      <c r="H244" s="2" t="s">
        <v>1052</v>
      </c>
    </row>
    <row r="245" ht="15.75" customHeight="1">
      <c r="A245" s="3" t="s">
        <v>822</v>
      </c>
      <c r="B245" s="3" t="s">
        <v>1106</v>
      </c>
      <c r="C245" s="3">
        <v>244.0</v>
      </c>
      <c r="D245" s="3">
        <v>244.0</v>
      </c>
      <c r="E245" s="3" t="s">
        <v>1029</v>
      </c>
      <c r="F245" s="3" t="s">
        <v>1280</v>
      </c>
      <c r="G245" s="3" t="s">
        <v>1243</v>
      </c>
      <c r="H245" s="3" t="s">
        <v>1052</v>
      </c>
    </row>
    <row r="246" ht="15.75" customHeight="1">
      <c r="A246" s="2" t="s">
        <v>822</v>
      </c>
      <c r="B246" s="2" t="s">
        <v>1117</v>
      </c>
      <c r="C246" s="2">
        <v>245.0</v>
      </c>
      <c r="D246" s="2">
        <v>245.0</v>
      </c>
      <c r="E246" s="2" t="s">
        <v>1029</v>
      </c>
      <c r="F246" s="2" t="s">
        <v>1280</v>
      </c>
      <c r="G246" s="2" t="s">
        <v>1281</v>
      </c>
      <c r="H246" s="2" t="s">
        <v>1052</v>
      </c>
    </row>
    <row r="247" ht="15.75" customHeight="1">
      <c r="A247" s="3" t="s">
        <v>822</v>
      </c>
      <c r="B247" s="3" t="s">
        <v>1123</v>
      </c>
      <c r="C247" s="3">
        <v>246.0</v>
      </c>
      <c r="D247" s="3">
        <v>246.0</v>
      </c>
      <c r="E247" s="3" t="s">
        <v>1029</v>
      </c>
      <c r="F247" s="3" t="s">
        <v>1280</v>
      </c>
      <c r="G247" s="3" t="s">
        <v>1246</v>
      </c>
      <c r="H247" s="3" t="s">
        <v>1052</v>
      </c>
    </row>
    <row r="248" ht="15.75" customHeight="1">
      <c r="A248" s="2" t="s">
        <v>822</v>
      </c>
      <c r="B248" s="2" t="s">
        <v>1134</v>
      </c>
      <c r="C248" s="2">
        <v>247.0</v>
      </c>
      <c r="D248" s="2">
        <v>247.0</v>
      </c>
      <c r="E248" s="2" t="s">
        <v>1029</v>
      </c>
      <c r="F248" s="2"/>
      <c r="G248" s="2" t="s">
        <v>1283</v>
      </c>
      <c r="H248" s="2" t="s">
        <v>837</v>
      </c>
    </row>
    <row r="249" ht="15.75" customHeight="1">
      <c r="A249" s="3" t="s">
        <v>822</v>
      </c>
      <c r="B249" s="3" t="s">
        <v>1152</v>
      </c>
      <c r="C249" s="3">
        <v>248.0</v>
      </c>
      <c r="D249" s="3">
        <v>248.0</v>
      </c>
      <c r="E249" s="3" t="s">
        <v>1029</v>
      </c>
      <c r="F249" s="3" t="s">
        <v>1280</v>
      </c>
      <c r="G249" s="3" t="s">
        <v>1250</v>
      </c>
      <c r="H249" s="3" t="s">
        <v>919</v>
      </c>
    </row>
    <row r="250" ht="15.75" customHeight="1">
      <c r="A250" s="2" t="s">
        <v>822</v>
      </c>
      <c r="B250" s="2" t="s">
        <v>1284</v>
      </c>
      <c r="C250" s="2">
        <v>249.0</v>
      </c>
      <c r="D250" s="2">
        <v>249.0</v>
      </c>
      <c r="E250" s="2" t="s">
        <v>1029</v>
      </c>
      <c r="F250" s="2" t="s">
        <v>1280</v>
      </c>
      <c r="G250" s="2" t="s">
        <v>1285</v>
      </c>
      <c r="H250" s="2" t="s">
        <v>1286</v>
      </c>
    </row>
    <row r="251" ht="15.75" customHeight="1">
      <c r="A251" s="3" t="s">
        <v>822</v>
      </c>
      <c r="B251" s="3" t="s">
        <v>1161</v>
      </c>
      <c r="C251" s="3">
        <v>250.0</v>
      </c>
      <c r="D251" s="3">
        <v>250.0</v>
      </c>
      <c r="E251" s="3" t="s">
        <v>1029</v>
      </c>
      <c r="F251" s="3" t="s">
        <v>1287</v>
      </c>
      <c r="G251" s="3" t="s">
        <v>1288</v>
      </c>
      <c r="H251" s="3" t="s">
        <v>1052</v>
      </c>
    </row>
    <row r="252" ht="15.75" customHeight="1">
      <c r="A252" s="2" t="s">
        <v>822</v>
      </c>
      <c r="B252" s="2" t="s">
        <v>1170</v>
      </c>
      <c r="C252" s="2">
        <v>251.0</v>
      </c>
      <c r="D252" s="2">
        <v>251.0</v>
      </c>
      <c r="E252" s="2" t="s">
        <v>1029</v>
      </c>
      <c r="F252" s="2" t="s">
        <v>1287</v>
      </c>
      <c r="G252" s="2" t="s">
        <v>1290</v>
      </c>
      <c r="H252" s="2" t="s">
        <v>1052</v>
      </c>
    </row>
    <row r="253" ht="15.75" customHeight="1">
      <c r="A253" s="3" t="s">
        <v>822</v>
      </c>
      <c r="B253" s="3" t="s">
        <v>1180</v>
      </c>
      <c r="C253" s="3">
        <v>252.0</v>
      </c>
      <c r="D253" s="3">
        <v>252.0</v>
      </c>
      <c r="E253" s="3" t="s">
        <v>1029</v>
      </c>
      <c r="F253" s="3" t="s">
        <v>1287</v>
      </c>
      <c r="G253" s="3" t="s">
        <v>1291</v>
      </c>
      <c r="H253" s="3" t="s">
        <v>885</v>
      </c>
    </row>
    <row r="254" ht="15.75" customHeight="1">
      <c r="A254" s="2" t="s">
        <v>822</v>
      </c>
      <c r="B254" s="2" t="s">
        <v>1189</v>
      </c>
      <c r="C254" s="2">
        <v>253.0</v>
      </c>
      <c r="D254" s="2">
        <v>253.0</v>
      </c>
      <c r="E254" s="2" t="s">
        <v>1029</v>
      </c>
      <c r="F254" s="2" t="s">
        <v>1287</v>
      </c>
      <c r="G254" s="2" t="s">
        <v>1292</v>
      </c>
      <c r="H254" s="2" t="s">
        <v>837</v>
      </c>
    </row>
    <row r="255" ht="15.75" customHeight="1">
      <c r="A255" s="3" t="s">
        <v>822</v>
      </c>
      <c r="B255" s="3" t="s">
        <v>1210</v>
      </c>
      <c r="C255" s="3">
        <v>254.0</v>
      </c>
      <c r="D255" s="3">
        <v>254.0</v>
      </c>
      <c r="E255" s="3" t="s">
        <v>1029</v>
      </c>
      <c r="F255" s="3" t="s">
        <v>1287</v>
      </c>
      <c r="G255" s="3" t="s">
        <v>1293</v>
      </c>
      <c r="H255" s="3" t="s">
        <v>919</v>
      </c>
    </row>
    <row r="256" ht="15.75" customHeight="1">
      <c r="A256" s="2" t="s">
        <v>822</v>
      </c>
      <c r="B256" s="2" t="s">
        <v>1223</v>
      </c>
      <c r="C256" s="2">
        <v>255.0</v>
      </c>
      <c r="D256" s="2">
        <v>255.0</v>
      </c>
      <c r="E256" s="2" t="s">
        <v>1029</v>
      </c>
      <c r="F256" s="2"/>
      <c r="G256" s="2" t="s">
        <v>1295</v>
      </c>
      <c r="H256" s="2" t="s">
        <v>837</v>
      </c>
    </row>
    <row r="257" ht="15.75" customHeight="1">
      <c r="A257" s="3" t="s">
        <v>822</v>
      </c>
      <c r="B257" s="3" t="s">
        <v>1239</v>
      </c>
      <c r="C257" s="3">
        <v>256.0</v>
      </c>
      <c r="D257" s="3">
        <v>256.0</v>
      </c>
      <c r="E257" s="3" t="s">
        <v>1029</v>
      </c>
      <c r="F257" s="3" t="s">
        <v>1296</v>
      </c>
      <c r="G257" s="3" t="s">
        <v>1264</v>
      </c>
      <c r="H257" s="3" t="s">
        <v>1265</v>
      </c>
    </row>
    <row r="258" ht="15.75" customHeight="1">
      <c r="A258" s="2" t="s">
        <v>822</v>
      </c>
      <c r="B258" s="2" t="s">
        <v>1248</v>
      </c>
      <c r="C258" s="2">
        <v>257.0</v>
      </c>
      <c r="D258" s="2">
        <v>257.0</v>
      </c>
      <c r="E258" s="2" t="s">
        <v>1029</v>
      </c>
      <c r="F258" s="2" t="s">
        <v>1296</v>
      </c>
      <c r="G258" s="2" t="s">
        <v>1266</v>
      </c>
      <c r="H258" s="2" t="s">
        <v>1265</v>
      </c>
    </row>
    <row r="259" ht="15.75" customHeight="1">
      <c r="A259" s="3" t="s">
        <v>822</v>
      </c>
      <c r="B259" s="3" t="s">
        <v>1255</v>
      </c>
      <c r="C259" s="3">
        <v>258.0</v>
      </c>
      <c r="D259" s="3">
        <v>258.0</v>
      </c>
      <c r="E259" s="3" t="s">
        <v>1029</v>
      </c>
      <c r="F259" s="3" t="s">
        <v>1296</v>
      </c>
      <c r="G259" s="3" t="s">
        <v>1297</v>
      </c>
      <c r="H259" s="3" t="s">
        <v>1265</v>
      </c>
    </row>
    <row r="260" ht="15.75" customHeight="1">
      <c r="A260" s="2" t="s">
        <v>822</v>
      </c>
      <c r="B260" s="2" t="s">
        <v>1262</v>
      </c>
      <c r="C260" s="2">
        <v>259.0</v>
      </c>
      <c r="D260" s="2">
        <v>259.0</v>
      </c>
      <c r="E260" s="2" t="s">
        <v>1029</v>
      </c>
      <c r="F260" s="2" t="s">
        <v>1296</v>
      </c>
      <c r="G260" s="2" t="s">
        <v>1269</v>
      </c>
      <c r="H260" s="2" t="s">
        <v>1265</v>
      </c>
    </row>
    <row r="261" ht="15.75" customHeight="1">
      <c r="A261" s="3" t="s">
        <v>822</v>
      </c>
      <c r="B261" s="3" t="s">
        <v>1270</v>
      </c>
      <c r="C261" s="3">
        <v>260.0</v>
      </c>
      <c r="D261" s="3">
        <v>260.0</v>
      </c>
      <c r="E261" s="3" t="s">
        <v>1029</v>
      </c>
      <c r="F261" s="3" t="s">
        <v>1296</v>
      </c>
      <c r="G261" s="3" t="s">
        <v>1271</v>
      </c>
      <c r="H261" s="3" t="s">
        <v>1265</v>
      </c>
    </row>
    <row r="262" ht="15.75" customHeight="1">
      <c r="A262" s="2" t="s">
        <v>822</v>
      </c>
      <c r="B262" s="2" t="s">
        <v>1276</v>
      </c>
      <c r="C262" s="2">
        <v>261.0</v>
      </c>
      <c r="D262" s="2">
        <v>261.0</v>
      </c>
      <c r="E262" s="2" t="s">
        <v>1029</v>
      </c>
      <c r="F262" s="2" t="s">
        <v>1296</v>
      </c>
      <c r="G262" s="2" t="s">
        <v>1273</v>
      </c>
      <c r="H262" s="2" t="s">
        <v>1265</v>
      </c>
    </row>
    <row r="263" ht="15.75" customHeight="1">
      <c r="A263" s="3" t="s">
        <v>822</v>
      </c>
      <c r="B263" s="3" t="s">
        <v>1278</v>
      </c>
      <c r="C263" s="3">
        <v>262.0</v>
      </c>
      <c r="D263" s="3">
        <v>262.0</v>
      </c>
      <c r="E263" s="3" t="s">
        <v>1029</v>
      </c>
      <c r="F263" s="3" t="s">
        <v>1296</v>
      </c>
      <c r="G263" s="3" t="s">
        <v>1274</v>
      </c>
      <c r="H263" s="3" t="s">
        <v>919</v>
      </c>
    </row>
    <row r="264" ht="15.75" customHeight="1">
      <c r="A264" s="2" t="s">
        <v>822</v>
      </c>
      <c r="B264" s="2" t="s">
        <v>1300</v>
      </c>
      <c r="C264" s="2">
        <v>263.0</v>
      </c>
      <c r="D264" s="2">
        <v>263.0</v>
      </c>
      <c r="E264" s="2" t="s">
        <v>1029</v>
      </c>
      <c r="F264" s="2"/>
      <c r="G264" s="2" t="s">
        <v>1301</v>
      </c>
      <c r="H264" s="2" t="s">
        <v>837</v>
      </c>
    </row>
    <row r="265" ht="15.75" customHeight="1">
      <c r="A265" s="3" t="s">
        <v>822</v>
      </c>
      <c r="B265" s="3" t="s">
        <v>1302</v>
      </c>
      <c r="C265" s="3">
        <v>264.0</v>
      </c>
      <c r="D265" s="3">
        <v>264.0</v>
      </c>
      <c r="E265" s="3" t="s">
        <v>1029</v>
      </c>
      <c r="F265" s="3"/>
      <c r="G265" s="3" t="s">
        <v>1303</v>
      </c>
      <c r="H265" s="3" t="s">
        <v>1304</v>
      </c>
    </row>
    <row r="266" ht="15.75" customHeight="1">
      <c r="A266" s="2" t="s">
        <v>822</v>
      </c>
      <c r="B266" s="2" t="s">
        <v>534</v>
      </c>
      <c r="C266" s="2">
        <v>265.0</v>
      </c>
      <c r="D266" s="2">
        <v>265.0</v>
      </c>
      <c r="E266" s="2" t="s">
        <v>1305</v>
      </c>
      <c r="F266" s="2" t="s">
        <v>845</v>
      </c>
      <c r="G266" s="2" t="s">
        <v>1306</v>
      </c>
      <c r="H266" s="2" t="s">
        <v>885</v>
      </c>
    </row>
    <row r="267" ht="15.75" customHeight="1">
      <c r="A267" s="3" t="s">
        <v>822</v>
      </c>
      <c r="B267" s="3" t="s">
        <v>536</v>
      </c>
      <c r="C267" s="3">
        <v>266.0</v>
      </c>
      <c r="D267" s="3">
        <v>266.0</v>
      </c>
      <c r="E267" s="3" t="s">
        <v>1305</v>
      </c>
      <c r="F267" s="3" t="s">
        <v>845</v>
      </c>
      <c r="G267" s="3" t="s">
        <v>1307</v>
      </c>
      <c r="H267" s="3" t="s">
        <v>885</v>
      </c>
    </row>
    <row r="268" ht="15.75" customHeight="1">
      <c r="A268" s="2" t="s">
        <v>822</v>
      </c>
      <c r="B268" s="2" t="s">
        <v>538</v>
      </c>
      <c r="C268" s="2">
        <v>267.0</v>
      </c>
      <c r="D268" s="2">
        <v>267.0</v>
      </c>
      <c r="E268" s="2" t="s">
        <v>1305</v>
      </c>
      <c r="F268" s="2" t="s">
        <v>848</v>
      </c>
      <c r="G268" s="2" t="s">
        <v>1309</v>
      </c>
      <c r="H268" s="2" t="s">
        <v>885</v>
      </c>
    </row>
    <row r="269" ht="15.75" customHeight="1">
      <c r="A269" s="3" t="s">
        <v>822</v>
      </c>
      <c r="B269" s="3" t="s">
        <v>1310</v>
      </c>
      <c r="C269" s="3">
        <v>268.0</v>
      </c>
      <c r="D269" s="3">
        <v>268.0</v>
      </c>
      <c r="E269" s="3" t="s">
        <v>1305</v>
      </c>
      <c r="F269" s="3" t="s">
        <v>848</v>
      </c>
      <c r="G269" s="3" t="s">
        <v>1311</v>
      </c>
      <c r="H269" s="3" t="s">
        <v>847</v>
      </c>
    </row>
    <row r="270" ht="15.75" customHeight="1">
      <c r="A270" s="2" t="s">
        <v>822</v>
      </c>
      <c r="B270" s="2" t="s">
        <v>540</v>
      </c>
      <c r="C270" s="2">
        <v>269.0</v>
      </c>
      <c r="D270" s="2">
        <v>269.0</v>
      </c>
      <c r="E270" s="2" t="s">
        <v>1305</v>
      </c>
      <c r="F270" s="2" t="s">
        <v>848</v>
      </c>
      <c r="G270" s="2" t="s">
        <v>1312</v>
      </c>
      <c r="H270" s="2" t="s">
        <v>885</v>
      </c>
    </row>
    <row r="271" ht="15.75" customHeight="1">
      <c r="A271" s="3" t="s">
        <v>822</v>
      </c>
      <c r="B271" s="3" t="s">
        <v>135</v>
      </c>
      <c r="C271" s="3">
        <v>270.0</v>
      </c>
      <c r="D271" s="3">
        <v>270.0</v>
      </c>
      <c r="E271" s="3" t="s">
        <v>1305</v>
      </c>
      <c r="F271" s="3"/>
      <c r="G271" s="3" t="s">
        <v>1313</v>
      </c>
      <c r="H271" s="3" t="s">
        <v>885</v>
      </c>
    </row>
    <row r="272" ht="15.75" customHeight="1">
      <c r="A272" s="2" t="s">
        <v>822</v>
      </c>
      <c r="B272" s="2" t="s">
        <v>140</v>
      </c>
      <c r="C272" s="2">
        <v>271.0</v>
      </c>
      <c r="D272" s="2">
        <v>271.0</v>
      </c>
      <c r="E272" s="2" t="s">
        <v>1305</v>
      </c>
      <c r="F272" s="2"/>
      <c r="G272" s="2" t="s">
        <v>959</v>
      </c>
      <c r="H272" s="2" t="s">
        <v>885</v>
      </c>
    </row>
    <row r="273" ht="15.75" customHeight="1">
      <c r="A273" s="3" t="s">
        <v>822</v>
      </c>
      <c r="B273" s="3" t="s">
        <v>144</v>
      </c>
      <c r="C273" s="3">
        <v>272.0</v>
      </c>
      <c r="D273" s="3">
        <v>272.0</v>
      </c>
      <c r="E273" s="3" t="s">
        <v>1305</v>
      </c>
      <c r="F273" s="3" t="s">
        <v>1153</v>
      </c>
      <c r="G273" s="3" t="s">
        <v>1316</v>
      </c>
      <c r="H273" s="3" t="s">
        <v>837</v>
      </c>
    </row>
    <row r="274" ht="15.75" customHeight="1">
      <c r="A274" s="2" t="s">
        <v>822</v>
      </c>
      <c r="B274" s="2" t="s">
        <v>152</v>
      </c>
      <c r="C274" s="2">
        <v>273.0</v>
      </c>
      <c r="D274" s="2">
        <v>273.0</v>
      </c>
      <c r="E274" s="2" t="s">
        <v>1305</v>
      </c>
      <c r="F274" s="2" t="s">
        <v>1158</v>
      </c>
      <c r="G274" s="2" t="s">
        <v>1317</v>
      </c>
      <c r="H274" s="2" t="s">
        <v>837</v>
      </c>
    </row>
    <row r="275" ht="15.75" customHeight="1">
      <c r="A275" s="3" t="s">
        <v>822</v>
      </c>
      <c r="B275" s="3" t="s">
        <v>160</v>
      </c>
      <c r="C275" s="3">
        <v>274.0</v>
      </c>
      <c r="D275" s="3">
        <v>274.0</v>
      </c>
      <c r="E275" s="3" t="s">
        <v>1305</v>
      </c>
      <c r="F275" s="3" t="s">
        <v>1168</v>
      </c>
      <c r="G275" s="3" t="s">
        <v>1318</v>
      </c>
      <c r="H275" s="3" t="s">
        <v>860</v>
      </c>
    </row>
    <row r="276" ht="15.75" customHeight="1">
      <c r="A276" s="2" t="s">
        <v>822</v>
      </c>
      <c r="B276" s="2" t="s">
        <v>166</v>
      </c>
      <c r="C276" s="2">
        <v>275.0</v>
      </c>
      <c r="D276" s="2">
        <v>275.0</v>
      </c>
      <c r="E276" s="2" t="s">
        <v>1305</v>
      </c>
      <c r="F276" s="2"/>
      <c r="G276" s="2" t="s">
        <v>1320</v>
      </c>
      <c r="H276" s="2" t="s">
        <v>847</v>
      </c>
    </row>
    <row r="277" ht="15.75" customHeight="1">
      <c r="A277" s="3" t="s">
        <v>822</v>
      </c>
      <c r="B277" s="3" t="s">
        <v>170</v>
      </c>
      <c r="C277" s="3">
        <v>276.0</v>
      </c>
      <c r="D277" s="3">
        <v>276.0</v>
      </c>
      <c r="E277" s="3" t="s">
        <v>1305</v>
      </c>
      <c r="F277" s="3" t="s">
        <v>1182</v>
      </c>
      <c r="G277" s="3" t="s">
        <v>1322</v>
      </c>
      <c r="H277" s="3" t="s">
        <v>837</v>
      </c>
    </row>
    <row r="278" ht="15.75" customHeight="1">
      <c r="A278" s="2" t="s">
        <v>822</v>
      </c>
      <c r="B278" s="2" t="s">
        <v>178</v>
      </c>
      <c r="C278" s="2">
        <v>277.0</v>
      </c>
      <c r="D278" s="2">
        <v>277.0</v>
      </c>
      <c r="E278" s="2" t="s">
        <v>1305</v>
      </c>
      <c r="F278" s="2" t="s">
        <v>1186</v>
      </c>
      <c r="G278" s="2" t="s">
        <v>1323</v>
      </c>
      <c r="H278" s="2" t="s">
        <v>837</v>
      </c>
    </row>
    <row r="279" ht="15.75" customHeight="1">
      <c r="A279" s="3" t="s">
        <v>822</v>
      </c>
      <c r="B279" s="3" t="s">
        <v>183</v>
      </c>
      <c r="C279" s="3">
        <v>278.0</v>
      </c>
      <c r="D279" s="3">
        <v>278.0</v>
      </c>
      <c r="E279" s="3" t="s">
        <v>1305</v>
      </c>
      <c r="F279" s="3" t="s">
        <v>973</v>
      </c>
      <c r="G279" s="3" t="s">
        <v>1324</v>
      </c>
      <c r="H279" s="3" t="s">
        <v>1052</v>
      </c>
    </row>
    <row r="280" ht="15.75" customHeight="1">
      <c r="A280" s="2" t="s">
        <v>822</v>
      </c>
      <c r="B280" s="2" t="s">
        <v>186</v>
      </c>
      <c r="C280" s="2">
        <v>279.0</v>
      </c>
      <c r="D280" s="2">
        <v>279.0</v>
      </c>
      <c r="E280" s="2" t="s">
        <v>1305</v>
      </c>
      <c r="F280" s="2" t="s">
        <v>974</v>
      </c>
      <c r="G280" s="2" t="s">
        <v>1326</v>
      </c>
      <c r="H280" s="2" t="s">
        <v>1052</v>
      </c>
    </row>
    <row r="281" ht="15.75" customHeight="1">
      <c r="A281" s="3" t="s">
        <v>822</v>
      </c>
      <c r="B281" s="3" t="s">
        <v>190</v>
      </c>
      <c r="C281" s="3">
        <v>280.0</v>
      </c>
      <c r="D281" s="3">
        <v>280.0</v>
      </c>
      <c r="E281" s="3" t="s">
        <v>1305</v>
      </c>
      <c r="F281" s="3" t="s">
        <v>1327</v>
      </c>
      <c r="G281" s="3" t="s">
        <v>1328</v>
      </c>
      <c r="H281" s="3" t="s">
        <v>1052</v>
      </c>
    </row>
    <row r="282" ht="15.75" customHeight="1">
      <c r="A282" s="2" t="s">
        <v>822</v>
      </c>
      <c r="B282" s="2" t="s">
        <v>193</v>
      </c>
      <c r="C282" s="2">
        <v>281.0</v>
      </c>
      <c r="D282" s="2">
        <v>281.0</v>
      </c>
      <c r="E282" s="2" t="s">
        <v>1305</v>
      </c>
      <c r="F282" s="2" t="s">
        <v>1329</v>
      </c>
      <c r="G282" s="2" t="s">
        <v>1330</v>
      </c>
      <c r="H282" s="2" t="s">
        <v>1052</v>
      </c>
    </row>
    <row r="283" ht="15.75" customHeight="1">
      <c r="A283" s="3" t="s">
        <v>822</v>
      </c>
      <c r="B283" s="3" t="s">
        <v>196</v>
      </c>
      <c r="C283" s="3">
        <v>282.0</v>
      </c>
      <c r="D283" s="3">
        <v>282.0</v>
      </c>
      <c r="E283" s="3" t="s">
        <v>1305</v>
      </c>
      <c r="F283" s="3" t="s">
        <v>1331</v>
      </c>
      <c r="G283" s="3" t="s">
        <v>1332</v>
      </c>
      <c r="H283" s="3" t="s">
        <v>1052</v>
      </c>
    </row>
    <row r="284" ht="15.75" customHeight="1">
      <c r="A284" s="2" t="s">
        <v>822</v>
      </c>
      <c r="B284" s="2" t="s">
        <v>198</v>
      </c>
      <c r="C284" s="2">
        <v>283.0</v>
      </c>
      <c r="D284" s="2">
        <v>283.0</v>
      </c>
      <c r="E284" s="2" t="s">
        <v>1305</v>
      </c>
      <c r="F284" s="2" t="s">
        <v>1333</v>
      </c>
      <c r="G284" s="2" t="s">
        <v>1335</v>
      </c>
      <c r="H284" s="2" t="s">
        <v>1052</v>
      </c>
    </row>
    <row r="285" ht="15.75" customHeight="1">
      <c r="A285" s="3" t="s">
        <v>822</v>
      </c>
      <c r="B285" s="3" t="s">
        <v>201</v>
      </c>
      <c r="C285" s="3">
        <v>284.0</v>
      </c>
      <c r="D285" s="3">
        <v>284.0</v>
      </c>
      <c r="E285" s="3" t="s">
        <v>1305</v>
      </c>
      <c r="F285" s="3" t="s">
        <v>1186</v>
      </c>
      <c r="G285" s="3" t="s">
        <v>1336</v>
      </c>
      <c r="H285" s="3" t="s">
        <v>885</v>
      </c>
    </row>
    <row r="286" ht="15.75" customHeight="1">
      <c r="A286" s="2" t="s">
        <v>822</v>
      </c>
      <c r="B286" s="2" t="s">
        <v>1337</v>
      </c>
      <c r="C286" s="2">
        <v>285.0</v>
      </c>
      <c r="D286" s="2">
        <v>285.0</v>
      </c>
      <c r="E286" s="2" t="s">
        <v>1305</v>
      </c>
      <c r="F286" s="2" t="s">
        <v>1182</v>
      </c>
      <c r="G286" s="2" t="s">
        <v>1339</v>
      </c>
      <c r="H286" s="2" t="s">
        <v>1052</v>
      </c>
    </row>
    <row r="287" ht="15.75" customHeight="1">
      <c r="A287" s="3" t="s">
        <v>822</v>
      </c>
      <c r="B287" s="3" t="s">
        <v>205</v>
      </c>
      <c r="C287" s="3">
        <v>286.0</v>
      </c>
      <c r="D287" s="3">
        <v>286.0</v>
      </c>
      <c r="E287" s="3" t="s">
        <v>1305</v>
      </c>
      <c r="F287" s="3" t="s">
        <v>1186</v>
      </c>
      <c r="G287" s="3" t="s">
        <v>1340</v>
      </c>
      <c r="H287" s="3" t="s">
        <v>837</v>
      </c>
    </row>
    <row r="288" ht="15.75" customHeight="1">
      <c r="A288" s="2" t="s">
        <v>822</v>
      </c>
      <c r="B288" s="2" t="s">
        <v>210</v>
      </c>
      <c r="C288" s="2">
        <v>287.0</v>
      </c>
      <c r="D288" s="2">
        <v>287.0</v>
      </c>
      <c r="E288" s="2" t="s">
        <v>1305</v>
      </c>
      <c r="F288" s="2" t="s">
        <v>1186</v>
      </c>
      <c r="G288" s="2" t="s">
        <v>1341</v>
      </c>
      <c r="H288" s="2" t="s">
        <v>1052</v>
      </c>
    </row>
    <row r="289" ht="15.75" customHeight="1">
      <c r="A289" s="3" t="s">
        <v>822</v>
      </c>
      <c r="B289" s="3" t="s">
        <v>213</v>
      </c>
      <c r="C289" s="3">
        <v>288.0</v>
      </c>
      <c r="D289" s="3">
        <v>288.0</v>
      </c>
      <c r="E289" s="3" t="s">
        <v>1305</v>
      </c>
      <c r="F289" s="3" t="s">
        <v>1186</v>
      </c>
      <c r="G289" s="3" t="s">
        <v>1344</v>
      </c>
      <c r="H289" s="3" t="s">
        <v>837</v>
      </c>
    </row>
    <row r="290" ht="15.75" customHeight="1">
      <c r="A290" s="2" t="s">
        <v>822</v>
      </c>
      <c r="B290" s="2" t="s">
        <v>217</v>
      </c>
      <c r="C290" s="2">
        <v>289.0</v>
      </c>
      <c r="D290" s="2">
        <v>289.0</v>
      </c>
      <c r="E290" s="2" t="s">
        <v>1305</v>
      </c>
      <c r="F290" s="2" t="s">
        <v>1186</v>
      </c>
      <c r="G290" s="2" t="s">
        <v>1345</v>
      </c>
      <c r="H290" s="2" t="s">
        <v>1052</v>
      </c>
    </row>
    <row r="291" ht="15.75" customHeight="1">
      <c r="A291" s="3" t="s">
        <v>822</v>
      </c>
      <c r="B291" s="3" t="s">
        <v>220</v>
      </c>
      <c r="C291" s="3">
        <v>290.0</v>
      </c>
      <c r="D291" s="3">
        <v>290.0</v>
      </c>
      <c r="E291" s="3" t="s">
        <v>1305</v>
      </c>
      <c r="F291" s="3" t="s">
        <v>1190</v>
      </c>
      <c r="G291" s="3" t="s">
        <v>1346</v>
      </c>
      <c r="H291" s="3" t="s">
        <v>837</v>
      </c>
    </row>
    <row r="292" ht="15.75" customHeight="1">
      <c r="A292" s="2" t="s">
        <v>822</v>
      </c>
      <c r="B292" s="2" t="s">
        <v>1347</v>
      </c>
      <c r="C292" s="2">
        <v>291.0</v>
      </c>
      <c r="D292" s="2">
        <v>291.0</v>
      </c>
      <c r="E292" s="2" t="s">
        <v>1305</v>
      </c>
      <c r="F292" s="2"/>
      <c r="G292" s="2" t="s">
        <v>1348</v>
      </c>
      <c r="H292" s="2" t="s">
        <v>837</v>
      </c>
    </row>
    <row r="293" ht="15.75" customHeight="1">
      <c r="A293" s="3" t="s">
        <v>822</v>
      </c>
      <c r="B293" s="3" t="s">
        <v>224</v>
      </c>
      <c r="C293" s="3">
        <v>292.0</v>
      </c>
      <c r="D293" s="3">
        <v>292.0</v>
      </c>
      <c r="E293" s="3" t="s">
        <v>1305</v>
      </c>
      <c r="F293" s="3" t="s">
        <v>973</v>
      </c>
      <c r="G293" s="3" t="s">
        <v>1350</v>
      </c>
      <c r="H293" s="3" t="s">
        <v>837</v>
      </c>
    </row>
    <row r="294" ht="15.75" customHeight="1">
      <c r="A294" s="2" t="s">
        <v>822</v>
      </c>
      <c r="B294" s="2" t="s">
        <v>229</v>
      </c>
      <c r="C294" s="2">
        <v>293.0</v>
      </c>
      <c r="D294" s="2">
        <v>293.0</v>
      </c>
      <c r="E294" s="2" t="s">
        <v>1305</v>
      </c>
      <c r="F294" s="2" t="s">
        <v>974</v>
      </c>
      <c r="G294" s="2" t="s">
        <v>1351</v>
      </c>
      <c r="H294" s="2" t="s">
        <v>837</v>
      </c>
    </row>
    <row r="295" ht="15.75" customHeight="1">
      <c r="A295" s="3" t="s">
        <v>822</v>
      </c>
      <c r="B295" s="3" t="s">
        <v>233</v>
      </c>
      <c r="C295" s="3">
        <v>294.0</v>
      </c>
      <c r="D295" s="3">
        <v>294.0</v>
      </c>
      <c r="E295" s="3" t="s">
        <v>1305</v>
      </c>
      <c r="F295" s="3" t="s">
        <v>1327</v>
      </c>
      <c r="G295" s="3" t="s">
        <v>1352</v>
      </c>
      <c r="H295" s="3" t="s">
        <v>837</v>
      </c>
    </row>
    <row r="296" ht="15.75" customHeight="1">
      <c r="A296" s="2" t="s">
        <v>822</v>
      </c>
      <c r="B296" s="2" t="s">
        <v>238</v>
      </c>
      <c r="C296" s="2">
        <v>295.0</v>
      </c>
      <c r="D296" s="2">
        <v>295.0</v>
      </c>
      <c r="E296" s="2" t="s">
        <v>1305</v>
      </c>
      <c r="F296" s="2" t="s">
        <v>1329</v>
      </c>
      <c r="G296" s="2" t="s">
        <v>1353</v>
      </c>
      <c r="H296" s="2" t="s">
        <v>837</v>
      </c>
    </row>
    <row r="297" ht="15.75" customHeight="1">
      <c r="A297" s="3" t="s">
        <v>822</v>
      </c>
      <c r="B297" s="3" t="s">
        <v>244</v>
      </c>
      <c r="C297" s="3">
        <v>296.0</v>
      </c>
      <c r="D297" s="3">
        <v>296.0</v>
      </c>
      <c r="E297" s="3" t="s">
        <v>1305</v>
      </c>
      <c r="F297" s="3" t="s">
        <v>1331</v>
      </c>
      <c r="G297" s="3" t="s">
        <v>1355</v>
      </c>
      <c r="H297" s="3" t="s">
        <v>837</v>
      </c>
    </row>
    <row r="298" ht="15.75" customHeight="1">
      <c r="A298" s="2" t="s">
        <v>822</v>
      </c>
      <c r="B298" s="2" t="s">
        <v>250</v>
      </c>
      <c r="C298" s="2">
        <v>297.0</v>
      </c>
      <c r="D298" s="2">
        <v>297.0</v>
      </c>
      <c r="E298" s="2" t="s">
        <v>1305</v>
      </c>
      <c r="F298" s="2" t="s">
        <v>1333</v>
      </c>
      <c r="G298" s="2" t="s">
        <v>1356</v>
      </c>
      <c r="H298" s="2" t="s">
        <v>837</v>
      </c>
    </row>
    <row r="299" ht="15.75" customHeight="1">
      <c r="A299" s="3" t="s">
        <v>822</v>
      </c>
      <c r="B299" s="3" t="s">
        <v>1357</v>
      </c>
      <c r="C299" s="3">
        <v>298.0</v>
      </c>
      <c r="D299" s="3">
        <v>298.0</v>
      </c>
      <c r="E299" s="3" t="s">
        <v>1305</v>
      </c>
      <c r="F299" s="3"/>
      <c r="G299" s="3" t="s">
        <v>1358</v>
      </c>
      <c r="H299" s="3" t="s">
        <v>837</v>
      </c>
    </row>
    <row r="300" ht="15.75" customHeight="1">
      <c r="A300" s="2" t="s">
        <v>822</v>
      </c>
      <c r="B300" s="2" t="s">
        <v>259</v>
      </c>
      <c r="C300" s="2">
        <v>299.0</v>
      </c>
      <c r="D300" s="2">
        <v>299.0</v>
      </c>
      <c r="E300" s="2" t="s">
        <v>1305</v>
      </c>
      <c r="F300" s="2" t="s">
        <v>973</v>
      </c>
      <c r="G300" s="2" t="s">
        <v>1359</v>
      </c>
      <c r="H300" s="2" t="s">
        <v>837</v>
      </c>
    </row>
    <row r="301" ht="15.75" customHeight="1">
      <c r="A301" s="3" t="s">
        <v>822</v>
      </c>
      <c r="B301" s="3" t="s">
        <v>267</v>
      </c>
      <c r="C301" s="3">
        <v>300.0</v>
      </c>
      <c r="D301" s="3">
        <v>300.0</v>
      </c>
      <c r="E301" s="3" t="s">
        <v>1305</v>
      </c>
      <c r="F301" s="3" t="s">
        <v>974</v>
      </c>
      <c r="G301" s="3" t="s">
        <v>1361</v>
      </c>
      <c r="H301" s="3" t="s">
        <v>837</v>
      </c>
    </row>
    <row r="302" ht="15.75" customHeight="1">
      <c r="A302" s="2" t="s">
        <v>822</v>
      </c>
      <c r="B302" s="2" t="s">
        <v>275</v>
      </c>
      <c r="C302" s="2">
        <v>301.0</v>
      </c>
      <c r="D302" s="2">
        <v>301.0</v>
      </c>
      <c r="E302" s="2" t="s">
        <v>1305</v>
      </c>
      <c r="F302" s="2" t="s">
        <v>1327</v>
      </c>
      <c r="G302" s="2" t="s">
        <v>1362</v>
      </c>
      <c r="H302" s="2" t="s">
        <v>837</v>
      </c>
    </row>
    <row r="303" ht="15.75" customHeight="1">
      <c r="A303" s="3" t="s">
        <v>822</v>
      </c>
      <c r="B303" s="3" t="s">
        <v>280</v>
      </c>
      <c r="C303" s="3">
        <v>302.0</v>
      </c>
      <c r="D303" s="3">
        <v>302.0</v>
      </c>
      <c r="E303" s="3" t="s">
        <v>1305</v>
      </c>
      <c r="F303" s="3" t="s">
        <v>1329</v>
      </c>
      <c r="G303" s="3" t="s">
        <v>1363</v>
      </c>
      <c r="H303" s="3" t="s">
        <v>837</v>
      </c>
    </row>
    <row r="304" ht="15.75" customHeight="1">
      <c r="A304" s="2" t="s">
        <v>822</v>
      </c>
      <c r="B304" s="2" t="s">
        <v>283</v>
      </c>
      <c r="C304" s="2">
        <v>303.0</v>
      </c>
      <c r="D304" s="2">
        <v>303.0</v>
      </c>
      <c r="E304" s="2" t="s">
        <v>1305</v>
      </c>
      <c r="F304" s="2" t="s">
        <v>1331</v>
      </c>
      <c r="G304" s="2" t="s">
        <v>1364</v>
      </c>
      <c r="H304" s="2" t="s">
        <v>837</v>
      </c>
    </row>
    <row r="305" ht="15.75" customHeight="1">
      <c r="A305" s="3" t="s">
        <v>822</v>
      </c>
      <c r="B305" s="3" t="s">
        <v>287</v>
      </c>
      <c r="C305" s="3">
        <v>304.0</v>
      </c>
      <c r="D305" s="3">
        <v>304.0</v>
      </c>
      <c r="E305" s="3" t="s">
        <v>1305</v>
      </c>
      <c r="F305" s="3" t="s">
        <v>1333</v>
      </c>
      <c r="G305" s="3" t="s">
        <v>1366</v>
      </c>
      <c r="H305" s="3" t="s">
        <v>837</v>
      </c>
    </row>
    <row r="306" ht="15.75" customHeight="1">
      <c r="A306" s="2" t="s">
        <v>822</v>
      </c>
      <c r="B306" s="2" t="s">
        <v>290</v>
      </c>
      <c r="C306" s="2">
        <v>305.0</v>
      </c>
      <c r="D306" s="2">
        <v>305.0</v>
      </c>
      <c r="E306" s="2" t="s">
        <v>1305</v>
      </c>
      <c r="F306" s="2" t="s">
        <v>1367</v>
      </c>
      <c r="G306" s="2" t="s">
        <v>1368</v>
      </c>
      <c r="H306" s="2" t="s">
        <v>837</v>
      </c>
    </row>
    <row r="307" ht="15.75" customHeight="1">
      <c r="A307" s="3" t="s">
        <v>822</v>
      </c>
      <c r="B307" s="3" t="s">
        <v>293</v>
      </c>
      <c r="C307" s="3">
        <v>306.0</v>
      </c>
      <c r="D307" s="3">
        <v>306.0</v>
      </c>
      <c r="E307" s="3" t="s">
        <v>1305</v>
      </c>
      <c r="F307" s="3" t="s">
        <v>1369</v>
      </c>
      <c r="G307" s="3" t="s">
        <v>1370</v>
      </c>
      <c r="H307" s="3" t="s">
        <v>837</v>
      </c>
    </row>
    <row r="308" ht="15.75" customHeight="1">
      <c r="A308" s="2" t="s">
        <v>822</v>
      </c>
      <c r="B308" s="2" t="s">
        <v>298</v>
      </c>
      <c r="C308" s="2">
        <v>307.0</v>
      </c>
      <c r="D308" s="2">
        <v>307.0</v>
      </c>
      <c r="E308" s="2" t="s">
        <v>1305</v>
      </c>
      <c r="F308" s="2" t="s">
        <v>1371</v>
      </c>
      <c r="G308" s="2" t="s">
        <v>1373</v>
      </c>
      <c r="H308" s="2" t="s">
        <v>837</v>
      </c>
    </row>
    <row r="309" ht="15.75" customHeight="1">
      <c r="A309" s="3" t="s">
        <v>822</v>
      </c>
      <c r="B309" s="3" t="s">
        <v>301</v>
      </c>
      <c r="C309" s="3">
        <v>308.0</v>
      </c>
      <c r="D309" s="3">
        <v>308.0</v>
      </c>
      <c r="E309" s="3" t="s">
        <v>1305</v>
      </c>
      <c r="F309" s="3" t="s">
        <v>1374</v>
      </c>
      <c r="G309" s="3" t="s">
        <v>1375</v>
      </c>
      <c r="H309" s="3" t="s">
        <v>837</v>
      </c>
    </row>
    <row r="310" ht="15.75" customHeight="1">
      <c r="A310" s="2" t="s">
        <v>822</v>
      </c>
      <c r="B310" s="2" t="s">
        <v>304</v>
      </c>
      <c r="C310" s="2">
        <v>309.0</v>
      </c>
      <c r="D310" s="2">
        <v>309.0</v>
      </c>
      <c r="E310" s="2" t="s">
        <v>1305</v>
      </c>
      <c r="F310" s="2" t="s">
        <v>1376</v>
      </c>
      <c r="G310" s="2" t="s">
        <v>1377</v>
      </c>
      <c r="H310" s="2" t="s">
        <v>837</v>
      </c>
    </row>
    <row r="311" ht="15.75" customHeight="1">
      <c r="A311" s="3" t="s">
        <v>822</v>
      </c>
      <c r="B311" s="3" t="s">
        <v>307</v>
      </c>
      <c r="C311" s="3">
        <v>310.0</v>
      </c>
      <c r="D311" s="3">
        <v>310.0</v>
      </c>
      <c r="E311" s="3" t="s">
        <v>1305</v>
      </c>
      <c r="F311" s="3" t="s">
        <v>1378</v>
      </c>
      <c r="G311" s="3" t="s">
        <v>1379</v>
      </c>
      <c r="H311" s="3" t="s">
        <v>837</v>
      </c>
    </row>
    <row r="312" ht="15.75" customHeight="1">
      <c r="A312" s="2" t="s">
        <v>822</v>
      </c>
      <c r="B312" s="2" t="s">
        <v>310</v>
      </c>
      <c r="C312" s="2">
        <v>311.0</v>
      </c>
      <c r="D312" s="2">
        <v>311.0</v>
      </c>
      <c r="E312" s="2" t="s">
        <v>1305</v>
      </c>
      <c r="F312" s="2" t="s">
        <v>1380</v>
      </c>
      <c r="G312" s="2" t="s">
        <v>1381</v>
      </c>
      <c r="H312" s="2" t="s">
        <v>837</v>
      </c>
    </row>
    <row r="313" ht="15.75" customHeight="1">
      <c r="A313" s="3" t="s">
        <v>822</v>
      </c>
      <c r="B313" s="3" t="s">
        <v>313</v>
      </c>
      <c r="C313" s="3">
        <v>312.0</v>
      </c>
      <c r="D313" s="3">
        <v>312.0</v>
      </c>
      <c r="E313" s="3" t="s">
        <v>1305</v>
      </c>
      <c r="F313" s="3" t="s">
        <v>1383</v>
      </c>
      <c r="G313" s="3" t="s">
        <v>1384</v>
      </c>
      <c r="H313" s="3" t="s">
        <v>837</v>
      </c>
    </row>
    <row r="314" ht="15.75" customHeight="1">
      <c r="A314" s="2" t="s">
        <v>822</v>
      </c>
      <c r="B314" s="2" t="s">
        <v>316</v>
      </c>
      <c r="C314" s="2">
        <v>313.0</v>
      </c>
      <c r="D314" s="2">
        <v>313.0</v>
      </c>
      <c r="E314" s="2" t="s">
        <v>1305</v>
      </c>
      <c r="F314" s="2" t="s">
        <v>1385</v>
      </c>
      <c r="G314" s="2" t="s">
        <v>1386</v>
      </c>
      <c r="H314" s="2" t="s">
        <v>837</v>
      </c>
    </row>
    <row r="315" ht="15.75" customHeight="1">
      <c r="A315" s="3" t="s">
        <v>822</v>
      </c>
      <c r="B315" s="3" t="s">
        <v>320</v>
      </c>
      <c r="C315" s="3">
        <v>314.0</v>
      </c>
      <c r="D315" s="3">
        <v>314.0</v>
      </c>
      <c r="E315" s="3" t="s">
        <v>1305</v>
      </c>
      <c r="F315" s="3" t="s">
        <v>1387</v>
      </c>
      <c r="G315" s="3" t="s">
        <v>1388</v>
      </c>
      <c r="H315" s="3" t="s">
        <v>837</v>
      </c>
    </row>
    <row r="316" ht="15.75" customHeight="1">
      <c r="A316" s="2" t="s">
        <v>822</v>
      </c>
      <c r="B316" s="2" t="s">
        <v>323</v>
      </c>
      <c r="C316" s="2">
        <v>315.0</v>
      </c>
      <c r="D316" s="2">
        <v>315.0</v>
      </c>
      <c r="E316" s="2" t="s">
        <v>1305</v>
      </c>
      <c r="F316" s="2" t="s">
        <v>1389</v>
      </c>
      <c r="G316" s="2" t="s">
        <v>1335</v>
      </c>
      <c r="H316" s="2" t="s">
        <v>837</v>
      </c>
    </row>
    <row r="317" ht="15.75" customHeight="1">
      <c r="A317" s="3" t="s">
        <v>822</v>
      </c>
      <c r="B317" s="3" t="s">
        <v>1390</v>
      </c>
      <c r="C317" s="3">
        <v>316.0</v>
      </c>
      <c r="D317" s="3">
        <v>316.0</v>
      </c>
      <c r="E317" s="3" t="s">
        <v>1305</v>
      </c>
      <c r="F317" s="3" t="s">
        <v>1389</v>
      </c>
      <c r="G317" s="3" t="s">
        <v>1392</v>
      </c>
      <c r="H317" s="3" t="s">
        <v>847</v>
      </c>
    </row>
    <row r="318" ht="15.75" customHeight="1">
      <c r="A318" s="2" t="s">
        <v>822</v>
      </c>
      <c r="B318" s="2" t="s">
        <v>544</v>
      </c>
      <c r="C318" s="2">
        <v>317.0</v>
      </c>
      <c r="D318" s="2">
        <v>317.0</v>
      </c>
      <c r="E318" s="2" t="s">
        <v>1393</v>
      </c>
      <c r="F318" s="2" t="s">
        <v>845</v>
      </c>
      <c r="G318" s="2" t="s">
        <v>1394</v>
      </c>
      <c r="H318" s="2" t="s">
        <v>837</v>
      </c>
    </row>
    <row r="319" ht="15.75" customHeight="1">
      <c r="A319" s="3" t="s">
        <v>822</v>
      </c>
      <c r="B319" s="3" t="s">
        <v>548</v>
      </c>
      <c r="C319" s="3">
        <v>318.0</v>
      </c>
      <c r="D319" s="3">
        <v>318.0</v>
      </c>
      <c r="E319" s="3" t="s">
        <v>1393</v>
      </c>
      <c r="F319" s="3" t="s">
        <v>845</v>
      </c>
      <c r="G319" s="3" t="s">
        <v>1395</v>
      </c>
      <c r="H319" s="3" t="s">
        <v>847</v>
      </c>
    </row>
    <row r="320" ht="15.75" customHeight="1">
      <c r="A320" s="2" t="s">
        <v>822</v>
      </c>
      <c r="B320" s="2" t="s">
        <v>550</v>
      </c>
      <c r="C320" s="2">
        <v>319.0</v>
      </c>
      <c r="D320" s="2">
        <v>319.0</v>
      </c>
      <c r="E320" s="2" t="s">
        <v>1393</v>
      </c>
      <c r="F320" s="2" t="s">
        <v>845</v>
      </c>
      <c r="G320" s="2" t="s">
        <v>1396</v>
      </c>
      <c r="H320" s="2" t="s">
        <v>847</v>
      </c>
    </row>
    <row r="321" ht="15.75" customHeight="1">
      <c r="A321" s="3" t="s">
        <v>822</v>
      </c>
      <c r="B321" s="3" t="s">
        <v>552</v>
      </c>
      <c r="C321" s="3">
        <v>320.0</v>
      </c>
      <c r="D321" s="3">
        <v>320.0</v>
      </c>
      <c r="E321" s="3" t="s">
        <v>1393</v>
      </c>
      <c r="F321" s="3" t="s">
        <v>848</v>
      </c>
      <c r="G321" s="3" t="s">
        <v>1397</v>
      </c>
      <c r="H321" s="3" t="s">
        <v>919</v>
      </c>
    </row>
    <row r="322" ht="15.75" customHeight="1">
      <c r="A322" s="2" t="s">
        <v>822</v>
      </c>
      <c r="B322" s="2" t="s">
        <v>1398</v>
      </c>
      <c r="C322" s="2">
        <v>321.0</v>
      </c>
      <c r="D322" s="2">
        <v>321.0</v>
      </c>
      <c r="E322" s="2" t="s">
        <v>1393</v>
      </c>
      <c r="F322" s="2" t="s">
        <v>848</v>
      </c>
      <c r="G322" s="2" t="s">
        <v>1400</v>
      </c>
      <c r="H322" s="2" t="s">
        <v>957</v>
      </c>
    </row>
    <row r="323" ht="15.75" customHeight="1">
      <c r="A323" s="3" t="s">
        <v>822</v>
      </c>
      <c r="B323" s="3" t="s">
        <v>555</v>
      </c>
      <c r="C323" s="3">
        <v>322.0</v>
      </c>
      <c r="D323" s="3">
        <v>322.0</v>
      </c>
      <c r="E323" s="3" t="s">
        <v>1393</v>
      </c>
      <c r="F323" s="3" t="s">
        <v>852</v>
      </c>
      <c r="G323" s="3" t="s">
        <v>1401</v>
      </c>
      <c r="H323" s="3" t="s">
        <v>837</v>
      </c>
    </row>
    <row r="324" ht="15.75" customHeight="1">
      <c r="A324" s="2" t="s">
        <v>822</v>
      </c>
      <c r="B324" s="2" t="s">
        <v>560</v>
      </c>
      <c r="C324" s="2">
        <v>323.0</v>
      </c>
      <c r="D324" s="2">
        <v>323.0</v>
      </c>
      <c r="E324" s="2" t="s">
        <v>1393</v>
      </c>
      <c r="F324" s="2" t="s">
        <v>852</v>
      </c>
      <c r="G324" s="2" t="s">
        <v>1402</v>
      </c>
      <c r="H324" s="2" t="s">
        <v>847</v>
      </c>
    </row>
    <row r="325" ht="15.75" customHeight="1">
      <c r="A325" s="3" t="s">
        <v>822</v>
      </c>
      <c r="B325" s="3" t="s">
        <v>563</v>
      </c>
      <c r="C325" s="3">
        <v>324.0</v>
      </c>
      <c r="D325" s="3">
        <v>324.0</v>
      </c>
      <c r="E325" s="3" t="s">
        <v>1393</v>
      </c>
      <c r="F325" s="3" t="s">
        <v>852</v>
      </c>
      <c r="G325" s="3" t="s">
        <v>1403</v>
      </c>
      <c r="H325" s="3" t="s">
        <v>837</v>
      </c>
    </row>
    <row r="326" ht="15.75" customHeight="1">
      <c r="A326" s="2" t="s">
        <v>822</v>
      </c>
      <c r="B326" s="2" t="s">
        <v>568</v>
      </c>
      <c r="C326" s="2">
        <v>325.0</v>
      </c>
      <c r="D326" s="2">
        <v>325.0</v>
      </c>
      <c r="E326" s="2" t="s">
        <v>1393</v>
      </c>
      <c r="F326" s="2" t="s">
        <v>973</v>
      </c>
      <c r="G326" s="2" t="s">
        <v>1405</v>
      </c>
      <c r="H326" s="2" t="s">
        <v>1052</v>
      </c>
    </row>
    <row r="327" ht="15.75" customHeight="1">
      <c r="A327" s="3" t="s">
        <v>822</v>
      </c>
      <c r="B327" s="3" t="s">
        <v>571</v>
      </c>
      <c r="C327" s="3">
        <v>326.0</v>
      </c>
      <c r="D327" s="3">
        <v>326.0</v>
      </c>
      <c r="E327" s="3" t="s">
        <v>1393</v>
      </c>
      <c r="F327" s="3" t="s">
        <v>974</v>
      </c>
      <c r="G327" s="3" t="s">
        <v>1406</v>
      </c>
      <c r="H327" s="3" t="s">
        <v>1052</v>
      </c>
    </row>
    <row r="328" ht="15.75" customHeight="1">
      <c r="A328" s="2" t="s">
        <v>822</v>
      </c>
      <c r="B328" s="2" t="s">
        <v>573</v>
      </c>
      <c r="C328" s="2">
        <v>327.0</v>
      </c>
      <c r="D328" s="2">
        <v>327.0</v>
      </c>
      <c r="E328" s="2" t="s">
        <v>1393</v>
      </c>
      <c r="F328" s="2" t="s">
        <v>1327</v>
      </c>
      <c r="G328" s="2" t="s">
        <v>1407</v>
      </c>
      <c r="H328" s="2" t="s">
        <v>1052</v>
      </c>
    </row>
    <row r="329" ht="15.75" customHeight="1">
      <c r="A329" s="3" t="s">
        <v>822</v>
      </c>
      <c r="B329" s="3" t="s">
        <v>576</v>
      </c>
      <c r="C329" s="3">
        <v>328.0</v>
      </c>
      <c r="D329" s="3">
        <v>328.0</v>
      </c>
      <c r="E329" s="3" t="s">
        <v>1393</v>
      </c>
      <c r="F329" s="3" t="s">
        <v>863</v>
      </c>
      <c r="G329" s="3" t="s">
        <v>1408</v>
      </c>
      <c r="H329" s="3" t="s">
        <v>919</v>
      </c>
    </row>
    <row r="330" ht="15.75" customHeight="1">
      <c r="A330" s="2" t="s">
        <v>822</v>
      </c>
      <c r="B330" s="2" t="s">
        <v>582</v>
      </c>
      <c r="C330" s="2">
        <v>329.0</v>
      </c>
      <c r="D330" s="2">
        <v>329.0</v>
      </c>
      <c r="E330" s="2" t="s">
        <v>1393</v>
      </c>
      <c r="F330" s="2" t="s">
        <v>865</v>
      </c>
      <c r="G330" s="2" t="s">
        <v>1409</v>
      </c>
      <c r="H330" s="2" t="s">
        <v>837</v>
      </c>
    </row>
    <row r="331" ht="15.75" customHeight="1">
      <c r="A331" s="3" t="s">
        <v>822</v>
      </c>
      <c r="B331" s="3" t="s">
        <v>586</v>
      </c>
      <c r="C331" s="3">
        <v>330.0</v>
      </c>
      <c r="D331" s="3">
        <v>330.0</v>
      </c>
      <c r="E331" s="3" t="s">
        <v>1393</v>
      </c>
      <c r="F331" s="3" t="s">
        <v>865</v>
      </c>
      <c r="G331" s="3" t="s">
        <v>1410</v>
      </c>
      <c r="H331" s="3" t="s">
        <v>837</v>
      </c>
    </row>
    <row r="332" ht="15.75" customHeight="1">
      <c r="A332" s="2" t="s">
        <v>822</v>
      </c>
      <c r="B332" s="2" t="s">
        <v>591</v>
      </c>
      <c r="C332" s="2">
        <v>331.0</v>
      </c>
      <c r="D332" s="2">
        <v>331.0</v>
      </c>
      <c r="E332" s="2" t="s">
        <v>1393</v>
      </c>
      <c r="F332" s="2" t="s">
        <v>867</v>
      </c>
      <c r="G332" s="2" t="s">
        <v>1412</v>
      </c>
      <c r="H332" s="2" t="s">
        <v>837</v>
      </c>
    </row>
    <row r="333" ht="15.75" customHeight="1">
      <c r="A333" s="3" t="s">
        <v>822</v>
      </c>
      <c r="B333" s="3" t="s">
        <v>597</v>
      </c>
      <c r="C333" s="3">
        <v>332.0</v>
      </c>
      <c r="D333" s="3">
        <v>332.0</v>
      </c>
      <c r="E333" s="3" t="s">
        <v>1393</v>
      </c>
      <c r="F333" s="3" t="s">
        <v>867</v>
      </c>
      <c r="G333" s="3" t="s">
        <v>1413</v>
      </c>
      <c r="H333" s="3" t="s">
        <v>837</v>
      </c>
    </row>
    <row r="334" ht="15.75" customHeight="1">
      <c r="A334" s="2" t="s">
        <v>822</v>
      </c>
      <c r="B334" s="2" t="s">
        <v>603</v>
      </c>
      <c r="C334" s="2">
        <v>333.0</v>
      </c>
      <c r="D334" s="2">
        <v>333.0</v>
      </c>
      <c r="E334" s="2" t="s">
        <v>1393</v>
      </c>
      <c r="F334" s="2" t="s">
        <v>870</v>
      </c>
      <c r="G334" s="2" t="s">
        <v>1414</v>
      </c>
      <c r="H334" s="2" t="s">
        <v>837</v>
      </c>
    </row>
    <row r="335" ht="15.75" customHeight="1">
      <c r="A335" s="3" t="s">
        <v>822</v>
      </c>
      <c r="B335" s="3" t="s">
        <v>608</v>
      </c>
      <c r="C335" s="3">
        <v>334.0</v>
      </c>
      <c r="D335" s="3">
        <v>334.0</v>
      </c>
      <c r="E335" s="3" t="s">
        <v>1393</v>
      </c>
      <c r="F335" s="3" t="s">
        <v>870</v>
      </c>
      <c r="G335" s="3" t="s">
        <v>1415</v>
      </c>
      <c r="H335" s="3" t="s">
        <v>837</v>
      </c>
    </row>
    <row r="336" ht="15.75" customHeight="1">
      <c r="A336" s="2" t="s">
        <v>822</v>
      </c>
      <c r="B336" s="2" t="s">
        <v>613</v>
      </c>
      <c r="C336" s="2">
        <v>335.0</v>
      </c>
      <c r="D336" s="2">
        <v>335.0</v>
      </c>
      <c r="E336" s="2" t="s">
        <v>1393</v>
      </c>
      <c r="F336" s="2" t="s">
        <v>872</v>
      </c>
      <c r="G336" s="2" t="s">
        <v>1416</v>
      </c>
      <c r="H336" s="2" t="s">
        <v>837</v>
      </c>
    </row>
    <row r="337" ht="15.75" customHeight="1">
      <c r="A337" s="3" t="s">
        <v>822</v>
      </c>
      <c r="B337" s="3" t="s">
        <v>619</v>
      </c>
      <c r="C337" s="3">
        <v>336.0</v>
      </c>
      <c r="D337" s="3">
        <v>336.0</v>
      </c>
      <c r="E337" s="3" t="s">
        <v>1393</v>
      </c>
      <c r="F337" s="3" t="s">
        <v>876</v>
      </c>
      <c r="G337" s="3" t="s">
        <v>1418</v>
      </c>
      <c r="H337" s="3" t="s">
        <v>837</v>
      </c>
    </row>
    <row r="338" ht="15.75" customHeight="1">
      <c r="A338" s="2" t="s">
        <v>822</v>
      </c>
      <c r="B338" s="2" t="s">
        <v>625</v>
      </c>
      <c r="C338" s="2">
        <v>337.0</v>
      </c>
      <c r="D338" s="2">
        <v>337.0</v>
      </c>
      <c r="E338" s="2" t="s">
        <v>1393</v>
      </c>
      <c r="F338" s="2" t="s">
        <v>981</v>
      </c>
      <c r="G338" s="2" t="s">
        <v>1419</v>
      </c>
      <c r="H338" s="2" t="s">
        <v>837</v>
      </c>
    </row>
    <row r="339" ht="15.75" customHeight="1">
      <c r="A339" s="3" t="s">
        <v>822</v>
      </c>
      <c r="B339" s="3" t="s">
        <v>630</v>
      </c>
      <c r="C339" s="3">
        <v>338.0</v>
      </c>
      <c r="D339" s="3">
        <v>338.0</v>
      </c>
      <c r="E339" s="3" t="s">
        <v>1393</v>
      </c>
      <c r="F339" s="3" t="s">
        <v>983</v>
      </c>
      <c r="G339" s="3" t="s">
        <v>1420</v>
      </c>
      <c r="H339" s="3" t="s">
        <v>837</v>
      </c>
    </row>
    <row r="340" ht="15.75" customHeight="1">
      <c r="A340" s="2" t="s">
        <v>822</v>
      </c>
      <c r="B340" s="2" t="s">
        <v>635</v>
      </c>
      <c r="C340" s="2">
        <v>339.0</v>
      </c>
      <c r="D340" s="2">
        <v>339.0</v>
      </c>
      <c r="E340" s="2" t="s">
        <v>1393</v>
      </c>
      <c r="F340" s="2" t="s">
        <v>991</v>
      </c>
      <c r="G340" s="2" t="s">
        <v>1421</v>
      </c>
      <c r="H340" s="2" t="s">
        <v>837</v>
      </c>
    </row>
    <row r="341" ht="15.75" customHeight="1">
      <c r="A341" s="3" t="s">
        <v>822</v>
      </c>
      <c r="B341" s="3" t="s">
        <v>638</v>
      </c>
      <c r="C341" s="3">
        <v>340.0</v>
      </c>
      <c r="D341" s="3">
        <v>340.0</v>
      </c>
      <c r="E341" s="3" t="s">
        <v>1393</v>
      </c>
      <c r="F341" s="3" t="s">
        <v>1153</v>
      </c>
      <c r="G341" s="3" t="s">
        <v>1422</v>
      </c>
      <c r="H341" s="3" t="s">
        <v>919</v>
      </c>
    </row>
    <row r="342" ht="15.75" customHeight="1">
      <c r="A342" s="2" t="s">
        <v>822</v>
      </c>
      <c r="B342" s="2" t="s">
        <v>641</v>
      </c>
      <c r="C342" s="2">
        <v>341.0</v>
      </c>
      <c r="D342" s="2">
        <v>341.0</v>
      </c>
      <c r="E342" s="2" t="s">
        <v>1393</v>
      </c>
      <c r="F342" s="2" t="s">
        <v>1158</v>
      </c>
      <c r="G342" s="2" t="s">
        <v>1423</v>
      </c>
      <c r="H342" s="2" t="s">
        <v>1052</v>
      </c>
    </row>
    <row r="343" ht="15.75" customHeight="1">
      <c r="A343" s="3" t="s">
        <v>822</v>
      </c>
      <c r="B343" s="3" t="s">
        <v>643</v>
      </c>
      <c r="C343" s="3">
        <v>342.0</v>
      </c>
      <c r="D343" s="3">
        <v>342.0</v>
      </c>
      <c r="E343" s="3" t="s">
        <v>1393</v>
      </c>
      <c r="F343" s="3" t="s">
        <v>1158</v>
      </c>
      <c r="G343" s="3" t="s">
        <v>1425</v>
      </c>
      <c r="H343" s="3" t="s">
        <v>1052</v>
      </c>
    </row>
    <row r="344" ht="15.75" customHeight="1">
      <c r="A344" s="2" t="s">
        <v>822</v>
      </c>
      <c r="B344" s="2" t="s">
        <v>646</v>
      </c>
      <c r="C344" s="2">
        <v>343.0</v>
      </c>
      <c r="D344" s="2">
        <v>343.0</v>
      </c>
      <c r="E344" s="2" t="s">
        <v>1393</v>
      </c>
      <c r="F344" s="2" t="s">
        <v>1168</v>
      </c>
      <c r="G344" s="2" t="s">
        <v>1426</v>
      </c>
      <c r="H344" s="2" t="s">
        <v>1052</v>
      </c>
    </row>
    <row r="345" ht="15.75" customHeight="1">
      <c r="A345" s="3" t="s">
        <v>822</v>
      </c>
      <c r="B345" s="3" t="s">
        <v>649</v>
      </c>
      <c r="C345" s="3">
        <v>344.0</v>
      </c>
      <c r="D345" s="3">
        <v>344.0</v>
      </c>
      <c r="E345" s="3" t="s">
        <v>1393</v>
      </c>
      <c r="F345" s="3" t="s">
        <v>1168</v>
      </c>
      <c r="G345" s="3" t="s">
        <v>1427</v>
      </c>
      <c r="H345" s="3" t="s">
        <v>1052</v>
      </c>
    </row>
    <row r="346" ht="15.75" customHeight="1">
      <c r="A346" s="2" t="s">
        <v>822</v>
      </c>
      <c r="B346" s="2" t="s">
        <v>651</v>
      </c>
      <c r="C346" s="2">
        <v>345.0</v>
      </c>
      <c r="D346" s="2">
        <v>345.0</v>
      </c>
      <c r="E346" s="2" t="s">
        <v>1393</v>
      </c>
      <c r="F346" s="2" t="s">
        <v>1168</v>
      </c>
      <c r="G346" s="2" t="s">
        <v>1428</v>
      </c>
      <c r="H346" s="2" t="s">
        <v>1052</v>
      </c>
    </row>
    <row r="347" ht="15.75" customHeight="1">
      <c r="A347" s="3" t="s">
        <v>822</v>
      </c>
      <c r="B347" s="3" t="s">
        <v>1429</v>
      </c>
      <c r="C347" s="3">
        <v>346.0</v>
      </c>
      <c r="D347" s="3">
        <v>346.0</v>
      </c>
      <c r="E347" s="3" t="s">
        <v>1393</v>
      </c>
      <c r="F347" s="3"/>
      <c r="G347" s="3" t="s">
        <v>1431</v>
      </c>
      <c r="H347" s="3" t="s">
        <v>1052</v>
      </c>
    </row>
    <row r="348" ht="15.75" customHeight="1">
      <c r="A348" s="2" t="s">
        <v>822</v>
      </c>
      <c r="B348" s="2" t="s">
        <v>1432</v>
      </c>
      <c r="C348" s="2">
        <v>347.0</v>
      </c>
      <c r="D348" s="2">
        <v>347.0</v>
      </c>
      <c r="E348" s="2" t="s">
        <v>1393</v>
      </c>
      <c r="F348" s="2"/>
      <c r="G348" s="2" t="s">
        <v>1433</v>
      </c>
      <c r="H348" s="2" t="s">
        <v>1052</v>
      </c>
    </row>
    <row r="349" ht="15.75" customHeight="1">
      <c r="A349" s="3" t="s">
        <v>822</v>
      </c>
      <c r="B349" s="3" t="s">
        <v>1434</v>
      </c>
      <c r="C349" s="3">
        <v>348.0</v>
      </c>
      <c r="D349" s="3">
        <v>348.0</v>
      </c>
      <c r="E349" s="3" t="s">
        <v>1393</v>
      </c>
      <c r="F349" s="3"/>
      <c r="G349" s="3" t="s">
        <v>1435</v>
      </c>
      <c r="H349" s="3" t="s">
        <v>1052</v>
      </c>
    </row>
    <row r="350" ht="15.75" customHeight="1">
      <c r="A350" s="2" t="s">
        <v>822</v>
      </c>
      <c r="B350" s="2" t="s">
        <v>654</v>
      </c>
      <c r="C350" s="2">
        <v>349.0</v>
      </c>
      <c r="D350" s="2">
        <v>349.0</v>
      </c>
      <c r="E350" s="2" t="s">
        <v>1393</v>
      </c>
      <c r="F350" s="2" t="s">
        <v>973</v>
      </c>
      <c r="G350" s="2" t="s">
        <v>1436</v>
      </c>
      <c r="H350" s="2" t="s">
        <v>919</v>
      </c>
    </row>
    <row r="351" ht="15.75" customHeight="1">
      <c r="A351" s="3" t="s">
        <v>822</v>
      </c>
      <c r="B351" s="3" t="s">
        <v>656</v>
      </c>
      <c r="C351" s="3">
        <v>350.0</v>
      </c>
      <c r="D351" s="3">
        <v>350.0</v>
      </c>
      <c r="E351" s="3" t="s">
        <v>1393</v>
      </c>
      <c r="F351" s="3" t="s">
        <v>974</v>
      </c>
      <c r="G351" s="3" t="s">
        <v>1437</v>
      </c>
      <c r="H351" s="3" t="s">
        <v>919</v>
      </c>
    </row>
    <row r="352" ht="15.75" customHeight="1">
      <c r="A352" s="2" t="s">
        <v>822</v>
      </c>
      <c r="B352" s="2" t="s">
        <v>659</v>
      </c>
      <c r="C352" s="2">
        <v>351.0</v>
      </c>
      <c r="D352" s="2">
        <v>351.0</v>
      </c>
      <c r="E352" s="2" t="s">
        <v>1393</v>
      </c>
      <c r="F352" s="2" t="s">
        <v>1327</v>
      </c>
      <c r="G352" s="2" t="s">
        <v>1439</v>
      </c>
      <c r="H352" s="2" t="s">
        <v>919</v>
      </c>
    </row>
    <row r="353" ht="15.75" customHeight="1">
      <c r="A353" s="3" t="s">
        <v>822</v>
      </c>
      <c r="B353" s="3" t="s">
        <v>661</v>
      </c>
      <c r="C353" s="3">
        <v>352.0</v>
      </c>
      <c r="D353" s="3">
        <v>352.0</v>
      </c>
      <c r="E353" s="3" t="s">
        <v>1393</v>
      </c>
      <c r="F353" s="3" t="s">
        <v>1329</v>
      </c>
      <c r="G353" s="3" t="s">
        <v>1440</v>
      </c>
      <c r="H353" s="3" t="s">
        <v>919</v>
      </c>
    </row>
    <row r="354" ht="15.75" customHeight="1">
      <c r="A354" s="2" t="s">
        <v>822</v>
      </c>
      <c r="B354" s="2" t="s">
        <v>664</v>
      </c>
      <c r="C354" s="2">
        <v>353.0</v>
      </c>
      <c r="D354" s="2">
        <v>353.0</v>
      </c>
      <c r="E354" s="2" t="s">
        <v>1393</v>
      </c>
      <c r="F354" s="2" t="s">
        <v>1331</v>
      </c>
      <c r="G354" s="2" t="s">
        <v>1442</v>
      </c>
      <c r="H354" s="2" t="s">
        <v>919</v>
      </c>
    </row>
    <row r="355" ht="15.75" customHeight="1">
      <c r="A355" s="3" t="s">
        <v>822</v>
      </c>
      <c r="B355" s="3" t="s">
        <v>666</v>
      </c>
      <c r="C355" s="3">
        <v>354.0</v>
      </c>
      <c r="D355" s="3">
        <v>354.0</v>
      </c>
      <c r="E355" s="3" t="s">
        <v>1393</v>
      </c>
      <c r="F355" s="3" t="s">
        <v>1333</v>
      </c>
      <c r="G355" s="3" t="s">
        <v>1444</v>
      </c>
      <c r="H355" s="3" t="s">
        <v>919</v>
      </c>
    </row>
    <row r="356" ht="15.75" customHeight="1">
      <c r="A356" s="2" t="s">
        <v>822</v>
      </c>
      <c r="B356" s="2" t="s">
        <v>671</v>
      </c>
      <c r="C356" s="2">
        <v>355.0</v>
      </c>
      <c r="D356" s="2">
        <v>355.0</v>
      </c>
      <c r="E356" s="2" t="s">
        <v>1393</v>
      </c>
      <c r="F356" s="2" t="s">
        <v>1367</v>
      </c>
      <c r="G356" s="2" t="s">
        <v>1445</v>
      </c>
      <c r="H356" s="2" t="s">
        <v>919</v>
      </c>
    </row>
    <row r="357" ht="15.75" customHeight="1">
      <c r="A357" s="3" t="s">
        <v>822</v>
      </c>
      <c r="B357" s="3" t="s">
        <v>674</v>
      </c>
      <c r="C357" s="3">
        <v>356.0</v>
      </c>
      <c r="D357" s="3">
        <v>356.0</v>
      </c>
      <c r="E357" s="3" t="s">
        <v>1393</v>
      </c>
      <c r="F357" s="3" t="s">
        <v>1367</v>
      </c>
      <c r="G357" s="3" t="s">
        <v>1446</v>
      </c>
      <c r="H357" s="3" t="s">
        <v>1052</v>
      </c>
    </row>
    <row r="358" ht="15.75" customHeight="1">
      <c r="A358" s="2" t="s">
        <v>822</v>
      </c>
      <c r="B358" s="2" t="s">
        <v>676</v>
      </c>
      <c r="C358" s="2">
        <v>357.0</v>
      </c>
      <c r="D358" s="2">
        <v>357.0</v>
      </c>
      <c r="E358" s="2" t="s">
        <v>1393</v>
      </c>
      <c r="F358" s="2" t="s">
        <v>1369</v>
      </c>
      <c r="G358" s="2" t="s">
        <v>1448</v>
      </c>
      <c r="H358" s="2" t="s">
        <v>919</v>
      </c>
    </row>
    <row r="359" ht="15.75" customHeight="1">
      <c r="A359" s="3" t="s">
        <v>822</v>
      </c>
      <c r="B359" s="3" t="s">
        <v>679</v>
      </c>
      <c r="C359" s="3">
        <v>358.0</v>
      </c>
      <c r="D359" s="3">
        <v>358.0</v>
      </c>
      <c r="E359" s="3" t="s">
        <v>1393</v>
      </c>
      <c r="F359" s="3" t="s">
        <v>1369</v>
      </c>
      <c r="G359" s="3" t="s">
        <v>1449</v>
      </c>
      <c r="H359" s="3" t="s">
        <v>1052</v>
      </c>
    </row>
    <row r="360" ht="15.75" customHeight="1">
      <c r="A360" s="2" t="s">
        <v>822</v>
      </c>
      <c r="B360" s="2" t="s">
        <v>681</v>
      </c>
      <c r="C360" s="2">
        <v>359.0</v>
      </c>
      <c r="D360" s="2">
        <v>359.0</v>
      </c>
      <c r="E360" s="2" t="s">
        <v>1393</v>
      </c>
      <c r="F360" s="2" t="s">
        <v>973</v>
      </c>
      <c r="G360" s="2" t="s">
        <v>1450</v>
      </c>
      <c r="H360" s="2" t="s">
        <v>919</v>
      </c>
    </row>
    <row r="361" ht="15.75" customHeight="1">
      <c r="A361" s="3" t="s">
        <v>822</v>
      </c>
      <c r="B361" s="3" t="s">
        <v>684</v>
      </c>
      <c r="C361" s="3">
        <v>360.0</v>
      </c>
      <c r="D361" s="3">
        <v>360.0</v>
      </c>
      <c r="E361" s="3" t="s">
        <v>1393</v>
      </c>
      <c r="F361" s="3" t="s">
        <v>973</v>
      </c>
      <c r="G361" s="3" t="s">
        <v>1451</v>
      </c>
      <c r="H361" s="3" t="s">
        <v>1052</v>
      </c>
    </row>
    <row r="362" ht="15.75" customHeight="1">
      <c r="A362" s="2" t="s">
        <v>822</v>
      </c>
      <c r="B362" s="2" t="s">
        <v>686</v>
      </c>
      <c r="C362" s="2">
        <v>361.0</v>
      </c>
      <c r="D362" s="2">
        <v>361.0</v>
      </c>
      <c r="E362" s="2" t="s">
        <v>1393</v>
      </c>
      <c r="F362" s="2" t="s">
        <v>974</v>
      </c>
      <c r="G362" s="2" t="s">
        <v>1453</v>
      </c>
      <c r="H362" s="2" t="s">
        <v>919</v>
      </c>
    </row>
    <row r="363" ht="15.75" customHeight="1">
      <c r="A363" s="3" t="s">
        <v>822</v>
      </c>
      <c r="B363" s="3" t="s">
        <v>690</v>
      </c>
      <c r="C363" s="3">
        <v>362.0</v>
      </c>
      <c r="D363" s="3">
        <v>362.0</v>
      </c>
      <c r="E363" s="3" t="s">
        <v>1393</v>
      </c>
      <c r="F363" s="3" t="s">
        <v>974</v>
      </c>
      <c r="G363" s="3" t="s">
        <v>1454</v>
      </c>
      <c r="H363" s="3" t="s">
        <v>1052</v>
      </c>
    </row>
    <row r="364" ht="15.75" customHeight="1">
      <c r="A364" s="2" t="s">
        <v>822</v>
      </c>
      <c r="B364" s="2" t="s">
        <v>694</v>
      </c>
      <c r="C364" s="2">
        <v>363.0</v>
      </c>
      <c r="D364" s="2">
        <v>363.0</v>
      </c>
      <c r="E364" s="2" t="s">
        <v>1393</v>
      </c>
      <c r="F364" s="2"/>
      <c r="G364" s="2" t="s">
        <v>924</v>
      </c>
      <c r="H364" s="2" t="s">
        <v>925</v>
      </c>
    </row>
    <row r="365" ht="15.75" customHeight="1">
      <c r="A365" s="3" t="s">
        <v>822</v>
      </c>
      <c r="B365" s="3" t="s">
        <v>705</v>
      </c>
      <c r="C365" s="3">
        <v>364.0</v>
      </c>
      <c r="D365" s="3">
        <v>364.0</v>
      </c>
      <c r="E365" s="3" t="s">
        <v>1393</v>
      </c>
      <c r="F365" s="3"/>
      <c r="G365" s="3" t="s">
        <v>1456</v>
      </c>
      <c r="H365" s="3" t="s">
        <v>925</v>
      </c>
    </row>
    <row r="366" ht="15.75" customHeight="1">
      <c r="A366" s="2" t="s">
        <v>822</v>
      </c>
      <c r="B366" s="2" t="s">
        <v>1457</v>
      </c>
      <c r="C366" s="2">
        <v>365.0</v>
      </c>
      <c r="D366" s="2">
        <v>365.0</v>
      </c>
      <c r="E366" s="2" t="s">
        <v>1393</v>
      </c>
      <c r="F366" s="2"/>
      <c r="G366" s="2" t="s">
        <v>1458</v>
      </c>
      <c r="H366" s="2" t="s">
        <v>837</v>
      </c>
    </row>
    <row r="367" ht="15.75" customHeight="1">
      <c r="A367" s="3" t="s">
        <v>822</v>
      </c>
      <c r="B367" s="3" t="s">
        <v>1459</v>
      </c>
      <c r="C367" s="3">
        <v>366.0</v>
      </c>
      <c r="D367" s="3">
        <v>366.0</v>
      </c>
      <c r="E367" s="3" t="s">
        <v>1393</v>
      </c>
      <c r="F367" s="3"/>
      <c r="G367" s="3" t="s">
        <v>1460</v>
      </c>
      <c r="H367" s="3" t="s">
        <v>837</v>
      </c>
    </row>
    <row r="368" ht="15.75" customHeight="1">
      <c r="A368" s="2" t="s">
        <v>822</v>
      </c>
      <c r="B368" s="2" t="s">
        <v>252</v>
      </c>
      <c r="C368" s="2">
        <v>367.0</v>
      </c>
      <c r="D368" s="2">
        <v>367.0</v>
      </c>
      <c r="E368" s="2" t="s">
        <v>1393</v>
      </c>
      <c r="F368" s="2"/>
      <c r="G368" s="2" t="s">
        <v>1461</v>
      </c>
      <c r="H368" s="2" t="s">
        <v>885</v>
      </c>
    </row>
    <row r="369" ht="15.75" customHeight="1">
      <c r="A369" s="3" t="s">
        <v>822</v>
      </c>
      <c r="B369" s="3" t="s">
        <v>257</v>
      </c>
      <c r="C369" s="3">
        <v>368.0</v>
      </c>
      <c r="D369" s="3">
        <v>368.0</v>
      </c>
      <c r="E369" s="3" t="s">
        <v>1393</v>
      </c>
      <c r="F369" s="3" t="s">
        <v>1153</v>
      </c>
      <c r="G369" s="3" t="s">
        <v>1462</v>
      </c>
      <c r="H369" s="3" t="s">
        <v>837</v>
      </c>
    </row>
    <row r="370" ht="15.75" customHeight="1">
      <c r="A370" s="2" t="s">
        <v>822</v>
      </c>
      <c r="B370" s="2" t="s">
        <v>264</v>
      </c>
      <c r="C370" s="2">
        <v>369.0</v>
      </c>
      <c r="D370" s="2">
        <v>369.0</v>
      </c>
      <c r="E370" s="2" t="s">
        <v>1393</v>
      </c>
      <c r="F370" s="2" t="s">
        <v>1153</v>
      </c>
      <c r="G370" s="2" t="s">
        <v>1463</v>
      </c>
      <c r="H370" s="2" t="s">
        <v>837</v>
      </c>
    </row>
    <row r="371" ht="15.75" customHeight="1">
      <c r="A371" s="3" t="s">
        <v>822</v>
      </c>
      <c r="B371" s="3" t="s">
        <v>271</v>
      </c>
      <c r="C371" s="3">
        <v>370.0</v>
      </c>
      <c r="D371" s="3">
        <v>370.0</v>
      </c>
      <c r="E371" s="3" t="s">
        <v>1393</v>
      </c>
      <c r="F371" s="3"/>
      <c r="G371" s="3" t="s">
        <v>1464</v>
      </c>
      <c r="H371" s="3" t="s">
        <v>847</v>
      </c>
    </row>
    <row r="372" ht="15.75" customHeight="1">
      <c r="A372" s="2" t="s">
        <v>822</v>
      </c>
      <c r="B372" s="2" t="s">
        <v>1465</v>
      </c>
      <c r="C372" s="2">
        <v>371.0</v>
      </c>
      <c r="D372" s="2">
        <v>371.0</v>
      </c>
      <c r="E372" s="2" t="s">
        <v>1393</v>
      </c>
      <c r="F372" s="2"/>
      <c r="G372" s="2" t="s">
        <v>1466</v>
      </c>
      <c r="H372" s="2" t="s">
        <v>885</v>
      </c>
    </row>
    <row r="373" ht="15.75" customHeight="1">
      <c r="A373" s="3" t="s">
        <v>822</v>
      </c>
      <c r="B373" s="3" t="s">
        <v>273</v>
      </c>
      <c r="C373" s="3">
        <v>372.0</v>
      </c>
      <c r="D373" s="3">
        <v>372.0</v>
      </c>
      <c r="E373" s="3" t="s">
        <v>1393</v>
      </c>
      <c r="F373" s="3"/>
      <c r="G373" s="3" t="s">
        <v>1467</v>
      </c>
      <c r="H373" s="3" t="s">
        <v>847</v>
      </c>
    </row>
    <row r="374" ht="15.75" customHeight="1">
      <c r="A374" s="2" t="s">
        <v>822</v>
      </c>
      <c r="B374" s="2" t="s">
        <v>1468</v>
      </c>
      <c r="C374" s="2">
        <v>373.0</v>
      </c>
      <c r="D374" s="2">
        <v>373.0</v>
      </c>
      <c r="E374" s="2" t="s">
        <v>1393</v>
      </c>
      <c r="F374" s="2"/>
      <c r="G374" s="2" t="s">
        <v>1466</v>
      </c>
      <c r="H374" s="2" t="s">
        <v>885</v>
      </c>
    </row>
    <row r="375" ht="15.75" customHeight="1">
      <c r="A375" s="3" t="s">
        <v>822</v>
      </c>
      <c r="B375" s="3" t="s">
        <v>717</v>
      </c>
      <c r="C375" s="3">
        <v>374.0</v>
      </c>
      <c r="D375" s="3">
        <v>374.0</v>
      </c>
      <c r="E375" s="3" t="s">
        <v>1469</v>
      </c>
      <c r="F375" s="3"/>
      <c r="G375" s="3" t="s">
        <v>1470</v>
      </c>
      <c r="H375" s="3" t="s">
        <v>860</v>
      </c>
    </row>
    <row r="376" ht="15.75" customHeight="1">
      <c r="A376" s="2" t="s">
        <v>822</v>
      </c>
      <c r="B376" s="2" t="s">
        <v>719</v>
      </c>
      <c r="C376" s="2">
        <v>375.0</v>
      </c>
      <c r="D376" s="2">
        <v>375.0</v>
      </c>
      <c r="E376" s="2" t="s">
        <v>1469</v>
      </c>
      <c r="F376" s="2"/>
      <c r="G376" s="2" t="s">
        <v>1471</v>
      </c>
      <c r="H376" s="2" t="s">
        <v>847</v>
      </c>
    </row>
    <row r="377" ht="15.75" customHeight="1">
      <c r="A377" s="3" t="s">
        <v>822</v>
      </c>
      <c r="B377" s="3" t="s">
        <v>722</v>
      </c>
      <c r="C377" s="3">
        <v>376.0</v>
      </c>
      <c r="D377" s="3">
        <v>376.0</v>
      </c>
      <c r="E377" s="3" t="s">
        <v>1469</v>
      </c>
      <c r="F377" s="3"/>
      <c r="G377" s="3" t="s">
        <v>1472</v>
      </c>
      <c r="H377" s="3" t="s">
        <v>847</v>
      </c>
    </row>
    <row r="378" ht="15.75" customHeight="1">
      <c r="A378" s="2" t="s">
        <v>822</v>
      </c>
      <c r="B378" s="2" t="s">
        <v>724</v>
      </c>
      <c r="C378" s="2">
        <v>377.0</v>
      </c>
      <c r="D378" s="2">
        <v>377.0</v>
      </c>
      <c r="E378" s="2" t="s">
        <v>1469</v>
      </c>
      <c r="F378" s="2"/>
      <c r="G378" s="2" t="s">
        <v>1473</v>
      </c>
      <c r="H378" s="2" t="s">
        <v>847</v>
      </c>
    </row>
    <row r="379" ht="15.75" customHeight="1">
      <c r="A379" s="3" t="s">
        <v>822</v>
      </c>
      <c r="B379" s="3" t="s">
        <v>1474</v>
      </c>
      <c r="C379" s="3">
        <v>378.0</v>
      </c>
      <c r="D379" s="3">
        <v>378.0</v>
      </c>
      <c r="E379" s="3" t="s">
        <v>1469</v>
      </c>
      <c r="F379" s="3"/>
      <c r="G379" s="3" t="s">
        <v>1475</v>
      </c>
      <c r="H379" s="3" t="s">
        <v>1476</v>
      </c>
    </row>
    <row r="380" ht="15.75" customHeight="1">
      <c r="A380" s="2" t="s">
        <v>822</v>
      </c>
      <c r="B380" s="2" t="s">
        <v>727</v>
      </c>
      <c r="C380" s="2">
        <v>379.0</v>
      </c>
      <c r="D380" s="2">
        <v>379.0</v>
      </c>
      <c r="E380" s="2" t="s">
        <v>1060</v>
      </c>
      <c r="F380" s="2"/>
      <c r="G380" s="2" t="s">
        <v>1477</v>
      </c>
      <c r="H380" s="2" t="s">
        <v>830</v>
      </c>
    </row>
    <row r="381" ht="15.75" customHeight="1">
      <c r="A381" s="3" t="s">
        <v>822</v>
      </c>
      <c r="B381" s="3" t="s">
        <v>729</v>
      </c>
      <c r="C381" s="3">
        <v>380.0</v>
      </c>
      <c r="D381" s="3">
        <v>380.0</v>
      </c>
      <c r="E381" s="3" t="s">
        <v>1060</v>
      </c>
      <c r="F381" s="3"/>
      <c r="G381" s="3" t="s">
        <v>1479</v>
      </c>
      <c r="H381" s="3" t="s">
        <v>825</v>
      </c>
    </row>
    <row r="382" ht="15.75" customHeight="1">
      <c r="A382" s="2" t="s">
        <v>822</v>
      </c>
      <c r="B382" s="2" t="s">
        <v>731</v>
      </c>
      <c r="C382" s="2">
        <v>381.0</v>
      </c>
      <c r="D382" s="2">
        <v>381.0</v>
      </c>
      <c r="E382" s="2" t="s">
        <v>1060</v>
      </c>
      <c r="F382" s="2"/>
      <c r="G382" s="2" t="s">
        <v>1481</v>
      </c>
      <c r="H382" s="2" t="s">
        <v>1482</v>
      </c>
    </row>
    <row r="383" ht="15.75" customHeight="1">
      <c r="A383" s="3" t="s">
        <v>822</v>
      </c>
      <c r="B383" s="3" t="s">
        <v>733</v>
      </c>
      <c r="C383" s="3">
        <v>382.0</v>
      </c>
      <c r="D383" s="3">
        <v>382.0</v>
      </c>
      <c r="E383" s="3" t="s">
        <v>1060</v>
      </c>
      <c r="F383" s="3"/>
      <c r="G383" s="3" t="s">
        <v>1483</v>
      </c>
      <c r="H383" s="3" t="s">
        <v>1482</v>
      </c>
    </row>
    <row r="384" ht="15.75" customHeight="1">
      <c r="A384" s="2" t="s">
        <v>822</v>
      </c>
      <c r="B384" s="2" t="s">
        <v>736</v>
      </c>
      <c r="C384" s="2">
        <v>383.0</v>
      </c>
      <c r="D384" s="2">
        <v>383.0</v>
      </c>
      <c r="E384" s="2" t="s">
        <v>1060</v>
      </c>
      <c r="F384" s="2"/>
      <c r="G384" s="2" t="s">
        <v>1484</v>
      </c>
      <c r="H384" s="2" t="s">
        <v>830</v>
      </c>
    </row>
    <row r="385" ht="15.75" customHeight="1">
      <c r="A385" s="3" t="s">
        <v>822</v>
      </c>
      <c r="B385" s="3" t="s">
        <v>1485</v>
      </c>
      <c r="C385" s="3">
        <v>384.0</v>
      </c>
      <c r="D385" s="3">
        <v>384.0</v>
      </c>
      <c r="E385" s="3" t="s">
        <v>1486</v>
      </c>
      <c r="F385" s="3"/>
      <c r="G385" s="3" t="s">
        <v>1487</v>
      </c>
      <c r="H385" s="3" t="s">
        <v>1286</v>
      </c>
    </row>
    <row r="386" ht="15.75" customHeight="1">
      <c r="A386" s="2" t="s">
        <v>822</v>
      </c>
      <c r="B386" s="2" t="s">
        <v>738</v>
      </c>
      <c r="C386" s="2">
        <v>385.0</v>
      </c>
      <c r="D386" s="2">
        <v>385.0</v>
      </c>
      <c r="E386" s="2" t="s">
        <v>1486</v>
      </c>
      <c r="F386" s="2"/>
      <c r="G386" s="2" t="s">
        <v>1488</v>
      </c>
      <c r="H386" s="2" t="s">
        <v>830</v>
      </c>
    </row>
    <row r="387" ht="15.75" customHeight="1">
      <c r="A387" s="3" t="s">
        <v>822</v>
      </c>
      <c r="B387" s="3" t="s">
        <v>1489</v>
      </c>
      <c r="C387" s="3">
        <v>386.0</v>
      </c>
      <c r="D387" s="3">
        <v>386.0</v>
      </c>
      <c r="E387" s="3" t="s">
        <v>1486</v>
      </c>
      <c r="F387" s="3"/>
      <c r="G387" s="3" t="s">
        <v>1487</v>
      </c>
      <c r="H387" s="3" t="s">
        <v>1286</v>
      </c>
    </row>
    <row r="388" ht="15.75" customHeight="1">
      <c r="A388" s="2" t="s">
        <v>822</v>
      </c>
      <c r="B388" s="2" t="s">
        <v>740</v>
      </c>
      <c r="C388" s="2">
        <v>387.0</v>
      </c>
      <c r="D388" s="2">
        <v>387.0</v>
      </c>
      <c r="E388" s="2" t="s">
        <v>1486</v>
      </c>
      <c r="F388" s="2"/>
      <c r="G388" s="2" t="s">
        <v>1490</v>
      </c>
      <c r="H388" s="2" t="s">
        <v>830</v>
      </c>
    </row>
    <row r="389" ht="15.75" customHeight="1">
      <c r="A389" s="3" t="s">
        <v>822</v>
      </c>
      <c r="B389" s="3" t="s">
        <v>1491</v>
      </c>
      <c r="C389" s="3">
        <v>388.0</v>
      </c>
      <c r="D389" s="3">
        <v>388.0</v>
      </c>
      <c r="E389" s="3" t="s">
        <v>1486</v>
      </c>
      <c r="F389" s="3"/>
      <c r="G389" s="3" t="s">
        <v>1487</v>
      </c>
      <c r="H389" s="3" t="s">
        <v>1286</v>
      </c>
    </row>
    <row r="390" ht="15.75" customHeight="1">
      <c r="A390" s="2" t="s">
        <v>822</v>
      </c>
      <c r="B390" s="2" t="s">
        <v>742</v>
      </c>
      <c r="C390" s="2">
        <v>389.0</v>
      </c>
      <c r="D390" s="2">
        <v>389.0</v>
      </c>
      <c r="E390" s="2" t="s">
        <v>1486</v>
      </c>
      <c r="F390" s="2"/>
      <c r="G390" s="2" t="s">
        <v>1492</v>
      </c>
      <c r="H390" s="2" t="s">
        <v>830</v>
      </c>
    </row>
    <row r="391" ht="15.75" customHeight="1">
      <c r="A391" s="3" t="s">
        <v>822</v>
      </c>
      <c r="B391" s="3" t="s">
        <v>1493</v>
      </c>
      <c r="C391" s="3">
        <v>390.0</v>
      </c>
      <c r="D391" s="3">
        <v>390.0</v>
      </c>
      <c r="E391" s="3" t="s">
        <v>1486</v>
      </c>
      <c r="F391" s="3"/>
      <c r="G391" s="3" t="s">
        <v>1487</v>
      </c>
      <c r="H391" s="3" t="s">
        <v>1286</v>
      </c>
    </row>
    <row r="392" ht="15.75" customHeight="1">
      <c r="A392" s="2" t="s">
        <v>822</v>
      </c>
      <c r="B392" s="2" t="s">
        <v>745</v>
      </c>
      <c r="C392" s="2">
        <v>391.0</v>
      </c>
      <c r="D392" s="2">
        <v>391.0</v>
      </c>
      <c r="E392" s="2" t="s">
        <v>1486</v>
      </c>
      <c r="F392" s="2"/>
      <c r="G392" s="2" t="s">
        <v>1494</v>
      </c>
      <c r="H392" s="2" t="s">
        <v>830</v>
      </c>
    </row>
    <row r="393" ht="15.75" customHeight="1">
      <c r="A393" s="3" t="s">
        <v>822</v>
      </c>
      <c r="B393" s="3" t="s">
        <v>1495</v>
      </c>
      <c r="C393" s="3">
        <v>392.0</v>
      </c>
      <c r="D393" s="3">
        <v>392.0</v>
      </c>
      <c r="E393" s="3" t="s">
        <v>1486</v>
      </c>
      <c r="F393" s="3"/>
      <c r="G393" s="3" t="s">
        <v>1487</v>
      </c>
      <c r="H393" s="3" t="s">
        <v>1286</v>
      </c>
    </row>
    <row r="394" ht="15.75" customHeight="1">
      <c r="A394" s="2" t="s">
        <v>822</v>
      </c>
      <c r="B394" s="2" t="s">
        <v>747</v>
      </c>
      <c r="C394" s="2">
        <v>393.0</v>
      </c>
      <c r="D394" s="2">
        <v>393.0</v>
      </c>
      <c r="E394" s="2" t="s">
        <v>1486</v>
      </c>
      <c r="F394" s="2"/>
      <c r="G394" s="2" t="s">
        <v>1496</v>
      </c>
      <c r="H394" s="2" t="s">
        <v>830</v>
      </c>
    </row>
    <row r="395" ht="15.75" customHeight="1">
      <c r="A395" s="3" t="s">
        <v>822</v>
      </c>
      <c r="B395" s="3" t="s">
        <v>1497</v>
      </c>
      <c r="C395" s="3">
        <v>394.0</v>
      </c>
      <c r="D395" s="3">
        <v>394.0</v>
      </c>
      <c r="E395" s="3" t="s">
        <v>1486</v>
      </c>
      <c r="F395" s="3"/>
      <c r="G395" s="3" t="s">
        <v>1487</v>
      </c>
      <c r="H395" s="3" t="s">
        <v>1286</v>
      </c>
    </row>
    <row r="396" ht="15.75" customHeight="1">
      <c r="A396" s="2" t="s">
        <v>822</v>
      </c>
      <c r="B396" s="2" t="s">
        <v>750</v>
      </c>
      <c r="C396" s="2">
        <v>395.0</v>
      </c>
      <c r="D396" s="2">
        <v>395.0</v>
      </c>
      <c r="E396" s="2" t="s">
        <v>1486</v>
      </c>
      <c r="F396" s="2"/>
      <c r="G396" s="2" t="s">
        <v>1498</v>
      </c>
      <c r="H396" s="2" t="s">
        <v>830</v>
      </c>
    </row>
    <row r="397" ht="15.75" customHeight="1">
      <c r="A397" s="3" t="s">
        <v>822</v>
      </c>
      <c r="B397" s="3" t="s">
        <v>1500</v>
      </c>
      <c r="C397" s="3">
        <v>396.0</v>
      </c>
      <c r="D397" s="3">
        <v>396.0</v>
      </c>
      <c r="E397" s="3" t="s">
        <v>1486</v>
      </c>
      <c r="F397" s="3"/>
      <c r="G397" s="3" t="s">
        <v>1487</v>
      </c>
      <c r="H397" s="3" t="s">
        <v>1286</v>
      </c>
    </row>
    <row r="398" ht="15.75" customHeight="1">
      <c r="A398" s="2" t="s">
        <v>822</v>
      </c>
      <c r="B398" s="2" t="s">
        <v>751</v>
      </c>
      <c r="C398" s="2">
        <v>397.0</v>
      </c>
      <c r="D398" s="2">
        <v>397.0</v>
      </c>
      <c r="E398" s="2" t="s">
        <v>1486</v>
      </c>
      <c r="F398" s="2"/>
      <c r="G398" s="2" t="s">
        <v>1501</v>
      </c>
      <c r="H398" s="2" t="s">
        <v>830</v>
      </c>
    </row>
    <row r="399" ht="15.75" customHeight="1">
      <c r="A399" s="3" t="s">
        <v>822</v>
      </c>
      <c r="B399" s="3" t="s">
        <v>1502</v>
      </c>
      <c r="C399" s="3">
        <v>398.0</v>
      </c>
      <c r="D399" s="3">
        <v>398.0</v>
      </c>
      <c r="E399" s="3" t="s">
        <v>1486</v>
      </c>
      <c r="F399" s="3"/>
      <c r="G399" s="3" t="s">
        <v>1487</v>
      </c>
      <c r="H399" s="3" t="s">
        <v>1286</v>
      </c>
    </row>
    <row r="400" ht="15.75" customHeight="1">
      <c r="A400" s="2" t="s">
        <v>822</v>
      </c>
      <c r="B400" s="2" t="s">
        <v>753</v>
      </c>
      <c r="C400" s="2">
        <v>399.0</v>
      </c>
      <c r="D400" s="2">
        <v>399.0</v>
      </c>
      <c r="E400" s="2" t="s">
        <v>1486</v>
      </c>
      <c r="F400" s="2"/>
      <c r="G400" s="2" t="s">
        <v>1504</v>
      </c>
      <c r="H400" s="2" t="s">
        <v>830</v>
      </c>
    </row>
    <row r="401" ht="15.75" customHeight="1">
      <c r="A401" s="3" t="s">
        <v>822</v>
      </c>
      <c r="B401" s="3" t="s">
        <v>1505</v>
      </c>
      <c r="C401" s="3">
        <v>400.0</v>
      </c>
      <c r="D401" s="3">
        <v>400.0</v>
      </c>
      <c r="E401" s="3" t="s">
        <v>1506</v>
      </c>
      <c r="F401" s="3"/>
      <c r="G401" s="3" t="s">
        <v>1487</v>
      </c>
      <c r="H401" s="3" t="s">
        <v>1286</v>
      </c>
    </row>
    <row r="402" ht="15.75" customHeight="1">
      <c r="A402" s="2" t="s">
        <v>822</v>
      </c>
      <c r="B402" s="2" t="s">
        <v>756</v>
      </c>
      <c r="C402" s="2">
        <v>401.0</v>
      </c>
      <c r="D402" s="2">
        <v>401.0</v>
      </c>
      <c r="E402" s="2" t="s">
        <v>1506</v>
      </c>
      <c r="F402" s="2"/>
      <c r="G402" s="2" t="s">
        <v>1488</v>
      </c>
      <c r="H402" s="2" t="s">
        <v>830</v>
      </c>
    </row>
    <row r="403" ht="15.75" customHeight="1">
      <c r="A403" s="3" t="s">
        <v>822</v>
      </c>
      <c r="B403" s="3" t="s">
        <v>1508</v>
      </c>
      <c r="C403" s="3">
        <v>402.0</v>
      </c>
      <c r="D403" s="3">
        <v>402.0</v>
      </c>
      <c r="E403" s="3" t="s">
        <v>1506</v>
      </c>
      <c r="F403" s="3"/>
      <c r="G403" s="3" t="s">
        <v>1487</v>
      </c>
      <c r="H403" s="3" t="s">
        <v>1286</v>
      </c>
    </row>
    <row r="404" ht="15.75" customHeight="1">
      <c r="A404" s="2" t="s">
        <v>822</v>
      </c>
      <c r="B404" s="2" t="s">
        <v>758</v>
      </c>
      <c r="C404" s="2">
        <v>403.0</v>
      </c>
      <c r="D404" s="2">
        <v>403.0</v>
      </c>
      <c r="E404" s="2" t="s">
        <v>1506</v>
      </c>
      <c r="F404" s="2"/>
      <c r="G404" s="2" t="s">
        <v>1490</v>
      </c>
      <c r="H404" s="2" t="s">
        <v>830</v>
      </c>
    </row>
    <row r="405" ht="15.75" customHeight="1">
      <c r="A405" s="3" t="s">
        <v>822</v>
      </c>
      <c r="B405" s="3" t="s">
        <v>1509</v>
      </c>
      <c r="C405" s="3">
        <v>404.0</v>
      </c>
      <c r="D405" s="3">
        <v>404.0</v>
      </c>
      <c r="E405" s="3" t="s">
        <v>1506</v>
      </c>
      <c r="F405" s="3"/>
      <c r="G405" s="3" t="s">
        <v>1487</v>
      </c>
      <c r="H405" s="3" t="s">
        <v>1286</v>
      </c>
    </row>
    <row r="406" ht="15.75" customHeight="1">
      <c r="A406" s="2" t="s">
        <v>822</v>
      </c>
      <c r="B406" s="2" t="s">
        <v>761</v>
      </c>
      <c r="C406" s="2">
        <v>405.0</v>
      </c>
      <c r="D406" s="2">
        <v>405.0</v>
      </c>
      <c r="E406" s="2" t="s">
        <v>1506</v>
      </c>
      <c r="F406" s="2"/>
      <c r="G406" s="2" t="s">
        <v>1492</v>
      </c>
      <c r="H406" s="2" t="s">
        <v>830</v>
      </c>
    </row>
    <row r="407" ht="15.75" customHeight="1">
      <c r="A407" s="3" t="s">
        <v>822</v>
      </c>
      <c r="B407" s="3" t="s">
        <v>1510</v>
      </c>
      <c r="C407" s="3">
        <v>406.0</v>
      </c>
      <c r="D407" s="3">
        <v>406.0</v>
      </c>
      <c r="E407" s="3" t="s">
        <v>1506</v>
      </c>
      <c r="F407" s="3"/>
      <c r="G407" s="3" t="s">
        <v>1487</v>
      </c>
      <c r="H407" s="3" t="s">
        <v>1286</v>
      </c>
    </row>
    <row r="408" ht="15.75" customHeight="1">
      <c r="A408" s="2" t="s">
        <v>822</v>
      </c>
      <c r="B408" s="2" t="s">
        <v>763</v>
      </c>
      <c r="C408" s="2">
        <v>407.0</v>
      </c>
      <c r="D408" s="2">
        <v>407.0</v>
      </c>
      <c r="E408" s="2" t="s">
        <v>1506</v>
      </c>
      <c r="F408" s="2"/>
      <c r="G408" s="2" t="s">
        <v>1494</v>
      </c>
      <c r="H408" s="2" t="s">
        <v>830</v>
      </c>
    </row>
    <row r="409" ht="15.75" customHeight="1">
      <c r="A409" s="3" t="s">
        <v>822</v>
      </c>
      <c r="B409" s="3" t="s">
        <v>1511</v>
      </c>
      <c r="C409" s="3">
        <v>408.0</v>
      </c>
      <c r="D409" s="3">
        <v>408.0</v>
      </c>
      <c r="E409" s="3" t="s">
        <v>1506</v>
      </c>
      <c r="F409" s="3"/>
      <c r="G409" s="3" t="s">
        <v>1487</v>
      </c>
      <c r="H409" s="3" t="s">
        <v>1286</v>
      </c>
    </row>
    <row r="410" ht="15.75" customHeight="1">
      <c r="A410" s="2" t="s">
        <v>822</v>
      </c>
      <c r="B410" s="2" t="s">
        <v>766</v>
      </c>
      <c r="C410" s="2">
        <v>409.0</v>
      </c>
      <c r="D410" s="2">
        <v>409.0</v>
      </c>
      <c r="E410" s="2" t="s">
        <v>1506</v>
      </c>
      <c r="F410" s="2"/>
      <c r="G410" s="2" t="s">
        <v>1496</v>
      </c>
      <c r="H410" s="2" t="s">
        <v>830</v>
      </c>
    </row>
    <row r="411" ht="15.75" customHeight="1">
      <c r="A411" s="3" t="s">
        <v>822</v>
      </c>
      <c r="B411" s="3" t="s">
        <v>1513</v>
      </c>
      <c r="C411" s="3">
        <v>410.0</v>
      </c>
      <c r="D411" s="3">
        <v>410.0</v>
      </c>
      <c r="E411" s="3" t="s">
        <v>1506</v>
      </c>
      <c r="F411" s="3"/>
      <c r="G411" s="3" t="s">
        <v>1487</v>
      </c>
      <c r="H411" s="3" t="s">
        <v>1286</v>
      </c>
    </row>
    <row r="412" ht="15.75" customHeight="1">
      <c r="A412" s="2" t="s">
        <v>822</v>
      </c>
      <c r="B412" s="2" t="s">
        <v>768</v>
      </c>
      <c r="C412" s="2">
        <v>411.0</v>
      </c>
      <c r="D412" s="2">
        <v>411.0</v>
      </c>
      <c r="E412" s="2" t="s">
        <v>1506</v>
      </c>
      <c r="F412" s="2"/>
      <c r="G412" s="2" t="s">
        <v>1498</v>
      </c>
      <c r="H412" s="2" t="s">
        <v>830</v>
      </c>
    </row>
    <row r="413" ht="15.75" customHeight="1">
      <c r="A413" s="3" t="s">
        <v>822</v>
      </c>
      <c r="B413" s="3" t="s">
        <v>1515</v>
      </c>
      <c r="C413" s="3">
        <v>412.0</v>
      </c>
      <c r="D413" s="3">
        <v>412.0</v>
      </c>
      <c r="E413" s="3" t="s">
        <v>1506</v>
      </c>
      <c r="F413" s="3"/>
      <c r="G413" s="3" t="s">
        <v>1487</v>
      </c>
      <c r="H413" s="3" t="s">
        <v>1286</v>
      </c>
    </row>
    <row r="414" ht="15.75" customHeight="1">
      <c r="A414" s="2" t="s">
        <v>822</v>
      </c>
      <c r="B414" s="2" t="s">
        <v>770</v>
      </c>
      <c r="C414" s="2">
        <v>413.0</v>
      </c>
      <c r="D414" s="2">
        <v>413.0</v>
      </c>
      <c r="E414" s="2" t="s">
        <v>1506</v>
      </c>
      <c r="F414" s="2"/>
      <c r="G414" s="2" t="s">
        <v>1501</v>
      </c>
      <c r="H414" s="2" t="s">
        <v>830</v>
      </c>
    </row>
    <row r="415" ht="15.75" customHeight="1">
      <c r="A415" s="3" t="s">
        <v>822</v>
      </c>
      <c r="B415" s="3" t="s">
        <v>772</v>
      </c>
      <c r="C415" s="3">
        <v>414.0</v>
      </c>
      <c r="D415" s="3">
        <v>414.0</v>
      </c>
      <c r="E415" s="3"/>
      <c r="F415" s="3"/>
      <c r="G415" s="3" t="s">
        <v>772</v>
      </c>
      <c r="H415" s="3" t="s">
        <v>885</v>
      </c>
    </row>
    <row r="416" ht="15.75" customHeight="1">
      <c r="A416" s="2" t="s">
        <v>822</v>
      </c>
      <c r="B416" s="2" t="s">
        <v>1526</v>
      </c>
      <c r="C416" s="2">
        <v>415.0</v>
      </c>
      <c r="D416" s="2">
        <v>415.0</v>
      </c>
      <c r="E416" s="2"/>
      <c r="F416" s="2"/>
      <c r="G416" s="2" t="s">
        <v>1526</v>
      </c>
      <c r="H416" s="2" t="s">
        <v>885</v>
      </c>
    </row>
    <row r="417" ht="15.75" customHeight="1">
      <c r="A417" s="3" t="s">
        <v>822</v>
      </c>
      <c r="B417" s="3" t="s">
        <v>1530</v>
      </c>
      <c r="C417" s="3">
        <v>416.0</v>
      </c>
      <c r="D417" s="3">
        <v>416.0</v>
      </c>
      <c r="E417" s="3"/>
      <c r="F417" s="3"/>
      <c r="G417" s="3" t="s">
        <v>1533</v>
      </c>
      <c r="H417" s="3" t="s">
        <v>885</v>
      </c>
    </row>
    <row r="418" ht="15.75" customHeight="1">
      <c r="A418" s="2" t="s">
        <v>822</v>
      </c>
      <c r="B418" s="2" t="s">
        <v>775</v>
      </c>
      <c r="C418" s="2">
        <v>417.0</v>
      </c>
      <c r="D418" s="2">
        <v>417.0</v>
      </c>
      <c r="E418" s="2"/>
      <c r="F418" s="2"/>
      <c r="G418" s="2" t="s">
        <v>1537</v>
      </c>
      <c r="H418" s="2" t="s">
        <v>885</v>
      </c>
    </row>
    <row r="419" ht="15.75" customHeight="1">
      <c r="A419" s="3" t="s">
        <v>822</v>
      </c>
      <c r="B419" s="3" t="s">
        <v>778</v>
      </c>
      <c r="C419" s="3">
        <v>418.0</v>
      </c>
      <c r="D419" s="3">
        <v>418.0</v>
      </c>
      <c r="E419" s="3"/>
      <c r="F419" s="3" t="s">
        <v>845</v>
      </c>
      <c r="G419" s="3" t="s">
        <v>1542</v>
      </c>
      <c r="H419" s="3" t="s">
        <v>885</v>
      </c>
    </row>
    <row r="420" ht="15.75" customHeight="1">
      <c r="A420" s="2" t="s">
        <v>822</v>
      </c>
      <c r="B420" s="2" t="s">
        <v>1544</v>
      </c>
      <c r="C420" s="2">
        <v>419.0</v>
      </c>
      <c r="D420" s="2">
        <v>419.0</v>
      </c>
      <c r="E420" s="2"/>
      <c r="F420" s="2"/>
      <c r="G420" s="2" t="s">
        <v>1547</v>
      </c>
      <c r="H420" s="2" t="s">
        <v>885</v>
      </c>
    </row>
    <row r="421" ht="15.75" customHeight="1">
      <c r="A421" s="3" t="s">
        <v>822</v>
      </c>
      <c r="B421" s="3" t="s">
        <v>780</v>
      </c>
      <c r="C421" s="3">
        <v>420.0</v>
      </c>
      <c r="D421" s="3">
        <v>420.0</v>
      </c>
      <c r="E421" s="3"/>
      <c r="F421" s="3"/>
      <c r="G421" s="3" t="s">
        <v>1552</v>
      </c>
      <c r="H421" s="3" t="s">
        <v>885</v>
      </c>
    </row>
    <row r="422" ht="15.75" customHeight="1">
      <c r="A422" s="2" t="s">
        <v>822</v>
      </c>
      <c r="B422" s="2" t="s">
        <v>1553</v>
      </c>
      <c r="C422" s="2">
        <v>421.0</v>
      </c>
      <c r="D422" s="2">
        <v>421.0</v>
      </c>
      <c r="E422" s="2"/>
      <c r="F422" s="2"/>
      <c r="G422" s="2" t="s">
        <v>1556</v>
      </c>
      <c r="H422" s="2" t="s">
        <v>885</v>
      </c>
    </row>
    <row r="423" ht="15.75" customHeight="1">
      <c r="A423" s="3" t="s">
        <v>822</v>
      </c>
      <c r="B423" s="3" t="s">
        <v>782</v>
      </c>
      <c r="C423" s="3">
        <v>422.0</v>
      </c>
      <c r="D423" s="3">
        <v>422.0</v>
      </c>
      <c r="E423" s="3"/>
      <c r="F423" s="3"/>
      <c r="G423" s="3" t="s">
        <v>1559</v>
      </c>
      <c r="H423" s="3" t="s">
        <v>885</v>
      </c>
    </row>
    <row r="424" ht="15.75" customHeight="1">
      <c r="A424" s="2" t="s">
        <v>822</v>
      </c>
      <c r="B424" s="2" t="s">
        <v>784</v>
      </c>
      <c r="C424" s="2">
        <v>423.0</v>
      </c>
      <c r="D424" s="2">
        <v>423.0</v>
      </c>
      <c r="E424" s="2"/>
      <c r="F424" s="2"/>
      <c r="G424" s="2" t="s">
        <v>959</v>
      </c>
      <c r="H424" s="2" t="s">
        <v>885</v>
      </c>
    </row>
    <row r="425" ht="15.75" customHeight="1">
      <c r="A425" s="3" t="s">
        <v>822</v>
      </c>
      <c r="B425" s="3" t="s">
        <v>1564</v>
      </c>
      <c r="C425" s="3">
        <v>424.0</v>
      </c>
      <c r="D425" s="3">
        <v>424.0</v>
      </c>
      <c r="E425" s="3"/>
      <c r="F425" s="3"/>
      <c r="G425" s="3" t="s">
        <v>1564</v>
      </c>
      <c r="H425" s="3" t="s">
        <v>885</v>
      </c>
    </row>
    <row r="426" ht="15.75" customHeight="1">
      <c r="A426" s="2" t="s">
        <v>822</v>
      </c>
      <c r="B426" s="2" t="s">
        <v>786</v>
      </c>
      <c r="C426" s="2">
        <v>425.0</v>
      </c>
      <c r="D426" s="2">
        <v>425.0</v>
      </c>
      <c r="E426" s="2"/>
      <c r="F426" s="2"/>
      <c r="G426" s="2" t="s">
        <v>1572</v>
      </c>
      <c r="H426" s="2" t="s">
        <v>885</v>
      </c>
    </row>
    <row r="427" ht="15.75" customHeight="1">
      <c r="A427" s="3" t="s">
        <v>822</v>
      </c>
      <c r="B427" s="3" t="s">
        <v>1576</v>
      </c>
      <c r="C427" s="3">
        <v>426.0</v>
      </c>
      <c r="D427" s="3">
        <v>426.0</v>
      </c>
      <c r="E427" s="3"/>
      <c r="F427" s="3"/>
      <c r="G427" s="3" t="s">
        <v>1576</v>
      </c>
      <c r="H427" s="3" t="s">
        <v>885</v>
      </c>
    </row>
    <row r="428" ht="15.75" customHeight="1">
      <c r="A428" s="2" t="s">
        <v>822</v>
      </c>
      <c r="B428" s="2" t="s">
        <v>789</v>
      </c>
      <c r="C428" s="2">
        <v>427.0</v>
      </c>
      <c r="D428" s="2">
        <v>427.0</v>
      </c>
      <c r="E428" s="2"/>
      <c r="F428" s="2"/>
      <c r="G428" s="2" t="s">
        <v>1592</v>
      </c>
      <c r="H428" s="2" t="s">
        <v>885</v>
      </c>
    </row>
    <row r="429" ht="15.75" customHeight="1">
      <c r="A429" s="3" t="s">
        <v>822</v>
      </c>
      <c r="B429" s="3" t="s">
        <v>1594</v>
      </c>
      <c r="C429" s="3">
        <v>428.0</v>
      </c>
      <c r="D429" s="3">
        <v>428.0</v>
      </c>
      <c r="E429" s="3"/>
      <c r="F429" s="3"/>
      <c r="G429" s="3" t="s">
        <v>1594</v>
      </c>
      <c r="H429" s="3" t="s">
        <v>885</v>
      </c>
    </row>
    <row r="430" ht="15.75" customHeight="1">
      <c r="A430" s="2" t="s">
        <v>822</v>
      </c>
      <c r="B430" s="2" t="s">
        <v>791</v>
      </c>
      <c r="C430" s="2">
        <v>429.0</v>
      </c>
      <c r="D430" s="2">
        <v>429.0</v>
      </c>
      <c r="E430" s="2"/>
      <c r="F430" s="2"/>
      <c r="G430" s="2" t="s">
        <v>791</v>
      </c>
      <c r="H430" s="2" t="s">
        <v>885</v>
      </c>
    </row>
    <row r="431" ht="15.75" customHeight="1">
      <c r="A431" s="3" t="s">
        <v>822</v>
      </c>
      <c r="B431" s="3" t="s">
        <v>1595</v>
      </c>
      <c r="C431" s="3">
        <v>430.0</v>
      </c>
      <c r="D431" s="3">
        <v>430.0</v>
      </c>
      <c r="E431" s="3"/>
      <c r="F431" s="3"/>
      <c r="G431" s="3" t="s">
        <v>1596</v>
      </c>
      <c r="H431" s="3" t="s">
        <v>885</v>
      </c>
    </row>
    <row r="432" ht="15.75" customHeight="1">
      <c r="A432" s="2" t="s">
        <v>822</v>
      </c>
      <c r="B432" s="2" t="s">
        <v>793</v>
      </c>
      <c r="C432" s="2">
        <v>431.0</v>
      </c>
      <c r="D432" s="2">
        <v>431.0</v>
      </c>
      <c r="E432" s="2"/>
      <c r="F432" s="2"/>
      <c r="G432" s="2" t="s">
        <v>793</v>
      </c>
      <c r="H432" s="2" t="s">
        <v>885</v>
      </c>
    </row>
    <row r="433" ht="15.75" customHeight="1">
      <c r="A433" s="3" t="s">
        <v>822</v>
      </c>
      <c r="B433" s="3" t="s">
        <v>1597</v>
      </c>
      <c r="C433" s="3">
        <v>432.0</v>
      </c>
      <c r="D433" s="3">
        <v>432.0</v>
      </c>
      <c r="E433" s="3"/>
      <c r="F433" s="3"/>
      <c r="G433" s="3" t="s">
        <v>1598</v>
      </c>
      <c r="H433" s="3" t="s">
        <v>885</v>
      </c>
    </row>
    <row r="434" ht="15.75" customHeight="1">
      <c r="A434" s="2" t="s">
        <v>822</v>
      </c>
      <c r="B434" s="2" t="s">
        <v>1599</v>
      </c>
      <c r="C434" s="2">
        <v>433.0</v>
      </c>
      <c r="D434" s="2">
        <v>433.0</v>
      </c>
      <c r="E434" s="2"/>
      <c r="F434" s="2"/>
      <c r="G434" s="2" t="s">
        <v>1600</v>
      </c>
      <c r="H434" s="2" t="s">
        <v>885</v>
      </c>
    </row>
    <row r="435" ht="15.75" customHeight="1">
      <c r="A435" s="3" t="s">
        <v>822</v>
      </c>
      <c r="B435" s="3" t="s">
        <v>797</v>
      </c>
      <c r="C435" s="3">
        <v>434.0</v>
      </c>
      <c r="D435" s="3">
        <v>434.0</v>
      </c>
      <c r="E435" s="3"/>
      <c r="F435" s="3"/>
      <c r="G435" s="3" t="s">
        <v>797</v>
      </c>
      <c r="H435" s="3" t="s">
        <v>885</v>
      </c>
    </row>
    <row r="436" ht="15.75" customHeight="1">
      <c r="A436" s="2" t="s">
        <v>822</v>
      </c>
      <c r="B436" s="2" t="s">
        <v>1601</v>
      </c>
      <c r="C436" s="2">
        <v>435.0</v>
      </c>
      <c r="D436" s="2">
        <v>435.0</v>
      </c>
      <c r="E436" s="2"/>
      <c r="F436" s="2"/>
      <c r="G436" s="2" t="s">
        <v>1601</v>
      </c>
      <c r="H436" s="2" t="s">
        <v>885</v>
      </c>
    </row>
    <row r="437" ht="15.75" customHeight="1">
      <c r="A437" s="3" t="s">
        <v>822</v>
      </c>
      <c r="B437" s="3" t="s">
        <v>799</v>
      </c>
      <c r="C437" s="3">
        <v>436.0</v>
      </c>
      <c r="D437" s="3">
        <v>436.0</v>
      </c>
      <c r="E437" s="3"/>
      <c r="F437" s="3"/>
      <c r="G437" s="3" t="s">
        <v>799</v>
      </c>
      <c r="H437" s="3" t="s">
        <v>885</v>
      </c>
    </row>
    <row r="438" ht="15.75" customHeight="1">
      <c r="A438" s="2" t="s">
        <v>822</v>
      </c>
      <c r="B438" s="2" t="s">
        <v>1602</v>
      </c>
      <c r="C438" s="2">
        <v>437.0</v>
      </c>
      <c r="D438" s="2">
        <v>437.0</v>
      </c>
      <c r="E438" s="2"/>
      <c r="F438" s="2"/>
      <c r="G438" s="2" t="s">
        <v>1600</v>
      </c>
      <c r="H438" s="2" t="s">
        <v>885</v>
      </c>
    </row>
    <row r="439" ht="15.75" customHeight="1">
      <c r="A439" s="3" t="s">
        <v>822</v>
      </c>
      <c r="B439" s="3" t="s">
        <v>1603</v>
      </c>
      <c r="C439" s="3">
        <v>438.0</v>
      </c>
      <c r="D439" s="3">
        <v>438.0</v>
      </c>
      <c r="E439" s="3"/>
      <c r="F439" s="3"/>
      <c r="G439" s="3" t="s">
        <v>1603</v>
      </c>
      <c r="H439" s="3" t="s">
        <v>885</v>
      </c>
    </row>
    <row r="440" ht="15.75" customHeight="1">
      <c r="A440" s="2" t="s">
        <v>822</v>
      </c>
      <c r="B440" s="2" t="s">
        <v>802</v>
      </c>
      <c r="C440" s="2">
        <v>439.0</v>
      </c>
      <c r="D440" s="2">
        <v>439.0</v>
      </c>
      <c r="E440" s="2"/>
      <c r="F440" s="2"/>
      <c r="G440" s="2" t="s">
        <v>802</v>
      </c>
      <c r="H440" s="2" t="s">
        <v>885</v>
      </c>
    </row>
    <row r="441" ht="15.75" customHeight="1">
      <c r="A441" s="3" t="s">
        <v>822</v>
      </c>
      <c r="B441" s="3" t="s">
        <v>804</v>
      </c>
      <c r="C441" s="3">
        <v>440.0</v>
      </c>
      <c r="D441" s="3">
        <v>440.0</v>
      </c>
      <c r="E441" s="3"/>
      <c r="F441" s="3"/>
      <c r="G441" s="3" t="s">
        <v>804</v>
      </c>
      <c r="H441" s="3" t="s">
        <v>885</v>
      </c>
    </row>
    <row r="442" ht="15.75" customHeight="1">
      <c r="A442" s="2" t="s">
        <v>822</v>
      </c>
      <c r="B442" s="2" t="s">
        <v>1605</v>
      </c>
      <c r="C442" s="2">
        <v>441.0</v>
      </c>
      <c r="D442" s="2">
        <v>441.0</v>
      </c>
      <c r="E442" s="2"/>
      <c r="F442" s="2"/>
      <c r="G442" s="2" t="s">
        <v>1606</v>
      </c>
      <c r="H442" s="2" t="s">
        <v>885</v>
      </c>
    </row>
    <row r="443" ht="15.75" customHeight="1">
      <c r="A443" s="3" t="s">
        <v>822</v>
      </c>
      <c r="B443" s="3" t="s">
        <v>1607</v>
      </c>
      <c r="C443" s="3">
        <v>442.0</v>
      </c>
      <c r="D443" s="3">
        <v>442.0</v>
      </c>
      <c r="E443" s="3"/>
      <c r="F443" s="3"/>
      <c r="G443" s="3" t="s">
        <v>1600</v>
      </c>
      <c r="H443" s="3" t="s">
        <v>885</v>
      </c>
    </row>
    <row r="444" ht="15.75" customHeight="1">
      <c r="A444" s="2" t="s">
        <v>822</v>
      </c>
      <c r="B444" s="2" t="s">
        <v>1608</v>
      </c>
      <c r="C444" s="2">
        <v>443.0</v>
      </c>
      <c r="D444" s="2">
        <v>443.0</v>
      </c>
      <c r="E444" s="2"/>
      <c r="F444" s="2"/>
      <c r="G444" s="2" t="s">
        <v>1609</v>
      </c>
      <c r="H444" s="2" t="s">
        <v>885</v>
      </c>
    </row>
    <row r="445" ht="15.75" customHeight="1">
      <c r="A445" s="3" t="s">
        <v>822</v>
      </c>
      <c r="B445" s="3" t="s">
        <v>806</v>
      </c>
      <c r="C445" s="3">
        <v>444.0</v>
      </c>
      <c r="D445" s="3">
        <v>444.0</v>
      </c>
      <c r="E445" s="3"/>
      <c r="F445" s="3"/>
      <c r="G445" s="3" t="s">
        <v>1611</v>
      </c>
      <c r="H445" s="3" t="s">
        <v>885</v>
      </c>
    </row>
    <row r="446" ht="15.75" customHeight="1">
      <c r="A446" s="2" t="s">
        <v>822</v>
      </c>
      <c r="B446" s="2" t="s">
        <v>808</v>
      </c>
      <c r="C446" s="2">
        <v>445.0</v>
      </c>
      <c r="D446" s="2">
        <v>445.0</v>
      </c>
      <c r="E446" s="2"/>
      <c r="F446" s="2"/>
      <c r="G446" s="2" t="s">
        <v>808</v>
      </c>
      <c r="H446" s="2" t="s">
        <v>885</v>
      </c>
    </row>
    <row r="447" ht="15.75" customHeight="1">
      <c r="A447" s="3" t="s">
        <v>822</v>
      </c>
      <c r="B447" s="3" t="s">
        <v>1612</v>
      </c>
      <c r="C447" s="3">
        <v>446.0</v>
      </c>
      <c r="D447" s="3">
        <v>446.0</v>
      </c>
      <c r="E447" s="3"/>
      <c r="F447" s="3"/>
      <c r="G447" s="3" t="s">
        <v>1612</v>
      </c>
      <c r="H447" s="3" t="s">
        <v>885</v>
      </c>
    </row>
    <row r="448" ht="15.75" customHeight="1">
      <c r="A448" s="2" t="s">
        <v>822</v>
      </c>
      <c r="B448" s="2" t="s">
        <v>811</v>
      </c>
      <c r="C448" s="2">
        <v>447.0</v>
      </c>
      <c r="D448" s="2">
        <v>447.0</v>
      </c>
      <c r="E448" s="2"/>
      <c r="F448" s="2"/>
      <c r="G448" s="2" t="s">
        <v>1613</v>
      </c>
      <c r="H448" s="2" t="s">
        <v>885</v>
      </c>
    </row>
    <row r="449" ht="15.75" customHeight="1">
      <c r="A449" s="3" t="s">
        <v>822</v>
      </c>
      <c r="B449" s="3" t="s">
        <v>813</v>
      </c>
      <c r="C449" s="3">
        <v>448.0</v>
      </c>
      <c r="D449" s="3">
        <v>448.0</v>
      </c>
      <c r="E449" s="3"/>
      <c r="F449" s="3"/>
      <c r="G449" s="3" t="s">
        <v>813</v>
      </c>
      <c r="H449" s="3" t="s">
        <v>885</v>
      </c>
    </row>
    <row r="450" ht="15.75" customHeight="1">
      <c r="A450" s="2" t="s">
        <v>822</v>
      </c>
      <c r="B450" s="2" t="s">
        <v>1615</v>
      </c>
      <c r="C450" s="2">
        <v>449.0</v>
      </c>
      <c r="D450" s="2">
        <v>449.0</v>
      </c>
      <c r="E450" s="2"/>
      <c r="F450" s="2"/>
      <c r="G450" s="2" t="s">
        <v>1616</v>
      </c>
      <c r="H450" s="2" t="s">
        <v>885</v>
      </c>
    </row>
    <row r="451" ht="15.75" customHeight="1">
      <c r="A451" s="3" t="s">
        <v>822</v>
      </c>
      <c r="B451" s="3" t="s">
        <v>826</v>
      </c>
      <c r="C451" s="3">
        <v>450.0</v>
      </c>
      <c r="D451" s="3">
        <v>450.0</v>
      </c>
      <c r="E451" s="3"/>
      <c r="F451" s="3"/>
      <c r="G451" s="3" t="s">
        <v>1617</v>
      </c>
      <c r="H451" s="3" t="s">
        <v>885</v>
      </c>
    </row>
    <row r="452" ht="15.75" customHeight="1">
      <c r="A452" s="2" t="s">
        <v>822</v>
      </c>
      <c r="B452" s="2" t="s">
        <v>834</v>
      </c>
      <c r="C452" s="2">
        <v>451.0</v>
      </c>
      <c r="D452" s="2">
        <v>451.0</v>
      </c>
      <c r="E452" s="2"/>
      <c r="F452" s="2"/>
      <c r="G452" s="2" t="s">
        <v>834</v>
      </c>
      <c r="H452" s="2" t="s">
        <v>885</v>
      </c>
    </row>
    <row r="453" ht="15.75" customHeight="1">
      <c r="A453" s="3" t="s">
        <v>822</v>
      </c>
      <c r="B453" s="3" t="s">
        <v>842</v>
      </c>
      <c r="C453" s="3">
        <v>452.0</v>
      </c>
      <c r="D453" s="3">
        <v>452.0</v>
      </c>
      <c r="E453" s="3"/>
      <c r="F453" s="3"/>
      <c r="G453" s="3" t="s">
        <v>1618</v>
      </c>
      <c r="H453" s="3" t="s">
        <v>885</v>
      </c>
    </row>
    <row r="454" ht="15.75" customHeight="1">
      <c r="A454" s="2" t="s">
        <v>822</v>
      </c>
      <c r="B454" s="2" t="s">
        <v>858</v>
      </c>
      <c r="C454" s="2">
        <v>453.0</v>
      </c>
      <c r="D454" s="2">
        <v>453.0</v>
      </c>
      <c r="E454" s="2"/>
      <c r="F454" s="2"/>
      <c r="G454" s="2" t="s">
        <v>858</v>
      </c>
      <c r="H454" s="2" t="s">
        <v>885</v>
      </c>
    </row>
    <row r="455" ht="15.75" customHeight="1">
      <c r="A455" s="3" t="s">
        <v>822</v>
      </c>
      <c r="B455" s="3" t="s">
        <v>1619</v>
      </c>
      <c r="C455" s="3">
        <v>454.0</v>
      </c>
      <c r="D455" s="3">
        <v>454.0</v>
      </c>
      <c r="E455" s="3"/>
      <c r="F455" s="3"/>
      <c r="G455" s="3" t="s">
        <v>1600</v>
      </c>
      <c r="H455" s="3" t="s">
        <v>885</v>
      </c>
    </row>
    <row r="456" ht="15.75" customHeight="1">
      <c r="A456" s="2" t="s">
        <v>822</v>
      </c>
      <c r="B456" s="2" t="s">
        <v>1620</v>
      </c>
      <c r="C456" s="2">
        <v>455.0</v>
      </c>
      <c r="D456" s="2">
        <v>455.0</v>
      </c>
      <c r="E456" s="2"/>
      <c r="F456" s="2"/>
      <c r="G456" s="2" t="s">
        <v>1620</v>
      </c>
      <c r="H456" s="2" t="s">
        <v>885</v>
      </c>
    </row>
    <row r="457" ht="15.75" customHeight="1">
      <c r="A457" s="3" t="s">
        <v>822</v>
      </c>
      <c r="B457" s="3" t="s">
        <v>869</v>
      </c>
      <c r="C457" s="3">
        <v>456.0</v>
      </c>
      <c r="D457" s="3">
        <v>456.0</v>
      </c>
      <c r="E457" s="3"/>
      <c r="F457" s="3"/>
      <c r="G457" s="3" t="s">
        <v>869</v>
      </c>
      <c r="H457" s="3" t="s">
        <v>885</v>
      </c>
    </row>
    <row r="458" ht="15.75" customHeight="1">
      <c r="A458" s="2" t="s">
        <v>822</v>
      </c>
      <c r="B458" s="2" t="s">
        <v>880</v>
      </c>
      <c r="C458" s="2">
        <v>457.0</v>
      </c>
      <c r="D458" s="2">
        <v>457.0</v>
      </c>
      <c r="E458" s="2"/>
      <c r="F458" s="2"/>
      <c r="G458" s="2" t="s">
        <v>880</v>
      </c>
      <c r="H458" s="2" t="s">
        <v>885</v>
      </c>
    </row>
    <row r="459" ht="15.75" customHeight="1">
      <c r="A459" s="3" t="s">
        <v>822</v>
      </c>
      <c r="B459" s="3" t="s">
        <v>889</v>
      </c>
      <c r="C459" s="3">
        <v>458.0</v>
      </c>
      <c r="D459" s="3">
        <v>458.0</v>
      </c>
      <c r="E459" s="3"/>
      <c r="F459" s="3"/>
      <c r="G459" s="3" t="s">
        <v>889</v>
      </c>
      <c r="H459" s="3" t="s">
        <v>885</v>
      </c>
    </row>
    <row r="460" ht="15.75" customHeight="1">
      <c r="A460" s="2" t="s">
        <v>822</v>
      </c>
      <c r="B460" s="2" t="s">
        <v>896</v>
      </c>
      <c r="C460" s="2">
        <v>459.0</v>
      </c>
      <c r="D460" s="2">
        <v>459.0</v>
      </c>
      <c r="E460" s="2"/>
      <c r="F460" s="2"/>
      <c r="G460" s="2" t="s">
        <v>1621</v>
      </c>
      <c r="H460" s="2" t="s">
        <v>885</v>
      </c>
    </row>
    <row r="461" ht="15.75" customHeight="1">
      <c r="A461" s="3" t="s">
        <v>822</v>
      </c>
      <c r="B461" s="3" t="s">
        <v>1622</v>
      </c>
      <c r="C461" s="3">
        <v>460.0</v>
      </c>
      <c r="D461" s="3">
        <v>460.0</v>
      </c>
      <c r="E461" s="3"/>
      <c r="F461" s="3"/>
      <c r="G461" s="3" t="s">
        <v>1623</v>
      </c>
      <c r="H461" s="3" t="s">
        <v>885</v>
      </c>
    </row>
    <row r="462" ht="15.75" customHeight="1">
      <c r="A462" s="2" t="s">
        <v>822</v>
      </c>
      <c r="B462" s="2" t="s">
        <v>906</v>
      </c>
      <c r="C462" s="2">
        <v>461.0</v>
      </c>
      <c r="D462" s="2">
        <v>461.0</v>
      </c>
      <c r="E462" s="2"/>
      <c r="F462" s="2"/>
      <c r="G462" s="2" t="s">
        <v>906</v>
      </c>
      <c r="H462" s="2" t="s">
        <v>885</v>
      </c>
    </row>
    <row r="463" ht="15.75" customHeight="1">
      <c r="A463" s="3" t="s">
        <v>822</v>
      </c>
      <c r="B463" s="3" t="s">
        <v>912</v>
      </c>
      <c r="C463" s="3">
        <v>462.0</v>
      </c>
      <c r="D463" s="3">
        <v>462.0</v>
      </c>
      <c r="E463" s="3"/>
      <c r="F463" s="3"/>
      <c r="G463" s="3" t="s">
        <v>1625</v>
      </c>
      <c r="H463" s="3" t="s">
        <v>885</v>
      </c>
    </row>
    <row r="464" ht="15.75" customHeight="1">
      <c r="A464" s="2" t="s">
        <v>822</v>
      </c>
      <c r="B464" s="2" t="s">
        <v>1626</v>
      </c>
      <c r="C464" s="2">
        <v>463.0</v>
      </c>
      <c r="D464" s="2">
        <v>463.0</v>
      </c>
      <c r="E464" s="2"/>
      <c r="F464" s="2"/>
      <c r="G464" s="2" t="s">
        <v>1626</v>
      </c>
      <c r="H464" s="2" t="s">
        <v>885</v>
      </c>
    </row>
    <row r="465" ht="15.75" customHeight="1">
      <c r="A465" s="3" t="s">
        <v>822</v>
      </c>
      <c r="B465" s="3" t="s">
        <v>1627</v>
      </c>
      <c r="C465" s="3">
        <v>464.0</v>
      </c>
      <c r="D465" s="3">
        <v>464.0</v>
      </c>
      <c r="E465" s="3"/>
      <c r="F465" s="3"/>
      <c r="G465" s="3" t="s">
        <v>1601</v>
      </c>
      <c r="H465" s="3" t="s">
        <v>885</v>
      </c>
    </row>
    <row r="466" ht="15.75" customHeight="1">
      <c r="A466" s="2" t="s">
        <v>822</v>
      </c>
      <c r="B466" s="2" t="s">
        <v>1628</v>
      </c>
      <c r="C466" s="2">
        <v>465.0</v>
      </c>
      <c r="D466" s="2">
        <v>465.0</v>
      </c>
      <c r="E466" s="2"/>
      <c r="F466" s="2"/>
      <c r="G466" s="2" t="s">
        <v>1628</v>
      </c>
      <c r="H466" s="2" t="s">
        <v>885</v>
      </c>
    </row>
    <row r="467" ht="15.75" customHeight="1">
      <c r="A467" s="3" t="s">
        <v>822</v>
      </c>
      <c r="B467" s="3" t="s">
        <v>923</v>
      </c>
      <c r="C467" s="3">
        <v>466.0</v>
      </c>
      <c r="D467" s="3">
        <v>466.0</v>
      </c>
      <c r="E467" s="3"/>
      <c r="F467" s="3"/>
      <c r="G467" s="3" t="s">
        <v>1629</v>
      </c>
      <c r="H467" s="3" t="s">
        <v>885</v>
      </c>
    </row>
    <row r="468" ht="15.75" customHeight="1">
      <c r="A468" s="2" t="s">
        <v>822</v>
      </c>
      <c r="B468" s="2" t="s">
        <v>932</v>
      </c>
      <c r="C468" s="2">
        <v>467.0</v>
      </c>
      <c r="D468" s="2">
        <v>467.0</v>
      </c>
      <c r="E468" s="2"/>
      <c r="F468" s="2"/>
      <c r="G468" s="2" t="s">
        <v>932</v>
      </c>
      <c r="H468" s="2" t="s">
        <v>885</v>
      </c>
    </row>
    <row r="469" ht="15.75" customHeight="1">
      <c r="A469" s="3" t="s">
        <v>822</v>
      </c>
      <c r="B469" s="3" t="s">
        <v>1630</v>
      </c>
      <c r="C469" s="3">
        <v>468.0</v>
      </c>
      <c r="D469" s="3">
        <v>468.0</v>
      </c>
      <c r="E469" s="3"/>
      <c r="F469" s="3"/>
      <c r="G469" s="3" t="s">
        <v>1630</v>
      </c>
      <c r="H469" s="3" t="s">
        <v>885</v>
      </c>
    </row>
    <row r="470" ht="15.75" customHeight="1">
      <c r="A470" s="2" t="s">
        <v>822</v>
      </c>
      <c r="B470" s="2" t="s">
        <v>1631</v>
      </c>
      <c r="C470" s="2">
        <v>469.0</v>
      </c>
      <c r="D470" s="2">
        <v>469.0</v>
      </c>
      <c r="E470" s="2"/>
      <c r="F470" s="2"/>
      <c r="G470" s="2" t="s">
        <v>1631</v>
      </c>
      <c r="H470" s="2" t="s">
        <v>885</v>
      </c>
    </row>
    <row r="471" ht="15.75" customHeight="1">
      <c r="A471" s="3" t="s">
        <v>822</v>
      </c>
      <c r="B471" s="3" t="s">
        <v>940</v>
      </c>
      <c r="C471" s="3">
        <v>470.0</v>
      </c>
      <c r="D471" s="3">
        <v>470.0</v>
      </c>
      <c r="E471" s="3"/>
      <c r="F471" s="3"/>
      <c r="G471" s="3" t="s">
        <v>940</v>
      </c>
      <c r="H471" s="3" t="s">
        <v>885</v>
      </c>
    </row>
    <row r="472" ht="15.75" customHeight="1">
      <c r="A472" s="2" t="s">
        <v>822</v>
      </c>
      <c r="B472" s="2" t="s">
        <v>1632</v>
      </c>
      <c r="C472" s="2">
        <v>471.0</v>
      </c>
      <c r="D472" s="2">
        <v>471.0</v>
      </c>
      <c r="E472" s="2"/>
      <c r="F472" s="2"/>
      <c r="G472" s="2" t="s">
        <v>1633</v>
      </c>
      <c r="H472" s="2" t="s">
        <v>885</v>
      </c>
    </row>
    <row r="473" ht="15.75" customHeight="1">
      <c r="A473" s="3" t="s">
        <v>822</v>
      </c>
      <c r="B473" s="3" t="s">
        <v>1634</v>
      </c>
      <c r="C473" s="3">
        <v>472.0</v>
      </c>
      <c r="D473" s="3">
        <v>472.0</v>
      </c>
      <c r="E473" s="3"/>
      <c r="F473" s="3"/>
      <c r="G473" s="3" t="s">
        <v>1634</v>
      </c>
      <c r="H473" s="3" t="s">
        <v>885</v>
      </c>
    </row>
    <row r="474" ht="15.75" customHeight="1">
      <c r="A474" s="2" t="s">
        <v>822</v>
      </c>
      <c r="B474" s="2" t="s">
        <v>1635</v>
      </c>
      <c r="C474" s="2">
        <v>473.0</v>
      </c>
      <c r="D474" s="2">
        <v>473.0</v>
      </c>
      <c r="E474" s="2"/>
      <c r="F474" s="2"/>
      <c r="G474" s="2" t="s">
        <v>1636</v>
      </c>
      <c r="H474" s="2" t="s">
        <v>885</v>
      </c>
    </row>
    <row r="475" ht="15.75" customHeight="1">
      <c r="A475" s="3" t="s">
        <v>822</v>
      </c>
      <c r="B475" s="3" t="s">
        <v>1637</v>
      </c>
      <c r="C475" s="3">
        <v>474.0</v>
      </c>
      <c r="D475" s="3">
        <v>474.0</v>
      </c>
      <c r="E475" s="3"/>
      <c r="F475" s="3"/>
      <c r="G475" s="3" t="s">
        <v>1637</v>
      </c>
      <c r="H475" s="3" t="s">
        <v>885</v>
      </c>
    </row>
    <row r="476" ht="15.75" customHeight="1">
      <c r="A476" s="2" t="s">
        <v>822</v>
      </c>
      <c r="B476" s="2" t="s">
        <v>948</v>
      </c>
      <c r="C476" s="2">
        <v>475.0</v>
      </c>
      <c r="D476" s="2">
        <v>475.0</v>
      </c>
      <c r="E476" s="2"/>
      <c r="F476" s="2"/>
      <c r="G476" s="2" t="s">
        <v>1638</v>
      </c>
      <c r="H476" s="2" t="s">
        <v>885</v>
      </c>
    </row>
    <row r="477" ht="15.75" customHeight="1">
      <c r="A477" s="3" t="s">
        <v>822</v>
      </c>
      <c r="B477" s="3" t="s">
        <v>1639</v>
      </c>
      <c r="C477" s="3">
        <v>476.0</v>
      </c>
      <c r="D477" s="3">
        <v>476.0</v>
      </c>
      <c r="E477" s="3"/>
      <c r="F477" s="3"/>
      <c r="G477" s="3" t="s">
        <v>1639</v>
      </c>
      <c r="H477" s="3" t="s">
        <v>885</v>
      </c>
    </row>
    <row r="478" ht="15.75" customHeight="1">
      <c r="A478" s="2" t="s">
        <v>822</v>
      </c>
      <c r="B478" s="2" t="s">
        <v>1640</v>
      </c>
      <c r="C478" s="2">
        <v>477.0</v>
      </c>
      <c r="D478" s="2">
        <v>477.0</v>
      </c>
      <c r="E478" s="2"/>
      <c r="F478" s="2"/>
      <c r="G478" s="2" t="s">
        <v>1640</v>
      </c>
      <c r="H478" s="2" t="s">
        <v>885</v>
      </c>
    </row>
    <row r="479" ht="15.75" customHeight="1">
      <c r="A479" s="3" t="s">
        <v>822</v>
      </c>
      <c r="B479" s="3" t="s">
        <v>958</v>
      </c>
      <c r="C479" s="3">
        <v>478.0</v>
      </c>
      <c r="D479" s="3">
        <v>478.0</v>
      </c>
      <c r="E479" s="3"/>
      <c r="F479" s="3"/>
      <c r="G479" s="3" t="s">
        <v>1642</v>
      </c>
      <c r="H479" s="3" t="s">
        <v>885</v>
      </c>
    </row>
    <row r="480" ht="15.75" customHeight="1">
      <c r="A480" s="2" t="s">
        <v>822</v>
      </c>
      <c r="B480" s="2" t="s">
        <v>1643</v>
      </c>
      <c r="C480" s="2">
        <v>479.0</v>
      </c>
      <c r="D480" s="2">
        <v>479.0</v>
      </c>
      <c r="E480" s="2"/>
      <c r="F480" s="2"/>
      <c r="G480" s="2" t="s">
        <v>1643</v>
      </c>
      <c r="H480" s="2" t="s">
        <v>885</v>
      </c>
    </row>
    <row r="481" ht="15.75" customHeight="1">
      <c r="A481" s="3" t="s">
        <v>822</v>
      </c>
      <c r="B481" s="3" t="s">
        <v>1644</v>
      </c>
      <c r="C481" s="3">
        <v>480.0</v>
      </c>
      <c r="D481" s="3">
        <v>480.0</v>
      </c>
      <c r="E481" s="3"/>
      <c r="F481" s="3"/>
      <c r="G481" s="3" t="s">
        <v>1645</v>
      </c>
      <c r="H481" s="3" t="s">
        <v>885</v>
      </c>
    </row>
    <row r="482" ht="15.75" customHeight="1">
      <c r="A482" s="2" t="s">
        <v>822</v>
      </c>
      <c r="B482" s="2" t="s">
        <v>1646</v>
      </c>
      <c r="C482" s="2">
        <v>481.0</v>
      </c>
      <c r="D482" s="2">
        <v>481.0</v>
      </c>
      <c r="E482" s="2"/>
      <c r="F482" s="2"/>
      <c r="G482" s="2" t="s">
        <v>1600</v>
      </c>
      <c r="H482" s="2" t="s">
        <v>885</v>
      </c>
    </row>
    <row r="483" ht="15.75" customHeight="1">
      <c r="A483" s="3" t="s">
        <v>822</v>
      </c>
      <c r="B483" s="3" t="s">
        <v>1647</v>
      </c>
      <c r="C483" s="3">
        <v>482.0</v>
      </c>
      <c r="D483" s="3">
        <v>482.0</v>
      </c>
      <c r="E483" s="3"/>
      <c r="F483" s="3"/>
      <c r="G483" s="3" t="s">
        <v>1647</v>
      </c>
      <c r="H483" s="3" t="s">
        <v>885</v>
      </c>
    </row>
    <row r="484" ht="15.75" customHeight="1">
      <c r="A484" s="2" t="s">
        <v>822</v>
      </c>
      <c r="B484" s="2" t="s">
        <v>15</v>
      </c>
      <c r="C484" s="2">
        <v>483.0</v>
      </c>
      <c r="D484" s="2">
        <v>483.0</v>
      </c>
      <c r="E484" s="2"/>
      <c r="F484" s="2"/>
      <c r="G484" s="2" t="s">
        <v>1648</v>
      </c>
      <c r="H484" s="2" t="s">
        <v>885</v>
      </c>
    </row>
    <row r="485" ht="15.75" customHeight="1">
      <c r="A485" s="3" t="s">
        <v>822</v>
      </c>
      <c r="B485" s="3" t="s">
        <v>1649</v>
      </c>
      <c r="C485" s="3">
        <v>484.0</v>
      </c>
      <c r="D485" s="3">
        <v>484.0</v>
      </c>
      <c r="E485" s="3"/>
      <c r="F485" s="3"/>
      <c r="G485" s="3" t="s">
        <v>1649</v>
      </c>
      <c r="H485" s="3" t="s">
        <v>885</v>
      </c>
    </row>
    <row r="486" ht="15.75" customHeight="1">
      <c r="A486" s="2" t="s">
        <v>822</v>
      </c>
      <c r="B486" s="2" t="s">
        <v>1650</v>
      </c>
      <c r="C486" s="2">
        <v>485.0</v>
      </c>
      <c r="D486" s="2">
        <v>485.0</v>
      </c>
      <c r="E486" s="2"/>
      <c r="F486" s="2"/>
      <c r="G486" s="2" t="s">
        <v>1650</v>
      </c>
      <c r="H486" s="2" t="s">
        <v>885</v>
      </c>
    </row>
    <row r="487" ht="15.75" customHeight="1">
      <c r="A487" s="3" t="s">
        <v>822</v>
      </c>
      <c r="B487" s="3" t="s">
        <v>1651</v>
      </c>
      <c r="C487" s="3">
        <v>486.0</v>
      </c>
      <c r="D487" s="3">
        <v>486.0</v>
      </c>
      <c r="E487" s="3"/>
      <c r="F487" s="3"/>
      <c r="G487" s="3" t="s">
        <v>1651</v>
      </c>
      <c r="H487" s="3" t="s">
        <v>885</v>
      </c>
    </row>
    <row r="488" ht="15.75" customHeight="1">
      <c r="A488" s="2" t="s">
        <v>822</v>
      </c>
      <c r="B488" s="2" t="s">
        <v>1652</v>
      </c>
      <c r="C488" s="2">
        <v>487.0</v>
      </c>
      <c r="D488" s="2">
        <v>487.0</v>
      </c>
      <c r="E488" s="2"/>
      <c r="F488" s="2"/>
      <c r="G488" s="2" t="s">
        <v>1652</v>
      </c>
      <c r="H488" s="2" t="s">
        <v>885</v>
      </c>
    </row>
    <row r="489" ht="15.75" customHeight="1">
      <c r="A489" s="3" t="s">
        <v>822</v>
      </c>
      <c r="B489" s="3" t="s">
        <v>1653</v>
      </c>
      <c r="C489" s="3">
        <v>488.0</v>
      </c>
      <c r="D489" s="3">
        <v>488.0</v>
      </c>
      <c r="E489" s="3"/>
      <c r="F489" s="3"/>
      <c r="G489" s="3" t="s">
        <v>1654</v>
      </c>
      <c r="H489" s="3" t="s">
        <v>885</v>
      </c>
    </row>
    <row r="490" ht="15.75" customHeight="1">
      <c r="A490" s="2" t="s">
        <v>822</v>
      </c>
      <c r="B490" s="2" t="s">
        <v>1655</v>
      </c>
      <c r="C490" s="2">
        <v>489.0</v>
      </c>
      <c r="D490" s="2">
        <v>489.0</v>
      </c>
      <c r="E490" s="2"/>
      <c r="F490" s="2"/>
      <c r="G490" s="2" t="s">
        <v>1655</v>
      </c>
      <c r="H490" s="2" t="s">
        <v>885</v>
      </c>
    </row>
    <row r="491" ht="15.75" customHeight="1">
      <c r="A491" s="3" t="s">
        <v>822</v>
      </c>
      <c r="B491" s="3" t="s">
        <v>975</v>
      </c>
      <c r="C491" s="3">
        <v>490.0</v>
      </c>
      <c r="D491" s="3">
        <v>490.0</v>
      </c>
      <c r="E491" s="3"/>
      <c r="F491" s="3"/>
      <c r="G491" s="3" t="s">
        <v>1657</v>
      </c>
      <c r="H491" s="3" t="s">
        <v>885</v>
      </c>
    </row>
    <row r="492" ht="15.75" customHeight="1">
      <c r="A492" s="2" t="s">
        <v>822</v>
      </c>
      <c r="B492" s="2" t="s">
        <v>985</v>
      </c>
      <c r="C492" s="2">
        <v>491.0</v>
      </c>
      <c r="D492" s="2">
        <v>491.0</v>
      </c>
      <c r="E492" s="2"/>
      <c r="F492" s="2"/>
      <c r="G492" s="2" t="s">
        <v>1600</v>
      </c>
      <c r="H492" s="2" t="s">
        <v>885</v>
      </c>
    </row>
    <row r="493" ht="15.75" customHeight="1">
      <c r="A493" s="3" t="s">
        <v>822</v>
      </c>
      <c r="B493" s="3" t="s">
        <v>994</v>
      </c>
      <c r="C493" s="3">
        <v>492.0</v>
      </c>
      <c r="D493" s="3">
        <v>492.0</v>
      </c>
      <c r="E493" s="3"/>
      <c r="F493" s="3"/>
      <c r="G493" s="3" t="s">
        <v>994</v>
      </c>
      <c r="H493" s="3" t="s">
        <v>885</v>
      </c>
    </row>
    <row r="494" ht="15.75" customHeight="1">
      <c r="A494" s="2" t="s">
        <v>822</v>
      </c>
      <c r="B494" s="2" t="s">
        <v>1003</v>
      </c>
      <c r="C494" s="2">
        <v>493.0</v>
      </c>
      <c r="D494" s="2">
        <v>493.0</v>
      </c>
      <c r="E494" s="2"/>
      <c r="F494" s="2"/>
      <c r="G494" s="2" t="s">
        <v>1003</v>
      </c>
      <c r="H494" s="2" t="s">
        <v>885</v>
      </c>
    </row>
    <row r="495" ht="15.75" customHeight="1">
      <c r="A495" s="3" t="s">
        <v>822</v>
      </c>
      <c r="B495" s="3" t="s">
        <v>1658</v>
      </c>
      <c r="C495" s="3">
        <v>494.0</v>
      </c>
      <c r="D495" s="3">
        <v>494.0</v>
      </c>
      <c r="E495" s="3"/>
      <c r="F495" s="3"/>
      <c r="G495" s="3" t="s">
        <v>1658</v>
      </c>
      <c r="H495" s="3" t="s">
        <v>885</v>
      </c>
    </row>
    <row r="496" ht="15.75" customHeight="1">
      <c r="A496" s="2" t="s">
        <v>822</v>
      </c>
      <c r="B496" s="2" t="s">
        <v>1015</v>
      </c>
      <c r="C496" s="2">
        <v>495.0</v>
      </c>
      <c r="D496" s="2">
        <v>495.0</v>
      </c>
      <c r="E496" s="2"/>
      <c r="F496" s="2"/>
      <c r="G496" s="2" t="s">
        <v>1015</v>
      </c>
      <c r="H496" s="2" t="s">
        <v>885</v>
      </c>
    </row>
    <row r="497" ht="15.75" customHeight="1">
      <c r="A497" s="3" t="s">
        <v>822</v>
      </c>
      <c r="B497" s="3" t="s">
        <v>1026</v>
      </c>
      <c r="C497" s="3">
        <v>496.0</v>
      </c>
      <c r="D497" s="3">
        <v>496.0</v>
      </c>
      <c r="E497" s="3"/>
      <c r="F497" s="3"/>
      <c r="G497" s="3" t="s">
        <v>1660</v>
      </c>
      <c r="H497" s="3" t="s">
        <v>885</v>
      </c>
    </row>
    <row r="498" ht="15.75" customHeight="1">
      <c r="A498" s="2" t="s">
        <v>822</v>
      </c>
      <c r="B498" s="2" t="s">
        <v>1661</v>
      </c>
      <c r="C498" s="2">
        <v>497.0</v>
      </c>
      <c r="D498" s="2">
        <v>497.0</v>
      </c>
      <c r="E498" s="2"/>
      <c r="F498" s="2"/>
      <c r="G498" s="2" t="s">
        <v>1662</v>
      </c>
      <c r="H498" s="2" t="s">
        <v>885</v>
      </c>
    </row>
    <row r="499" ht="15.75" customHeight="1">
      <c r="A499" s="3" t="s">
        <v>822</v>
      </c>
      <c r="B499" s="3" t="s">
        <v>1035</v>
      </c>
      <c r="C499" s="3">
        <v>498.0</v>
      </c>
      <c r="D499" s="3">
        <v>498.0</v>
      </c>
      <c r="E499" s="3"/>
      <c r="F499" s="3"/>
      <c r="G499" s="3" t="s">
        <v>967</v>
      </c>
      <c r="H499" s="3" t="s">
        <v>885</v>
      </c>
    </row>
    <row r="500" ht="15.75" customHeight="1">
      <c r="A500" s="2" t="s">
        <v>822</v>
      </c>
      <c r="B500" s="2" t="s">
        <v>1040</v>
      </c>
      <c r="C500" s="2">
        <v>499.0</v>
      </c>
      <c r="D500" s="2">
        <v>499.0</v>
      </c>
      <c r="E500" s="2"/>
      <c r="F500" s="2"/>
      <c r="G500" s="2" t="s">
        <v>1040</v>
      </c>
      <c r="H500" s="2" t="s">
        <v>885</v>
      </c>
    </row>
    <row r="501" ht="15.75" customHeight="1">
      <c r="A501" s="3" t="s">
        <v>822</v>
      </c>
      <c r="B501" s="3" t="s">
        <v>1044</v>
      </c>
      <c r="C501" s="3">
        <v>500.0</v>
      </c>
      <c r="D501" s="3">
        <v>500.0</v>
      </c>
      <c r="E501" s="3"/>
      <c r="F501" s="3"/>
      <c r="G501" s="3" t="s">
        <v>1044</v>
      </c>
      <c r="H501" s="3" t="s">
        <v>885</v>
      </c>
    </row>
    <row r="502" ht="15.75" customHeight="1">
      <c r="A502" s="2" t="s">
        <v>822</v>
      </c>
      <c r="B502" s="2" t="s">
        <v>1663</v>
      </c>
      <c r="C502" s="2">
        <v>501.0</v>
      </c>
      <c r="D502" s="2">
        <v>501.0</v>
      </c>
      <c r="E502" s="2"/>
      <c r="F502" s="2"/>
      <c r="G502" s="2" t="s">
        <v>1664</v>
      </c>
      <c r="H502" s="2" t="s">
        <v>885</v>
      </c>
    </row>
    <row r="503" ht="15.75" customHeight="1">
      <c r="A503" s="3" t="s">
        <v>822</v>
      </c>
      <c r="B503" s="3" t="s">
        <v>1050</v>
      </c>
      <c r="C503" s="3">
        <v>502.0</v>
      </c>
      <c r="D503" s="3">
        <v>502.0</v>
      </c>
      <c r="E503" s="3"/>
      <c r="F503" s="3"/>
      <c r="G503" s="3" t="s">
        <v>1050</v>
      </c>
      <c r="H503" s="3" t="s">
        <v>885</v>
      </c>
    </row>
    <row r="504" ht="15.75" customHeight="1">
      <c r="A504" s="2" t="s">
        <v>822</v>
      </c>
      <c r="B504" s="2" t="s">
        <v>1056</v>
      </c>
      <c r="C504" s="2">
        <v>503.0</v>
      </c>
      <c r="D504" s="2">
        <v>503.0</v>
      </c>
      <c r="E504" s="2"/>
      <c r="F504" s="2"/>
      <c r="G504" s="2" t="s">
        <v>1056</v>
      </c>
      <c r="H504" s="2" t="s">
        <v>885</v>
      </c>
    </row>
    <row r="505" ht="15.75" customHeight="1">
      <c r="A505" s="3" t="s">
        <v>822</v>
      </c>
      <c r="B505" s="3" t="s">
        <v>1064</v>
      </c>
      <c r="C505" s="3">
        <v>504.0</v>
      </c>
      <c r="D505" s="3">
        <v>504.0</v>
      </c>
      <c r="E505" s="3"/>
      <c r="F505" s="3"/>
      <c r="G505" s="3" t="s">
        <v>1064</v>
      </c>
      <c r="H505" s="3" t="s">
        <v>885</v>
      </c>
    </row>
    <row r="506" ht="15.75" customHeight="1">
      <c r="A506" s="2" t="s">
        <v>822</v>
      </c>
      <c r="B506" s="2" t="s">
        <v>1071</v>
      </c>
      <c r="C506" s="2">
        <v>505.0</v>
      </c>
      <c r="D506" s="2">
        <v>505.0</v>
      </c>
      <c r="E506" s="2"/>
      <c r="F506" s="2"/>
      <c r="G506" s="2" t="s">
        <v>1071</v>
      </c>
      <c r="H506" s="2" t="s">
        <v>885</v>
      </c>
    </row>
    <row r="507" ht="15.75" customHeight="1">
      <c r="A507" s="3" t="s">
        <v>822</v>
      </c>
      <c r="B507" s="3" t="s">
        <v>1080</v>
      </c>
      <c r="C507" s="3">
        <v>506.0</v>
      </c>
      <c r="D507" s="3">
        <v>506.0</v>
      </c>
      <c r="E507" s="3"/>
      <c r="F507" s="3"/>
      <c r="G507" s="3" t="s">
        <v>1665</v>
      </c>
      <c r="H507" s="3" t="s">
        <v>885</v>
      </c>
    </row>
    <row r="508" ht="15.75" customHeight="1">
      <c r="A508" s="2" t="s">
        <v>822</v>
      </c>
      <c r="B508" s="2" t="s">
        <v>1086</v>
      </c>
      <c r="C508" s="2">
        <v>507.0</v>
      </c>
      <c r="D508" s="2">
        <v>507.0</v>
      </c>
      <c r="E508" s="2"/>
      <c r="F508" s="2"/>
      <c r="G508" s="2" t="s">
        <v>1666</v>
      </c>
      <c r="H508" s="2" t="s">
        <v>885</v>
      </c>
    </row>
    <row r="509" ht="15.75" customHeight="1">
      <c r="A509" s="3" t="s">
        <v>822</v>
      </c>
      <c r="B509" s="3" t="s">
        <v>1093</v>
      </c>
      <c r="C509" s="3">
        <v>508.0</v>
      </c>
      <c r="D509" s="3">
        <v>508.0</v>
      </c>
      <c r="E509" s="3"/>
      <c r="F509" s="3"/>
      <c r="G509" s="3" t="s">
        <v>1667</v>
      </c>
      <c r="H509" s="3" t="s">
        <v>885</v>
      </c>
    </row>
    <row r="510" ht="15.75" customHeight="1">
      <c r="A510" s="2" t="s">
        <v>822</v>
      </c>
      <c r="B510" s="2" t="s">
        <v>1098</v>
      </c>
      <c r="C510" s="2">
        <v>509.0</v>
      </c>
      <c r="D510" s="2">
        <v>509.0</v>
      </c>
      <c r="E510" s="2"/>
      <c r="F510" s="2"/>
      <c r="G510" s="2" t="s">
        <v>1668</v>
      </c>
      <c r="H510" s="2" t="s">
        <v>885</v>
      </c>
    </row>
    <row r="511" ht="15.75" customHeight="1">
      <c r="A511" s="3" t="s">
        <v>822</v>
      </c>
      <c r="B511" s="3" t="s">
        <v>1104</v>
      </c>
      <c r="C511" s="3">
        <v>510.0</v>
      </c>
      <c r="D511" s="3">
        <v>510.0</v>
      </c>
      <c r="E511" s="3"/>
      <c r="F511" s="3"/>
      <c r="G511" s="3" t="s">
        <v>1669</v>
      </c>
      <c r="H511" s="3" t="s">
        <v>885</v>
      </c>
    </row>
    <row r="512" ht="15.75" customHeight="1">
      <c r="A512" s="2" t="s">
        <v>822</v>
      </c>
      <c r="B512" s="2" t="s">
        <v>1670</v>
      </c>
      <c r="C512" s="2">
        <v>511.0</v>
      </c>
      <c r="D512" s="2">
        <v>511.0</v>
      </c>
      <c r="E512" s="2"/>
      <c r="F512" s="2"/>
      <c r="G512" s="2" t="s">
        <v>1671</v>
      </c>
      <c r="H512" s="2" t="s">
        <v>885</v>
      </c>
    </row>
    <row r="513" ht="15.75" customHeight="1">
      <c r="A513" s="3" t="s">
        <v>822</v>
      </c>
      <c r="B513" s="3" t="s">
        <v>1109</v>
      </c>
      <c r="C513" s="3">
        <v>512.0</v>
      </c>
      <c r="D513" s="3">
        <v>512.0</v>
      </c>
      <c r="E513" s="3"/>
      <c r="F513" s="3"/>
      <c r="G513" s="3" t="s">
        <v>1672</v>
      </c>
      <c r="H513" s="3" t="s">
        <v>885</v>
      </c>
    </row>
    <row r="514" ht="15.75" customHeight="1">
      <c r="A514" s="2" t="s">
        <v>822</v>
      </c>
      <c r="B514" s="2" t="s">
        <v>1673</v>
      </c>
      <c r="C514" s="2">
        <v>513.0</v>
      </c>
      <c r="D514" s="2">
        <v>513.0</v>
      </c>
      <c r="E514" s="2"/>
      <c r="F514" s="2"/>
      <c r="G514" s="2" t="s">
        <v>1431</v>
      </c>
      <c r="H514" s="2" t="s">
        <v>885</v>
      </c>
    </row>
    <row r="515" ht="15.75" customHeight="1">
      <c r="A515" s="3" t="s">
        <v>822</v>
      </c>
      <c r="B515" s="3" t="s">
        <v>1674</v>
      </c>
      <c r="C515" s="3">
        <v>514.0</v>
      </c>
      <c r="D515" s="3">
        <v>514.0</v>
      </c>
      <c r="E515" s="3"/>
      <c r="F515" s="3"/>
      <c r="G515" s="3" t="s">
        <v>1433</v>
      </c>
      <c r="H515" s="3" t="s">
        <v>885</v>
      </c>
    </row>
    <row r="516" ht="15.75" customHeight="1">
      <c r="A516" s="2" t="s">
        <v>822</v>
      </c>
      <c r="B516" s="2" t="s">
        <v>1675</v>
      </c>
      <c r="C516" s="2">
        <v>515.0</v>
      </c>
      <c r="D516" s="2">
        <v>515.0</v>
      </c>
      <c r="E516" s="2"/>
      <c r="F516" s="2"/>
      <c r="G516" s="2" t="s">
        <v>1675</v>
      </c>
      <c r="H516" s="2" t="s">
        <v>885</v>
      </c>
    </row>
    <row r="517" ht="15.75" customHeight="1">
      <c r="A517" s="3" t="s">
        <v>822</v>
      </c>
      <c r="B517" s="3" t="s">
        <v>1677</v>
      </c>
      <c r="C517" s="3">
        <v>516.0</v>
      </c>
      <c r="D517" s="3">
        <v>516.0</v>
      </c>
      <c r="E517" s="3"/>
      <c r="F517" s="3"/>
      <c r="G517" s="3" t="s">
        <v>1671</v>
      </c>
      <c r="H517" s="3" t="s">
        <v>885</v>
      </c>
    </row>
    <row r="518" ht="15.75" customHeight="1">
      <c r="A518" s="2" t="s">
        <v>822</v>
      </c>
      <c r="B518" s="2" t="s">
        <v>1115</v>
      </c>
      <c r="C518" s="2">
        <v>517.0</v>
      </c>
      <c r="D518" s="2">
        <v>517.0</v>
      </c>
      <c r="E518" s="2"/>
      <c r="F518" s="2"/>
      <c r="G518" s="2" t="s">
        <v>1678</v>
      </c>
      <c r="H518" s="2" t="s">
        <v>885</v>
      </c>
    </row>
    <row r="519" ht="15.75" customHeight="1">
      <c r="A519" s="3" t="s">
        <v>822</v>
      </c>
      <c r="B519" s="3" t="s">
        <v>1679</v>
      </c>
      <c r="C519" s="3">
        <v>518.0</v>
      </c>
      <c r="D519" s="3">
        <v>518.0</v>
      </c>
      <c r="E519" s="3"/>
      <c r="F519" s="3"/>
      <c r="G519" s="3" t="s">
        <v>1680</v>
      </c>
      <c r="H519" s="3" t="s">
        <v>885</v>
      </c>
    </row>
    <row r="520" ht="15.75" customHeight="1">
      <c r="A520" s="2" t="s">
        <v>822</v>
      </c>
      <c r="B520" s="2" t="s">
        <v>1121</v>
      </c>
      <c r="C520" s="2">
        <v>519.0</v>
      </c>
      <c r="D520" s="2">
        <v>519.0</v>
      </c>
      <c r="E520" s="2"/>
      <c r="F520" s="2"/>
      <c r="G520" s="2" t="s">
        <v>1681</v>
      </c>
      <c r="H520" s="2" t="s">
        <v>885</v>
      </c>
    </row>
    <row r="521" ht="15.75" customHeight="1">
      <c r="A521" s="3" t="s">
        <v>822</v>
      </c>
      <c r="B521" s="3" t="s">
        <v>1682</v>
      </c>
      <c r="C521" s="3">
        <v>520.0</v>
      </c>
      <c r="D521" s="3">
        <v>520.0</v>
      </c>
      <c r="E521" s="3"/>
      <c r="F521" s="3"/>
      <c r="G521" s="3" t="s">
        <v>1683</v>
      </c>
      <c r="H521" s="3" t="s">
        <v>885</v>
      </c>
    </row>
    <row r="522" ht="15.75" customHeight="1">
      <c r="A522" s="2" t="s">
        <v>822</v>
      </c>
      <c r="B522" s="2" t="s">
        <v>1128</v>
      </c>
      <c r="C522" s="2">
        <v>521.0</v>
      </c>
      <c r="D522" s="2">
        <v>521.0</v>
      </c>
      <c r="E522" s="2"/>
      <c r="F522" s="2"/>
      <c r="G522" s="2" t="s">
        <v>1684</v>
      </c>
      <c r="H522" s="2" t="s">
        <v>885</v>
      </c>
    </row>
    <row r="523" ht="15.75" customHeight="1">
      <c r="A523" s="3" t="s">
        <v>822</v>
      </c>
      <c r="B523" s="3" t="s">
        <v>1137</v>
      </c>
      <c r="C523" s="3">
        <v>522.0</v>
      </c>
      <c r="D523" s="3">
        <v>522.0</v>
      </c>
      <c r="E523" s="3"/>
      <c r="F523" s="3"/>
      <c r="G523" s="3" t="s">
        <v>1685</v>
      </c>
      <c r="H523" s="3" t="s">
        <v>885</v>
      </c>
    </row>
    <row r="524" ht="15.75" customHeight="1">
      <c r="A524" s="2" t="s">
        <v>822</v>
      </c>
      <c r="B524" s="2" t="s">
        <v>1143</v>
      </c>
      <c r="C524" s="2">
        <v>523.0</v>
      </c>
      <c r="D524" s="2">
        <v>523.0</v>
      </c>
      <c r="E524" s="2"/>
      <c r="F524" s="2"/>
      <c r="G524" s="2" t="s">
        <v>1686</v>
      </c>
      <c r="H524" s="2" t="s">
        <v>885</v>
      </c>
    </row>
    <row r="525" ht="15.75" customHeight="1">
      <c r="A525" s="3" t="s">
        <v>822</v>
      </c>
      <c r="B525" s="3" t="s">
        <v>1150</v>
      </c>
      <c r="C525" s="3">
        <v>524.0</v>
      </c>
      <c r="D525" s="3">
        <v>524.0</v>
      </c>
      <c r="E525" s="3"/>
      <c r="F525" s="3"/>
      <c r="G525" s="3" t="s">
        <v>1687</v>
      </c>
      <c r="H525" s="3" t="s">
        <v>885</v>
      </c>
    </row>
    <row r="526" ht="15.75" customHeight="1">
      <c r="A526" s="2" t="s">
        <v>822</v>
      </c>
      <c r="B526" s="2" t="s">
        <v>1157</v>
      </c>
      <c r="C526" s="2">
        <v>525.0</v>
      </c>
      <c r="D526" s="2">
        <v>525.0</v>
      </c>
      <c r="E526" s="2"/>
      <c r="F526" s="2"/>
      <c r="G526" s="2" t="s">
        <v>1688</v>
      </c>
      <c r="H526" s="2" t="s">
        <v>885</v>
      </c>
    </row>
    <row r="527" ht="15.75" customHeight="1">
      <c r="A527" s="3" t="s">
        <v>822</v>
      </c>
      <c r="B527" s="3" t="s">
        <v>1165</v>
      </c>
      <c r="C527" s="3">
        <v>526.0</v>
      </c>
      <c r="D527" s="3">
        <v>526.0</v>
      </c>
      <c r="E527" s="3"/>
      <c r="F527" s="3"/>
      <c r="G527" s="3" t="s">
        <v>1689</v>
      </c>
      <c r="H527" s="3" t="s">
        <v>885</v>
      </c>
    </row>
    <row r="528" ht="15.75" customHeight="1">
      <c r="A528" s="2" t="s">
        <v>822</v>
      </c>
      <c r="B528" s="2" t="s">
        <v>1173</v>
      </c>
      <c r="C528" s="2">
        <v>527.0</v>
      </c>
      <c r="D528" s="2">
        <v>527.0</v>
      </c>
      <c r="E528" s="2"/>
      <c r="F528" s="2"/>
      <c r="G528" s="2" t="s">
        <v>1690</v>
      </c>
      <c r="H528" s="2" t="s">
        <v>885</v>
      </c>
    </row>
    <row r="529" ht="15.75" customHeight="1">
      <c r="A529" s="3" t="s">
        <v>822</v>
      </c>
      <c r="B529" s="3" t="s">
        <v>1178</v>
      </c>
      <c r="C529" s="3">
        <v>528.0</v>
      </c>
      <c r="D529" s="3">
        <v>528.0</v>
      </c>
      <c r="E529" s="3"/>
      <c r="F529" s="3"/>
      <c r="G529" s="3" t="s">
        <v>1691</v>
      </c>
      <c r="H529" s="3" t="s">
        <v>885</v>
      </c>
    </row>
    <row r="530" ht="15.75" customHeight="1">
      <c r="A530" s="2" t="s">
        <v>822</v>
      </c>
      <c r="B530" s="2" t="s">
        <v>1185</v>
      </c>
      <c r="C530" s="2">
        <v>529.0</v>
      </c>
      <c r="D530" s="2">
        <v>529.0</v>
      </c>
      <c r="E530" s="2"/>
      <c r="F530" s="2"/>
      <c r="G530" s="2" t="s">
        <v>1692</v>
      </c>
      <c r="H530" s="2" t="s">
        <v>885</v>
      </c>
    </row>
    <row r="531" ht="15.75" customHeight="1">
      <c r="A531" s="3" t="s">
        <v>822</v>
      </c>
      <c r="B531" s="3" t="s">
        <v>1193</v>
      </c>
      <c r="C531" s="3">
        <v>530.0</v>
      </c>
      <c r="D531" s="3">
        <v>530.0</v>
      </c>
      <c r="E531" s="3"/>
      <c r="F531" s="3"/>
      <c r="G531" s="3" t="s">
        <v>1693</v>
      </c>
      <c r="H531" s="3" t="s">
        <v>885</v>
      </c>
    </row>
    <row r="532" ht="15.75" customHeight="1">
      <c r="A532" s="2" t="s">
        <v>822</v>
      </c>
      <c r="B532" s="2" t="s">
        <v>1200</v>
      </c>
      <c r="C532" s="2">
        <v>531.0</v>
      </c>
      <c r="D532" s="2">
        <v>531.0</v>
      </c>
      <c r="E532" s="2"/>
      <c r="F532" s="2"/>
      <c r="G532" s="2" t="s">
        <v>1694</v>
      </c>
      <c r="H532" s="2" t="s">
        <v>885</v>
      </c>
    </row>
    <row r="533" ht="15.75" customHeight="1">
      <c r="A533" s="3" t="s">
        <v>822</v>
      </c>
      <c r="B533" s="3" t="s">
        <v>1695</v>
      </c>
      <c r="C533" s="3">
        <v>532.0</v>
      </c>
      <c r="D533" s="3">
        <v>532.0</v>
      </c>
      <c r="E533" s="3"/>
      <c r="F533" s="3"/>
      <c r="G533" s="3" t="s">
        <v>1695</v>
      </c>
      <c r="H533" s="3" t="s">
        <v>885</v>
      </c>
    </row>
    <row r="534" ht="15.75" customHeight="1">
      <c r="A534" s="2" t="s">
        <v>822</v>
      </c>
      <c r="B534" s="2" t="s">
        <v>1696</v>
      </c>
      <c r="C534" s="2">
        <v>533.0</v>
      </c>
      <c r="D534" s="2">
        <v>533.0</v>
      </c>
      <c r="E534" s="2"/>
      <c r="F534" s="2"/>
      <c r="G534" s="2" t="s">
        <v>1696</v>
      </c>
      <c r="H534" s="2" t="s">
        <v>885</v>
      </c>
    </row>
    <row r="535" ht="15.75" customHeight="1">
      <c r="A535" s="3" t="s">
        <v>822</v>
      </c>
      <c r="B535" s="3" t="s">
        <v>1209</v>
      </c>
      <c r="C535" s="3">
        <v>534.0</v>
      </c>
      <c r="D535" s="3">
        <v>534.0</v>
      </c>
      <c r="E535" s="3"/>
      <c r="F535" s="3"/>
      <c r="G535" s="3" t="s">
        <v>1697</v>
      </c>
      <c r="H535" s="3" t="s">
        <v>885</v>
      </c>
    </row>
    <row r="536" ht="15.75" customHeight="1">
      <c r="A536" s="2" t="s">
        <v>822</v>
      </c>
      <c r="B536" s="2" t="s">
        <v>1698</v>
      </c>
      <c r="C536" s="2">
        <v>535.0</v>
      </c>
      <c r="D536" s="2">
        <v>535.0</v>
      </c>
      <c r="E536" s="2"/>
      <c r="F536" s="2"/>
      <c r="G536" s="2" t="s">
        <v>1699</v>
      </c>
      <c r="H536" s="2" t="s">
        <v>885</v>
      </c>
    </row>
    <row r="537" ht="15.75" customHeight="1">
      <c r="A537" s="3" t="s">
        <v>822</v>
      </c>
      <c r="B537" s="3" t="s">
        <v>1215</v>
      </c>
      <c r="C537" s="3">
        <v>536.0</v>
      </c>
      <c r="D537" s="3">
        <v>536.0</v>
      </c>
      <c r="E537" s="3"/>
      <c r="F537" s="3"/>
      <c r="G537" s="3" t="s">
        <v>1700</v>
      </c>
      <c r="H537" s="3" t="s">
        <v>885</v>
      </c>
    </row>
    <row r="538" ht="15.75" customHeight="1">
      <c r="A538" s="2" t="s">
        <v>822</v>
      </c>
      <c r="B538" s="2" t="s">
        <v>1701</v>
      </c>
      <c r="C538" s="2">
        <v>537.0</v>
      </c>
      <c r="D538" s="2">
        <v>537.0</v>
      </c>
      <c r="E538" s="2"/>
      <c r="F538" s="2"/>
      <c r="G538" s="2" t="s">
        <v>1702</v>
      </c>
      <c r="H538" s="2" t="s">
        <v>885</v>
      </c>
    </row>
    <row r="539" ht="15.75" customHeight="1">
      <c r="A539" s="3" t="s">
        <v>822</v>
      </c>
      <c r="B539" s="3" t="s">
        <v>1703</v>
      </c>
      <c r="C539" s="3">
        <v>538.0</v>
      </c>
      <c r="D539" s="3">
        <v>538.0</v>
      </c>
      <c r="E539" s="3"/>
      <c r="F539" s="3"/>
      <c r="G539" s="3" t="s">
        <v>1704</v>
      </c>
      <c r="H539" s="3" t="s">
        <v>885</v>
      </c>
    </row>
    <row r="540" ht="15.75" customHeight="1">
      <c r="A540" s="2" t="s">
        <v>822</v>
      </c>
      <c r="B540" s="2" t="s">
        <v>1706</v>
      </c>
      <c r="C540" s="2">
        <v>539.0</v>
      </c>
      <c r="D540" s="2">
        <v>539.0</v>
      </c>
      <c r="E540" s="2"/>
      <c r="F540" s="2"/>
      <c r="G540" s="2" t="s">
        <v>1706</v>
      </c>
      <c r="H540" s="2" t="s">
        <v>885</v>
      </c>
    </row>
    <row r="541" ht="15.75" customHeight="1">
      <c r="A541" s="3" t="s">
        <v>822</v>
      </c>
      <c r="B541" s="3" t="s">
        <v>1707</v>
      </c>
      <c r="C541" s="3">
        <v>540.0</v>
      </c>
      <c r="D541" s="3">
        <v>540.0</v>
      </c>
      <c r="E541" s="3"/>
      <c r="F541" s="3"/>
      <c r="G541" s="3" t="s">
        <v>1708</v>
      </c>
      <c r="H541" s="3" t="s">
        <v>885</v>
      </c>
    </row>
    <row r="542" ht="15.75" customHeight="1">
      <c r="A542" s="2" t="s">
        <v>822</v>
      </c>
      <c r="B542" s="2" t="s">
        <v>1220</v>
      </c>
      <c r="C542" s="2">
        <v>541.0</v>
      </c>
      <c r="D542" s="2">
        <v>541.0</v>
      </c>
      <c r="E542" s="2"/>
      <c r="F542" s="2"/>
      <c r="G542" s="2" t="s">
        <v>1220</v>
      </c>
      <c r="H542" s="2" t="s">
        <v>885</v>
      </c>
    </row>
    <row r="543" ht="15.75" customHeight="1">
      <c r="A543" s="3" t="s">
        <v>822</v>
      </c>
      <c r="B543" s="3" t="s">
        <v>1709</v>
      </c>
      <c r="C543" s="3">
        <v>542.0</v>
      </c>
      <c r="D543" s="3">
        <v>542.0</v>
      </c>
      <c r="E543" s="3"/>
      <c r="F543" s="3"/>
      <c r="G543" s="3" t="s">
        <v>1709</v>
      </c>
      <c r="H543" s="3" t="s">
        <v>885</v>
      </c>
    </row>
    <row r="544" ht="15.75" customHeight="1">
      <c r="A544" s="2" t="s">
        <v>822</v>
      </c>
      <c r="B544" s="2" t="s">
        <v>1229</v>
      </c>
      <c r="C544" s="2">
        <v>543.0</v>
      </c>
      <c r="D544" s="2">
        <v>543.0</v>
      </c>
      <c r="E544" s="2"/>
      <c r="F544" s="2"/>
      <c r="G544" s="2" t="s">
        <v>1229</v>
      </c>
      <c r="H544" s="2" t="s">
        <v>885</v>
      </c>
    </row>
    <row r="545" ht="15.75" customHeight="1">
      <c r="A545" s="3" t="s">
        <v>822</v>
      </c>
      <c r="B545" s="3" t="s">
        <v>1235</v>
      </c>
      <c r="C545" s="3">
        <v>544.0</v>
      </c>
      <c r="D545" s="3">
        <v>544.0</v>
      </c>
      <c r="E545" s="3"/>
      <c r="F545" s="3"/>
      <c r="G545" s="3" t="s">
        <v>1235</v>
      </c>
      <c r="H545" s="3" t="s">
        <v>885</v>
      </c>
    </row>
    <row r="546" ht="15.75" customHeight="1">
      <c r="A546" s="2" t="s">
        <v>822</v>
      </c>
      <c r="B546" s="2" t="s">
        <v>1241</v>
      </c>
      <c r="C546" s="2">
        <v>545.0</v>
      </c>
      <c r="D546" s="2">
        <v>545.0</v>
      </c>
      <c r="E546" s="2"/>
      <c r="F546" s="2"/>
      <c r="G546" s="2" t="s">
        <v>1241</v>
      </c>
      <c r="H546" s="2" t="s">
        <v>885</v>
      </c>
    </row>
    <row r="547" ht="15.75" customHeight="1">
      <c r="A547" s="3" t="s">
        <v>822</v>
      </c>
      <c r="B547" s="3" t="s">
        <v>1247</v>
      </c>
      <c r="C547" s="3">
        <v>546.0</v>
      </c>
      <c r="D547" s="3">
        <v>546.0</v>
      </c>
      <c r="E547" s="3"/>
      <c r="F547" s="3"/>
      <c r="G547" s="3" t="s">
        <v>1247</v>
      </c>
      <c r="H547" s="3" t="s">
        <v>885</v>
      </c>
    </row>
    <row r="548" ht="15.75" customHeight="1">
      <c r="A548" s="2" t="s">
        <v>822</v>
      </c>
      <c r="B548" s="2" t="s">
        <v>1253</v>
      </c>
      <c r="C548" s="2">
        <v>547.0</v>
      </c>
      <c r="D548" s="2">
        <v>547.0</v>
      </c>
      <c r="E548" s="2"/>
      <c r="F548" s="2"/>
      <c r="G548" s="2" t="s">
        <v>1710</v>
      </c>
      <c r="H548" s="2" t="s">
        <v>885</v>
      </c>
    </row>
    <row r="549" ht="15.75" customHeight="1">
      <c r="A549" s="3" t="s">
        <v>822</v>
      </c>
      <c r="B549" s="3" t="s">
        <v>1259</v>
      </c>
      <c r="C549" s="3">
        <v>548.0</v>
      </c>
      <c r="D549" s="3">
        <v>548.0</v>
      </c>
      <c r="E549" s="3"/>
      <c r="F549" s="3"/>
      <c r="G549" s="3" t="s">
        <v>1711</v>
      </c>
      <c r="H549" s="3" t="s">
        <v>885</v>
      </c>
    </row>
    <row r="550" ht="15.75" customHeight="1">
      <c r="A550" s="2" t="s">
        <v>822</v>
      </c>
      <c r="B550" s="2" t="s">
        <v>1267</v>
      </c>
      <c r="C550" s="2">
        <v>549.0</v>
      </c>
      <c r="D550" s="2">
        <v>549.0</v>
      </c>
      <c r="E550" s="2"/>
      <c r="F550" s="2"/>
      <c r="G550" s="2" t="s">
        <v>1712</v>
      </c>
      <c r="H550" s="2" t="s">
        <v>885</v>
      </c>
    </row>
    <row r="551" ht="15.75" customHeight="1">
      <c r="A551" s="3" t="s">
        <v>822</v>
      </c>
      <c r="B551" s="3" t="s">
        <v>1272</v>
      </c>
      <c r="C551" s="3">
        <v>550.0</v>
      </c>
      <c r="D551" s="3">
        <v>550.0</v>
      </c>
      <c r="E551" s="3"/>
      <c r="F551" s="3"/>
      <c r="G551" s="3" t="s">
        <v>1272</v>
      </c>
      <c r="H551" s="3" t="s">
        <v>885</v>
      </c>
    </row>
    <row r="552" ht="15.75" customHeight="1">
      <c r="A552" s="2" t="s">
        <v>822</v>
      </c>
      <c r="B552" s="2" t="s">
        <v>1713</v>
      </c>
      <c r="C552" s="2">
        <v>551.0</v>
      </c>
      <c r="D552" s="2">
        <v>551.0</v>
      </c>
      <c r="E552" s="2"/>
      <c r="F552" s="2"/>
      <c r="G552" s="2" t="s">
        <v>1714</v>
      </c>
      <c r="H552" s="2" t="s">
        <v>885</v>
      </c>
    </row>
    <row r="553" ht="15.75" customHeight="1">
      <c r="A553" s="3" t="s">
        <v>822</v>
      </c>
      <c r="B553" s="3" t="s">
        <v>195</v>
      </c>
      <c r="C553" s="3">
        <v>552.0</v>
      </c>
      <c r="D553" s="3">
        <v>552.0</v>
      </c>
      <c r="E553" s="3"/>
      <c r="F553" s="3"/>
      <c r="G553" s="3" t="s">
        <v>1716</v>
      </c>
      <c r="H553" s="3" t="s">
        <v>885</v>
      </c>
    </row>
    <row r="554" ht="15.75" customHeight="1">
      <c r="A554" s="2" t="s">
        <v>822</v>
      </c>
      <c r="B554" s="2" t="s">
        <v>199</v>
      </c>
      <c r="C554" s="2">
        <v>553.0</v>
      </c>
      <c r="D554" s="2">
        <v>553.0</v>
      </c>
      <c r="E554" s="2"/>
      <c r="F554" s="2" t="s">
        <v>863</v>
      </c>
      <c r="G554" s="2" t="s">
        <v>1313</v>
      </c>
      <c r="H554" s="2" t="s">
        <v>885</v>
      </c>
    </row>
    <row r="555" ht="15.75" customHeight="1">
      <c r="A555" s="3" t="s">
        <v>822</v>
      </c>
      <c r="B555" s="3" t="s">
        <v>326</v>
      </c>
      <c r="C555" s="3">
        <v>554.0</v>
      </c>
      <c r="D555" s="3">
        <v>554.0</v>
      </c>
      <c r="E555" s="3"/>
      <c r="F555" s="3"/>
      <c r="G555" s="3" t="s">
        <v>326</v>
      </c>
      <c r="H555" s="3" t="s">
        <v>885</v>
      </c>
    </row>
    <row r="556" ht="15.75" customHeight="1">
      <c r="A556" s="2" t="s">
        <v>822</v>
      </c>
      <c r="B556" s="2" t="s">
        <v>1282</v>
      </c>
      <c r="C556" s="2">
        <v>555.0</v>
      </c>
      <c r="D556" s="2">
        <v>555.0</v>
      </c>
      <c r="E556" s="2"/>
      <c r="F556" s="2"/>
      <c r="G556" s="2" t="s">
        <v>1717</v>
      </c>
      <c r="H556" s="2" t="s">
        <v>885</v>
      </c>
    </row>
    <row r="557" ht="15.75" customHeight="1">
      <c r="A557" s="3" t="s">
        <v>822</v>
      </c>
      <c r="B557" s="3" t="s">
        <v>327</v>
      </c>
      <c r="C557" s="3">
        <v>556.0</v>
      </c>
      <c r="D557" s="3">
        <v>556.0</v>
      </c>
      <c r="E557" s="3"/>
      <c r="F557" s="3"/>
      <c r="G557" s="3" t="s">
        <v>327</v>
      </c>
      <c r="H557" s="3" t="s">
        <v>885</v>
      </c>
    </row>
    <row r="558" ht="15.75" customHeight="1">
      <c r="A558" s="2" t="s">
        <v>822</v>
      </c>
      <c r="B558" s="2" t="s">
        <v>1719</v>
      </c>
      <c r="C558" s="2">
        <v>557.0</v>
      </c>
      <c r="D558" s="2">
        <v>557.0</v>
      </c>
      <c r="E558" s="2"/>
      <c r="F558" s="2"/>
      <c r="G558" s="2" t="s">
        <v>1719</v>
      </c>
      <c r="H558" s="2" t="s">
        <v>885</v>
      </c>
    </row>
    <row r="559" ht="15.75" customHeight="1">
      <c r="A559" s="3" t="s">
        <v>822</v>
      </c>
      <c r="B559" s="3" t="s">
        <v>328</v>
      </c>
      <c r="C559" s="3">
        <v>558.0</v>
      </c>
      <c r="D559" s="3">
        <v>558.0</v>
      </c>
      <c r="E559" s="3"/>
      <c r="F559" s="3"/>
      <c r="G559" s="3" t="s">
        <v>328</v>
      </c>
      <c r="H559" s="3" t="s">
        <v>885</v>
      </c>
    </row>
    <row r="560" ht="15.75" customHeight="1">
      <c r="A560" s="2" t="s">
        <v>822</v>
      </c>
      <c r="B560" s="2" t="s">
        <v>329</v>
      </c>
      <c r="C560" s="2">
        <v>559.0</v>
      </c>
      <c r="D560" s="2">
        <v>559.0</v>
      </c>
      <c r="E560" s="2"/>
      <c r="F560" s="2"/>
      <c r="G560" s="2" t="s">
        <v>1720</v>
      </c>
      <c r="H560" s="2" t="s">
        <v>885</v>
      </c>
    </row>
    <row r="561" ht="15.75" customHeight="1">
      <c r="A561" s="3" t="s">
        <v>822</v>
      </c>
      <c r="B561" s="3" t="s">
        <v>276</v>
      </c>
      <c r="C561" s="3">
        <v>560.0</v>
      </c>
      <c r="D561" s="3">
        <v>560.0</v>
      </c>
      <c r="E561" s="3"/>
      <c r="F561" s="3"/>
      <c r="G561" s="3" t="s">
        <v>1466</v>
      </c>
      <c r="H561" s="3" t="s">
        <v>885</v>
      </c>
    </row>
    <row r="562" ht="15.75" customHeight="1">
      <c r="A562" s="2" t="s">
        <v>822</v>
      </c>
      <c r="B562" s="2" t="s">
        <v>330</v>
      </c>
      <c r="C562" s="2">
        <v>561.0</v>
      </c>
      <c r="D562" s="2">
        <v>561.0</v>
      </c>
      <c r="E562" s="2"/>
      <c r="F562" s="2"/>
      <c r="G562" s="2" t="s">
        <v>330</v>
      </c>
      <c r="H562" s="2" t="s">
        <v>885</v>
      </c>
    </row>
    <row r="563" ht="15.75" customHeight="1">
      <c r="A563" s="3" t="s">
        <v>822</v>
      </c>
      <c r="B563" s="3" t="s">
        <v>1721</v>
      </c>
      <c r="C563" s="3">
        <v>562.0</v>
      </c>
      <c r="D563" s="3">
        <v>562.0</v>
      </c>
      <c r="E563" s="3"/>
      <c r="F563" s="3"/>
      <c r="G563" s="3" t="s">
        <v>1721</v>
      </c>
      <c r="H563" s="3" t="s">
        <v>885</v>
      </c>
    </row>
    <row r="564" ht="15.75" customHeight="1">
      <c r="A564" s="2" t="s">
        <v>822</v>
      </c>
      <c r="B564" s="2" t="s">
        <v>331</v>
      </c>
      <c r="C564" s="2">
        <v>563.0</v>
      </c>
      <c r="D564" s="2">
        <v>563.0</v>
      </c>
      <c r="E564" s="2"/>
      <c r="F564" s="2"/>
      <c r="G564" s="2" t="s">
        <v>1722</v>
      </c>
      <c r="H564" s="2" t="s">
        <v>885</v>
      </c>
    </row>
    <row r="565" ht="15.75" customHeight="1">
      <c r="A565" s="3" t="s">
        <v>822</v>
      </c>
      <c r="B565" s="3" t="s">
        <v>200</v>
      </c>
      <c r="C565" s="3">
        <v>564.0</v>
      </c>
      <c r="D565" s="3">
        <v>564.0</v>
      </c>
      <c r="E565" s="3"/>
      <c r="F565" s="3"/>
      <c r="G565" s="3" t="s">
        <v>200</v>
      </c>
      <c r="H565" s="3" t="s">
        <v>885</v>
      </c>
    </row>
    <row r="566" ht="15.75" customHeight="1">
      <c r="A566" s="2" t="s">
        <v>822</v>
      </c>
      <c r="B566" s="2" t="s">
        <v>1723</v>
      </c>
      <c r="C566" s="2">
        <v>565.0</v>
      </c>
      <c r="D566" s="2">
        <v>565.0</v>
      </c>
      <c r="E566" s="2"/>
      <c r="F566" s="2"/>
      <c r="G566" s="2" t="s">
        <v>1466</v>
      </c>
      <c r="H566" s="2" t="s">
        <v>885</v>
      </c>
    </row>
    <row r="567" ht="15.75" customHeight="1">
      <c r="A567" s="3" t="s">
        <v>822</v>
      </c>
      <c r="B567" s="3" t="s">
        <v>203</v>
      </c>
      <c r="C567" s="3">
        <v>566.0</v>
      </c>
      <c r="D567" s="3">
        <v>566.0</v>
      </c>
      <c r="E567" s="3"/>
      <c r="F567" s="3"/>
      <c r="G567" s="3" t="s">
        <v>1660</v>
      </c>
      <c r="H567" s="3" t="s">
        <v>885</v>
      </c>
    </row>
    <row r="568" ht="15.75" customHeight="1">
      <c r="A568" s="2" t="s">
        <v>822</v>
      </c>
      <c r="B568" s="2" t="s">
        <v>1724</v>
      </c>
      <c r="C568" s="2">
        <v>567.0</v>
      </c>
      <c r="D568" s="2">
        <v>567.0</v>
      </c>
      <c r="E568" s="2"/>
      <c r="F568" s="2"/>
      <c r="G568" s="2" t="s">
        <v>1725</v>
      </c>
      <c r="H568" s="2" t="s">
        <v>885</v>
      </c>
    </row>
    <row r="569" ht="15.75" customHeight="1">
      <c r="A569" s="3" t="s">
        <v>822</v>
      </c>
      <c r="B569" s="3" t="s">
        <v>1726</v>
      </c>
      <c r="C569" s="3">
        <v>568.0</v>
      </c>
      <c r="D569" s="3">
        <v>568.0</v>
      </c>
      <c r="E569" s="3"/>
      <c r="F569" s="3"/>
      <c r="G569" s="3" t="s">
        <v>1600</v>
      </c>
      <c r="H569" s="3" t="s">
        <v>885</v>
      </c>
    </row>
    <row r="570" ht="15.75" customHeight="1">
      <c r="A570" s="2" t="s">
        <v>822</v>
      </c>
      <c r="B570" s="2" t="s">
        <v>278</v>
      </c>
      <c r="C570" s="2">
        <v>569.0</v>
      </c>
      <c r="D570" s="2">
        <v>569.0</v>
      </c>
      <c r="E570" s="2"/>
      <c r="F570" s="2"/>
      <c r="G570" s="2" t="s">
        <v>1466</v>
      </c>
      <c r="H570" s="2" t="s">
        <v>885</v>
      </c>
    </row>
    <row r="571" ht="15.75" customHeight="1">
      <c r="A571" s="3" t="s">
        <v>822</v>
      </c>
      <c r="B571" s="3" t="s">
        <v>1727</v>
      </c>
      <c r="C571" s="3">
        <v>570.0</v>
      </c>
      <c r="D571" s="3">
        <v>570.0</v>
      </c>
      <c r="E571" s="3"/>
      <c r="F571" s="3"/>
      <c r="G571" s="3" t="s">
        <v>1727</v>
      </c>
      <c r="H571" s="3" t="s">
        <v>885</v>
      </c>
    </row>
    <row r="572" ht="15.75" customHeight="1">
      <c r="A572" s="2" t="s">
        <v>822</v>
      </c>
      <c r="B572" s="2" t="s">
        <v>1728</v>
      </c>
      <c r="C572" s="2">
        <v>571.0</v>
      </c>
      <c r="D572" s="2">
        <v>571.0</v>
      </c>
      <c r="E572" s="2"/>
      <c r="F572" s="2"/>
      <c r="G572" s="2" t="s">
        <v>1725</v>
      </c>
      <c r="H572" s="2" t="s">
        <v>885</v>
      </c>
    </row>
    <row r="573" ht="15.75" customHeight="1">
      <c r="A573" s="3" t="s">
        <v>822</v>
      </c>
      <c r="B573" s="3" t="s">
        <v>1729</v>
      </c>
      <c r="C573" s="3">
        <v>572.0</v>
      </c>
      <c r="D573" s="3">
        <v>572.0</v>
      </c>
      <c r="E573" s="3"/>
      <c r="F573" s="3"/>
      <c r="G573" s="3" t="s">
        <v>1730</v>
      </c>
      <c r="H573" s="3" t="s">
        <v>885</v>
      </c>
    </row>
    <row r="574" ht="15.75" customHeight="1">
      <c r="A574" s="2" t="s">
        <v>822</v>
      </c>
      <c r="B574" s="2" t="s">
        <v>1731</v>
      </c>
      <c r="C574" s="2">
        <v>573.0</v>
      </c>
      <c r="D574" s="2">
        <v>573.0</v>
      </c>
      <c r="E574" s="2"/>
      <c r="F574" s="2"/>
      <c r="G574" s="2" t="s">
        <v>1732</v>
      </c>
      <c r="H574" s="2" t="s">
        <v>885</v>
      </c>
    </row>
    <row r="575" ht="15.75" customHeight="1">
      <c r="A575" s="3" t="s">
        <v>822</v>
      </c>
      <c r="B575" s="3" t="s">
        <v>1289</v>
      </c>
      <c r="C575" s="3">
        <v>574.0</v>
      </c>
      <c r="D575" s="3">
        <v>574.0</v>
      </c>
      <c r="E575" s="3"/>
      <c r="F575" s="3"/>
      <c r="G575" s="3" t="s">
        <v>1733</v>
      </c>
      <c r="H575" s="3" t="s">
        <v>885</v>
      </c>
    </row>
    <row r="576" ht="15.75" customHeight="1">
      <c r="A576" s="2" t="s">
        <v>822</v>
      </c>
      <c r="B576" s="2" t="s">
        <v>1734</v>
      </c>
      <c r="C576" s="2">
        <v>575.0</v>
      </c>
      <c r="D576" s="2">
        <v>575.0</v>
      </c>
      <c r="E576" s="2"/>
      <c r="F576" s="2"/>
      <c r="G576" s="2" t="s">
        <v>1734</v>
      </c>
      <c r="H576" s="2" t="s">
        <v>885</v>
      </c>
    </row>
    <row r="577" ht="15.75" customHeight="1">
      <c r="A577" s="3" t="s">
        <v>822</v>
      </c>
      <c r="B577" s="3" t="s">
        <v>1294</v>
      </c>
      <c r="C577" s="3">
        <v>576.0</v>
      </c>
      <c r="D577" s="3">
        <v>576.0</v>
      </c>
      <c r="E577" s="3"/>
      <c r="F577" s="3"/>
      <c r="G577" s="3" t="s">
        <v>1294</v>
      </c>
      <c r="H577" s="3" t="s">
        <v>885</v>
      </c>
    </row>
    <row r="578" ht="15.75" customHeight="1">
      <c r="A578" s="2" t="s">
        <v>822</v>
      </c>
      <c r="B578" s="2" t="s">
        <v>1298</v>
      </c>
      <c r="C578" s="2">
        <v>577.0</v>
      </c>
      <c r="D578" s="2">
        <v>577.0</v>
      </c>
      <c r="E578" s="2"/>
      <c r="F578" s="2"/>
      <c r="G578" s="2" t="s">
        <v>1735</v>
      </c>
      <c r="H578" s="2" t="s">
        <v>885</v>
      </c>
    </row>
    <row r="579" ht="15.75" customHeight="1">
      <c r="A579" s="3" t="s">
        <v>822</v>
      </c>
      <c r="B579" s="3" t="s">
        <v>1736</v>
      </c>
      <c r="C579" s="3">
        <v>578.0</v>
      </c>
      <c r="D579" s="3">
        <v>578.0</v>
      </c>
      <c r="E579" s="3"/>
      <c r="F579" s="3"/>
      <c r="G579" s="3" t="s">
        <v>1736</v>
      </c>
      <c r="H579" s="3" t="s">
        <v>885</v>
      </c>
    </row>
    <row r="580" ht="15.75" customHeight="1">
      <c r="A580" s="2" t="s">
        <v>822</v>
      </c>
      <c r="B580" s="2" t="s">
        <v>1299</v>
      </c>
      <c r="C580" s="2">
        <v>579.0</v>
      </c>
      <c r="D580" s="2">
        <v>579.0</v>
      </c>
      <c r="E580" s="2"/>
      <c r="F580" s="2"/>
      <c r="G580" s="2" t="s">
        <v>1299</v>
      </c>
      <c r="H580" s="2" t="s">
        <v>885</v>
      </c>
    </row>
    <row r="581" ht="15.75" customHeight="1">
      <c r="A581" s="3" t="s">
        <v>822</v>
      </c>
      <c r="B581" s="3" t="s">
        <v>207</v>
      </c>
      <c r="C581" s="3">
        <v>580.0</v>
      </c>
      <c r="D581" s="3">
        <v>580.0</v>
      </c>
      <c r="E581" s="3"/>
      <c r="F581" s="3"/>
      <c r="G581" s="3" t="s">
        <v>207</v>
      </c>
      <c r="H581" s="3" t="s">
        <v>885</v>
      </c>
    </row>
    <row r="582" ht="15.75" customHeight="1">
      <c r="A582" s="2" t="s">
        <v>822</v>
      </c>
      <c r="B582" s="2" t="s">
        <v>1308</v>
      </c>
      <c r="C582" s="2">
        <v>581.0</v>
      </c>
      <c r="D582" s="2">
        <v>581.0</v>
      </c>
      <c r="E582" s="2"/>
      <c r="F582" s="2"/>
      <c r="G582" s="2" t="s">
        <v>1737</v>
      </c>
      <c r="H582" s="2" t="s">
        <v>885</v>
      </c>
    </row>
    <row r="583" ht="15.75" customHeight="1">
      <c r="A583" s="3" t="s">
        <v>822</v>
      </c>
      <c r="B583" s="3" t="s">
        <v>1314</v>
      </c>
      <c r="C583" s="3">
        <v>582.0</v>
      </c>
      <c r="D583" s="3">
        <v>582.0</v>
      </c>
      <c r="E583" s="3"/>
      <c r="F583" s="3" t="s">
        <v>870</v>
      </c>
      <c r="G583" s="3" t="s">
        <v>1738</v>
      </c>
      <c r="H583" s="3" t="s">
        <v>885</v>
      </c>
    </row>
    <row r="584" ht="15.75" customHeight="1">
      <c r="A584" s="2" t="s">
        <v>822</v>
      </c>
      <c r="B584" s="2" t="s">
        <v>1319</v>
      </c>
      <c r="C584" s="2">
        <v>583.0</v>
      </c>
      <c r="D584" s="2">
        <v>583.0</v>
      </c>
      <c r="E584" s="2"/>
      <c r="F584" s="2"/>
      <c r="G584" s="2" t="s">
        <v>1319</v>
      </c>
      <c r="H584" s="2" t="s">
        <v>885</v>
      </c>
    </row>
    <row r="585" ht="15.75" customHeight="1">
      <c r="A585" s="3" t="s">
        <v>822</v>
      </c>
      <c r="B585" s="3" t="s">
        <v>1739</v>
      </c>
      <c r="C585" s="3">
        <v>584.0</v>
      </c>
      <c r="D585" s="3">
        <v>584.0</v>
      </c>
      <c r="E585" s="3"/>
      <c r="F585" s="3"/>
      <c r="G585" s="3" t="s">
        <v>1739</v>
      </c>
      <c r="H585" s="3" t="s">
        <v>885</v>
      </c>
    </row>
    <row r="586" ht="15.75" customHeight="1">
      <c r="A586" s="2" t="s">
        <v>822</v>
      </c>
      <c r="B586" s="2" t="s">
        <v>1740</v>
      </c>
      <c r="C586" s="2">
        <v>585.0</v>
      </c>
      <c r="D586" s="2">
        <v>585.0</v>
      </c>
      <c r="E586" s="2"/>
      <c r="F586" s="2"/>
      <c r="G586" s="2" t="s">
        <v>1740</v>
      </c>
      <c r="H586" s="2" t="s">
        <v>885</v>
      </c>
    </row>
    <row r="587" ht="15.75" customHeight="1">
      <c r="A587" s="3" t="s">
        <v>822</v>
      </c>
      <c r="B587" s="3" t="s">
        <v>1741</v>
      </c>
      <c r="C587" s="3">
        <v>586.0</v>
      </c>
      <c r="D587" s="3">
        <v>586.0</v>
      </c>
      <c r="E587" s="3"/>
      <c r="F587" s="3"/>
      <c r="G587" s="3" t="s">
        <v>1741</v>
      </c>
      <c r="H587" s="3" t="s">
        <v>885</v>
      </c>
    </row>
    <row r="588" ht="15.75" customHeight="1">
      <c r="A588" s="2" t="s">
        <v>822</v>
      </c>
      <c r="B588" s="2" t="s">
        <v>1325</v>
      </c>
      <c r="C588" s="2">
        <v>587.0</v>
      </c>
      <c r="D588" s="2">
        <v>587.0</v>
      </c>
      <c r="E588" s="2"/>
      <c r="F588" s="2"/>
      <c r="G588" s="2" t="s">
        <v>1466</v>
      </c>
      <c r="H588" s="2" t="s">
        <v>885</v>
      </c>
    </row>
    <row r="589" ht="15.75" customHeight="1">
      <c r="A589" s="3" t="s">
        <v>822</v>
      </c>
      <c r="B589" s="3" t="s">
        <v>1742</v>
      </c>
      <c r="C589" s="3">
        <v>588.0</v>
      </c>
      <c r="D589" s="3">
        <v>588.0</v>
      </c>
      <c r="E589" s="3"/>
      <c r="F589" s="3"/>
      <c r="G589" s="3" t="s">
        <v>1742</v>
      </c>
      <c r="H589" s="3" t="s">
        <v>885</v>
      </c>
    </row>
    <row r="590" ht="15.75" customHeight="1">
      <c r="A590" s="2" t="s">
        <v>822</v>
      </c>
      <c r="B590" s="2" t="s">
        <v>1334</v>
      </c>
      <c r="C590" s="2">
        <v>589.0</v>
      </c>
      <c r="D590" s="2">
        <v>589.0</v>
      </c>
      <c r="E590" s="2"/>
      <c r="F590" s="2"/>
      <c r="G590" s="2" t="s">
        <v>1334</v>
      </c>
      <c r="H590" s="2" t="s">
        <v>885</v>
      </c>
    </row>
    <row r="591" ht="15.75" customHeight="1">
      <c r="A591" s="3" t="s">
        <v>822</v>
      </c>
      <c r="B591" s="3" t="s">
        <v>1743</v>
      </c>
      <c r="C591" s="3">
        <v>590.0</v>
      </c>
      <c r="D591" s="3">
        <v>590.0</v>
      </c>
      <c r="E591" s="3"/>
      <c r="F591" s="3"/>
      <c r="G591" s="3" t="s">
        <v>1743</v>
      </c>
      <c r="H591" s="3" t="s">
        <v>885</v>
      </c>
    </row>
    <row r="592" ht="15.75" customHeight="1">
      <c r="A592" s="2" t="s">
        <v>822</v>
      </c>
      <c r="B592" s="2" t="s">
        <v>1342</v>
      </c>
      <c r="C592" s="2">
        <v>591.0</v>
      </c>
      <c r="D592" s="2">
        <v>591.0</v>
      </c>
      <c r="E592" s="2"/>
      <c r="F592" s="2"/>
      <c r="G592" s="2" t="s">
        <v>1660</v>
      </c>
      <c r="H592" s="2" t="s">
        <v>885</v>
      </c>
    </row>
    <row r="593" ht="15.75" customHeight="1">
      <c r="A593" s="3" t="s">
        <v>822</v>
      </c>
      <c r="B593" s="3" t="s">
        <v>1744</v>
      </c>
      <c r="C593" s="3">
        <v>592.0</v>
      </c>
      <c r="D593" s="3">
        <v>592.0</v>
      </c>
      <c r="E593" s="3"/>
      <c r="F593" s="3"/>
      <c r="G593" s="3" t="s">
        <v>1466</v>
      </c>
      <c r="H593" s="3" t="s">
        <v>885</v>
      </c>
    </row>
    <row r="594" ht="15.75" customHeight="1">
      <c r="A594" s="2" t="s">
        <v>822</v>
      </c>
      <c r="B594" s="2" t="s">
        <v>1745</v>
      </c>
      <c r="C594" s="2">
        <v>593.0</v>
      </c>
      <c r="D594" s="2">
        <v>593.0</v>
      </c>
      <c r="E594" s="2"/>
      <c r="F594" s="2"/>
      <c r="G594" s="2" t="s">
        <v>1466</v>
      </c>
      <c r="H594" s="2" t="s">
        <v>885</v>
      </c>
    </row>
    <row r="595" ht="15.75" customHeight="1">
      <c r="A595" s="3" t="s">
        <v>822</v>
      </c>
      <c r="B595" s="3" t="s">
        <v>1349</v>
      </c>
      <c r="C595" s="3">
        <v>594.0</v>
      </c>
      <c r="D595" s="3">
        <v>594.0</v>
      </c>
      <c r="E595" s="3"/>
      <c r="F595" s="3"/>
      <c r="G595" s="3" t="s">
        <v>1349</v>
      </c>
      <c r="H595" s="3" t="s">
        <v>885</v>
      </c>
    </row>
    <row r="596" ht="15.75" customHeight="1">
      <c r="A596" s="2" t="s">
        <v>822</v>
      </c>
      <c r="B596" s="2" t="s">
        <v>1746</v>
      </c>
      <c r="C596" s="2">
        <v>595.0</v>
      </c>
      <c r="D596" s="2">
        <v>595.0</v>
      </c>
      <c r="E596" s="2"/>
      <c r="F596" s="2"/>
      <c r="G596" s="2" t="s">
        <v>1747</v>
      </c>
      <c r="H596" s="2" t="s">
        <v>885</v>
      </c>
    </row>
    <row r="597" ht="15.75" customHeight="1">
      <c r="A597" s="3" t="s">
        <v>822</v>
      </c>
      <c r="B597" s="3" t="s">
        <v>1748</v>
      </c>
      <c r="C597" s="3">
        <v>596.0</v>
      </c>
      <c r="D597" s="3">
        <v>596.0</v>
      </c>
      <c r="E597" s="3"/>
      <c r="F597" s="3"/>
      <c r="G597" s="3" t="s">
        <v>1749</v>
      </c>
      <c r="H597" s="3" t="s">
        <v>885</v>
      </c>
    </row>
    <row r="598" ht="15.75" customHeight="1">
      <c r="A598" s="2" t="s">
        <v>822</v>
      </c>
      <c r="B598" s="2" t="s">
        <v>1354</v>
      </c>
      <c r="C598" s="2">
        <v>597.0</v>
      </c>
      <c r="D598" s="2">
        <v>597.0</v>
      </c>
      <c r="E598" s="2"/>
      <c r="F598" s="2"/>
      <c r="G598" s="2" t="s">
        <v>1354</v>
      </c>
      <c r="H598" s="2" t="s">
        <v>885</v>
      </c>
    </row>
    <row r="599" ht="15.75" customHeight="1">
      <c r="A599" s="3" t="s">
        <v>822</v>
      </c>
      <c r="B599" s="3" t="s">
        <v>1360</v>
      </c>
      <c r="C599" s="3">
        <v>598.0</v>
      </c>
      <c r="D599" s="3">
        <v>598.0</v>
      </c>
      <c r="E599" s="3"/>
      <c r="F599" s="3"/>
      <c r="G599" s="3" t="s">
        <v>1360</v>
      </c>
      <c r="H599" s="3" t="s">
        <v>885</v>
      </c>
    </row>
    <row r="600" ht="15.75" customHeight="1">
      <c r="A600" s="2" t="s">
        <v>822</v>
      </c>
      <c r="B600" s="2" t="s">
        <v>1365</v>
      </c>
      <c r="C600" s="2">
        <v>599.0</v>
      </c>
      <c r="D600" s="2">
        <v>599.0</v>
      </c>
      <c r="E600" s="2"/>
      <c r="F600" s="2"/>
      <c r="G600" s="2" t="s">
        <v>1365</v>
      </c>
      <c r="H600" s="2" t="s">
        <v>885</v>
      </c>
    </row>
    <row r="601" ht="15.75" customHeight="1">
      <c r="A601" s="3" t="s">
        <v>822</v>
      </c>
      <c r="B601" s="3" t="s">
        <v>1750</v>
      </c>
      <c r="C601" s="3">
        <v>600.0</v>
      </c>
      <c r="D601" s="3">
        <v>600.0</v>
      </c>
      <c r="E601" s="3"/>
      <c r="F601" s="3"/>
      <c r="G601" s="3" t="s">
        <v>1750</v>
      </c>
      <c r="H601" s="3" t="s">
        <v>885</v>
      </c>
    </row>
    <row r="602" ht="15.75" customHeight="1">
      <c r="A602" s="2" t="s">
        <v>822</v>
      </c>
      <c r="B602" s="2" t="s">
        <v>1372</v>
      </c>
      <c r="C602" s="2">
        <v>601.0</v>
      </c>
      <c r="D602" s="2">
        <v>601.0</v>
      </c>
      <c r="E602" s="2"/>
      <c r="F602" s="2"/>
      <c r="G602" s="2" t="s">
        <v>1751</v>
      </c>
      <c r="H602" s="2" t="s">
        <v>885</v>
      </c>
    </row>
    <row r="603" ht="15.75" customHeight="1">
      <c r="A603" s="3" t="s">
        <v>822</v>
      </c>
      <c r="B603" s="3" t="s">
        <v>1382</v>
      </c>
      <c r="C603" s="3">
        <v>602.0</v>
      </c>
      <c r="D603" s="3">
        <v>602.0</v>
      </c>
      <c r="E603" s="3"/>
      <c r="F603" s="3"/>
      <c r="G603" s="3" t="s">
        <v>1382</v>
      </c>
      <c r="H603" s="3" t="s">
        <v>885</v>
      </c>
    </row>
    <row r="604" ht="15.75" customHeight="1">
      <c r="A604" s="2" t="s">
        <v>822</v>
      </c>
      <c r="B604" s="2" t="s">
        <v>1391</v>
      </c>
      <c r="C604" s="2">
        <v>603.0</v>
      </c>
      <c r="D604" s="2">
        <v>603.0</v>
      </c>
      <c r="E604" s="2"/>
      <c r="F604" s="2"/>
      <c r="G604" s="2"/>
      <c r="H604" s="2" t="s">
        <v>885</v>
      </c>
    </row>
    <row r="605" ht="15.75" customHeight="1">
      <c r="A605" s="3" t="s">
        <v>822</v>
      </c>
      <c r="B605" s="3" t="s">
        <v>1752</v>
      </c>
      <c r="C605" s="3">
        <v>604.0</v>
      </c>
      <c r="D605" s="3">
        <v>604.0</v>
      </c>
      <c r="E605" s="3"/>
      <c r="F605" s="3"/>
      <c r="G605" s="3" t="s">
        <v>1753</v>
      </c>
      <c r="H605" s="3" t="s">
        <v>885</v>
      </c>
    </row>
    <row r="606" ht="15.75" customHeight="1">
      <c r="A606" s="2" t="s">
        <v>822</v>
      </c>
      <c r="B606" s="2" t="s">
        <v>1754</v>
      </c>
      <c r="C606" s="2">
        <v>605.0</v>
      </c>
      <c r="D606" s="2">
        <v>605.0</v>
      </c>
      <c r="E606" s="2"/>
      <c r="F606" s="2"/>
      <c r="G606" s="2" t="s">
        <v>1600</v>
      </c>
      <c r="H606" s="2" t="s">
        <v>885</v>
      </c>
    </row>
    <row r="607" ht="15.75" customHeight="1">
      <c r="A607" s="3" t="s">
        <v>822</v>
      </c>
      <c r="B607" s="3" t="s">
        <v>1755</v>
      </c>
      <c r="C607" s="3">
        <v>606.0</v>
      </c>
      <c r="D607" s="3">
        <v>606.0</v>
      </c>
      <c r="E607" s="3"/>
      <c r="F607" s="3"/>
      <c r="G607" s="3" t="s">
        <v>1755</v>
      </c>
      <c r="H607" s="3" t="s">
        <v>885</v>
      </c>
    </row>
    <row r="608" ht="15.75" customHeight="1">
      <c r="A608" s="2" t="s">
        <v>822</v>
      </c>
      <c r="B608" s="2" t="s">
        <v>1756</v>
      </c>
      <c r="C608" s="2">
        <v>607.0</v>
      </c>
      <c r="D608" s="2">
        <v>607.0</v>
      </c>
      <c r="E608" s="2"/>
      <c r="F608" s="2"/>
      <c r="G608" s="2" t="s">
        <v>1757</v>
      </c>
      <c r="H608" s="2" t="s">
        <v>885</v>
      </c>
    </row>
    <row r="609" ht="15.75" customHeight="1">
      <c r="A609" s="3" t="s">
        <v>822</v>
      </c>
      <c r="B609" s="3" t="s">
        <v>1758</v>
      </c>
      <c r="C609" s="3">
        <v>608.0</v>
      </c>
      <c r="D609" s="3">
        <v>608.0</v>
      </c>
      <c r="E609" s="3"/>
      <c r="F609" s="3"/>
      <c r="G609" s="3" t="s">
        <v>1758</v>
      </c>
      <c r="H609" s="3" t="s">
        <v>885</v>
      </c>
    </row>
    <row r="610" ht="15.75" customHeight="1">
      <c r="A610" s="2" t="s">
        <v>822</v>
      </c>
      <c r="B610" s="2" t="s">
        <v>1759</v>
      </c>
      <c r="C610" s="2">
        <v>609.0</v>
      </c>
      <c r="D610" s="2">
        <v>609.0</v>
      </c>
      <c r="E610" s="2"/>
      <c r="F610" s="2"/>
      <c r="G610" s="2" t="s">
        <v>1759</v>
      </c>
      <c r="H610" s="2" t="s">
        <v>885</v>
      </c>
    </row>
    <row r="611" ht="15.75" customHeight="1">
      <c r="A611" s="3" t="s">
        <v>822</v>
      </c>
      <c r="B611" s="3" t="s">
        <v>1399</v>
      </c>
      <c r="C611" s="3">
        <v>610.0</v>
      </c>
      <c r="D611" s="3">
        <v>610.0</v>
      </c>
      <c r="E611" s="3"/>
      <c r="F611" s="3"/>
      <c r="G611" s="3" t="s">
        <v>1399</v>
      </c>
      <c r="H611" s="3" t="s">
        <v>885</v>
      </c>
    </row>
    <row r="612" ht="15.75" customHeight="1">
      <c r="A612" s="2" t="s">
        <v>822</v>
      </c>
      <c r="B612" s="2" t="s">
        <v>1404</v>
      </c>
      <c r="C612" s="2">
        <v>611.0</v>
      </c>
      <c r="D612" s="2">
        <v>611.0</v>
      </c>
      <c r="E612" s="2"/>
      <c r="F612" s="2"/>
      <c r="G612" s="2" t="s">
        <v>1404</v>
      </c>
      <c r="H612" s="2" t="s">
        <v>885</v>
      </c>
    </row>
    <row r="613" ht="15.75" customHeight="1">
      <c r="A613" s="3" t="s">
        <v>822</v>
      </c>
      <c r="B613" s="3" t="s">
        <v>1760</v>
      </c>
      <c r="C613" s="3">
        <v>612.0</v>
      </c>
      <c r="D613" s="3">
        <v>612.0</v>
      </c>
      <c r="E613" s="3"/>
      <c r="F613" s="3"/>
      <c r="G613" s="3" t="s">
        <v>1761</v>
      </c>
      <c r="H613" s="3" t="s">
        <v>885</v>
      </c>
    </row>
    <row r="614" ht="15.75" customHeight="1">
      <c r="A614" s="2" t="s">
        <v>822</v>
      </c>
      <c r="B614" s="2" t="s">
        <v>1762</v>
      </c>
      <c r="C614" s="2">
        <v>613.0</v>
      </c>
      <c r="D614" s="2">
        <v>613.0</v>
      </c>
      <c r="E614" s="2"/>
      <c r="F614" s="2"/>
      <c r="G614" s="2" t="s">
        <v>1763</v>
      </c>
      <c r="H614" s="2" t="s">
        <v>885</v>
      </c>
    </row>
    <row r="615" ht="15.75" customHeight="1">
      <c r="A615" s="3" t="s">
        <v>822</v>
      </c>
      <c r="B615" s="3" t="s">
        <v>1411</v>
      </c>
      <c r="C615" s="3">
        <v>614.0</v>
      </c>
      <c r="D615" s="3">
        <v>614.0</v>
      </c>
      <c r="E615" s="3"/>
      <c r="F615" s="3"/>
      <c r="G615" s="3" t="s">
        <v>1411</v>
      </c>
      <c r="H615" s="3" t="s">
        <v>885</v>
      </c>
    </row>
    <row r="616" ht="15.75" customHeight="1">
      <c r="A616" s="2" t="s">
        <v>822</v>
      </c>
      <c r="B616" s="2" t="s">
        <v>1765</v>
      </c>
      <c r="C616" s="2">
        <v>615.0</v>
      </c>
      <c r="D616" s="2">
        <v>615.0</v>
      </c>
      <c r="E616" s="2"/>
      <c r="F616" s="2"/>
      <c r="G616" s="2" t="s">
        <v>1766</v>
      </c>
      <c r="H616" s="2" t="s">
        <v>885</v>
      </c>
    </row>
    <row r="617" ht="15.75" customHeight="1">
      <c r="A617" s="3" t="s">
        <v>822</v>
      </c>
      <c r="B617" s="3" t="s">
        <v>1417</v>
      </c>
      <c r="C617" s="3">
        <v>616.0</v>
      </c>
      <c r="D617" s="3">
        <v>616.0</v>
      </c>
      <c r="E617" s="3"/>
      <c r="F617" s="3"/>
      <c r="G617" s="3" t="s">
        <v>1417</v>
      </c>
      <c r="H617" s="3" t="s">
        <v>885</v>
      </c>
    </row>
    <row r="618" ht="15.75" customHeight="1">
      <c r="A618" s="2" t="s">
        <v>822</v>
      </c>
      <c r="B618" s="2" t="s">
        <v>1424</v>
      </c>
      <c r="C618" s="2">
        <v>617.0</v>
      </c>
      <c r="D618" s="2">
        <v>617.0</v>
      </c>
      <c r="E618" s="2"/>
      <c r="F618" s="2"/>
      <c r="G618" s="2" t="s">
        <v>1424</v>
      </c>
      <c r="H618" s="2" t="s">
        <v>885</v>
      </c>
    </row>
    <row r="619" ht="15.75" customHeight="1">
      <c r="A619" s="3" t="s">
        <v>822</v>
      </c>
      <c r="B619" s="3" t="s">
        <v>1430</v>
      </c>
      <c r="C619" s="3">
        <v>618.0</v>
      </c>
      <c r="D619" s="3">
        <v>618.0</v>
      </c>
      <c r="E619" s="3"/>
      <c r="F619" s="3"/>
      <c r="G619" s="3" t="s">
        <v>1430</v>
      </c>
      <c r="H619" s="3" t="s">
        <v>885</v>
      </c>
    </row>
    <row r="620" ht="15.75" customHeight="1">
      <c r="A620" s="2" t="s">
        <v>822</v>
      </c>
      <c r="B620" s="2" t="s">
        <v>1438</v>
      </c>
      <c r="C620" s="2">
        <v>619.0</v>
      </c>
      <c r="D620" s="2">
        <v>619.0</v>
      </c>
      <c r="E620" s="2"/>
      <c r="F620" s="2"/>
      <c r="G620" s="2" t="s">
        <v>1096</v>
      </c>
      <c r="H620" s="2" t="s">
        <v>885</v>
      </c>
    </row>
    <row r="621" ht="15.75" customHeight="1">
      <c r="A621" s="3" t="s">
        <v>822</v>
      </c>
      <c r="B621" s="3" t="s">
        <v>1443</v>
      </c>
      <c r="C621" s="3">
        <v>620.0</v>
      </c>
      <c r="D621" s="3">
        <v>620.0</v>
      </c>
      <c r="E621" s="3"/>
      <c r="F621" s="3"/>
      <c r="G621" s="3" t="s">
        <v>1443</v>
      </c>
      <c r="H621" s="3" t="s">
        <v>885</v>
      </c>
    </row>
    <row r="622" ht="15.75" customHeight="1">
      <c r="A622" s="2" t="s">
        <v>822</v>
      </c>
      <c r="B622" s="2" t="s">
        <v>1447</v>
      </c>
      <c r="C622" s="2">
        <v>621.0</v>
      </c>
      <c r="D622" s="2">
        <v>621.0</v>
      </c>
      <c r="E622" s="2"/>
      <c r="F622" s="2"/>
      <c r="G622" s="2" t="s">
        <v>1600</v>
      </c>
      <c r="H622" s="2" t="s">
        <v>885</v>
      </c>
    </row>
    <row r="623" ht="15.75" customHeight="1">
      <c r="A623" s="3" t="s">
        <v>822</v>
      </c>
      <c r="B623" s="3" t="s">
        <v>1452</v>
      </c>
      <c r="C623" s="3">
        <v>622.0</v>
      </c>
      <c r="D623" s="3">
        <v>622.0</v>
      </c>
      <c r="E623" s="3"/>
      <c r="F623" s="3"/>
      <c r="G623" s="3" t="s">
        <v>1452</v>
      </c>
      <c r="H623" s="3" t="s">
        <v>885</v>
      </c>
    </row>
    <row r="624" ht="15.75" customHeight="1">
      <c r="A624" s="2" t="s">
        <v>822</v>
      </c>
      <c r="B624" s="2" t="s">
        <v>1767</v>
      </c>
      <c r="C624" s="2">
        <v>623.0</v>
      </c>
      <c r="D624" s="2">
        <v>623.0</v>
      </c>
      <c r="E624" s="2"/>
      <c r="F624" s="2"/>
      <c r="G624" s="2" t="s">
        <v>1768</v>
      </c>
      <c r="H624" s="2" t="s">
        <v>885</v>
      </c>
    </row>
    <row r="625" ht="15.75" customHeight="1">
      <c r="A625" s="3" t="s">
        <v>822</v>
      </c>
      <c r="B625" s="3" t="s">
        <v>1769</v>
      </c>
      <c r="C625" s="3">
        <v>624.0</v>
      </c>
      <c r="D625" s="3">
        <v>624.0</v>
      </c>
      <c r="E625" s="3"/>
      <c r="F625" s="3"/>
      <c r="G625" s="3" t="s">
        <v>1770</v>
      </c>
      <c r="H625" s="3" t="s">
        <v>885</v>
      </c>
    </row>
    <row r="626" ht="15.75" customHeight="1">
      <c r="A626" s="2" t="s">
        <v>822</v>
      </c>
      <c r="B626" s="2" t="s">
        <v>1771</v>
      </c>
      <c r="C626" s="2">
        <v>625.0</v>
      </c>
      <c r="D626" s="2">
        <v>625.0</v>
      </c>
      <c r="E626" s="2"/>
      <c r="F626" s="2"/>
      <c r="G626" s="2" t="s">
        <v>1772</v>
      </c>
      <c r="H626" s="2" t="s">
        <v>885</v>
      </c>
    </row>
    <row r="627" ht="15.75" customHeight="1">
      <c r="A627" s="3" t="s">
        <v>1773</v>
      </c>
      <c r="B627" s="3" t="s">
        <v>349</v>
      </c>
      <c r="C627" s="3">
        <v>1.0</v>
      </c>
      <c r="D627" s="3">
        <v>1.0</v>
      </c>
      <c r="E627" s="3" t="s">
        <v>1774</v>
      </c>
      <c r="F627" s="3" t="s">
        <v>845</v>
      </c>
      <c r="G627" s="3" t="s">
        <v>846</v>
      </c>
      <c r="H627" s="3" t="s">
        <v>847</v>
      </c>
    </row>
    <row r="628" ht="15.75" customHeight="1">
      <c r="A628" s="2" t="s">
        <v>1773</v>
      </c>
      <c r="B628" s="2" t="s">
        <v>381</v>
      </c>
      <c r="C628" s="2">
        <v>2.0</v>
      </c>
      <c r="D628" s="2">
        <v>2.0</v>
      </c>
      <c r="E628" s="2" t="s">
        <v>1774</v>
      </c>
      <c r="F628" s="2" t="s">
        <v>845</v>
      </c>
      <c r="G628" s="2" t="s">
        <v>846</v>
      </c>
      <c r="H628" s="2" t="s">
        <v>860</v>
      </c>
    </row>
    <row r="629" ht="15.75" customHeight="1">
      <c r="A629" s="3" t="s">
        <v>1773</v>
      </c>
      <c r="B629" s="3" t="s">
        <v>383</v>
      </c>
      <c r="C629" s="3">
        <v>3.0</v>
      </c>
      <c r="D629" s="3">
        <v>3.0</v>
      </c>
      <c r="E629" s="3" t="s">
        <v>1774</v>
      </c>
      <c r="F629" s="3" t="s">
        <v>848</v>
      </c>
      <c r="G629" s="3" t="s">
        <v>849</v>
      </c>
      <c r="H629" s="3" t="s">
        <v>860</v>
      </c>
    </row>
    <row r="630" ht="15.75" customHeight="1">
      <c r="A630" s="2" t="s">
        <v>1773</v>
      </c>
      <c r="B630" s="2" t="s">
        <v>386</v>
      </c>
      <c r="C630" s="2">
        <v>4.0</v>
      </c>
      <c r="D630" s="2">
        <v>4.0</v>
      </c>
      <c r="E630" s="2" t="s">
        <v>1774</v>
      </c>
      <c r="F630" s="2" t="s">
        <v>852</v>
      </c>
      <c r="G630" s="2" t="s">
        <v>853</v>
      </c>
      <c r="H630" s="2" t="s">
        <v>860</v>
      </c>
    </row>
    <row r="631" ht="15.75" customHeight="1">
      <c r="A631" s="3" t="s">
        <v>1773</v>
      </c>
      <c r="B631" s="3" t="s">
        <v>388</v>
      </c>
      <c r="C631" s="3">
        <v>5.0</v>
      </c>
      <c r="D631" s="3">
        <v>5.0</v>
      </c>
      <c r="E631" s="3" t="s">
        <v>1774</v>
      </c>
      <c r="F631" s="3" t="s">
        <v>854</v>
      </c>
      <c r="G631" s="3" t="s">
        <v>1049</v>
      </c>
      <c r="H631" s="3" t="s">
        <v>860</v>
      </c>
    </row>
    <row r="632" ht="15.75" customHeight="1">
      <c r="A632" s="2" t="s">
        <v>1773</v>
      </c>
      <c r="B632" s="2" t="s">
        <v>405</v>
      </c>
      <c r="C632" s="2">
        <v>6.0</v>
      </c>
      <c r="D632" s="2">
        <v>6.0</v>
      </c>
      <c r="E632" s="2" t="s">
        <v>1774</v>
      </c>
      <c r="F632" s="2" t="s">
        <v>973</v>
      </c>
      <c r="G632" s="2" t="s">
        <v>1775</v>
      </c>
      <c r="H632" s="2" t="s">
        <v>847</v>
      </c>
    </row>
    <row r="633" ht="15.75" customHeight="1">
      <c r="A633" s="3" t="s">
        <v>1773</v>
      </c>
      <c r="B633" s="3" t="s">
        <v>417</v>
      </c>
      <c r="C633" s="3">
        <v>7.0</v>
      </c>
      <c r="D633" s="3">
        <v>7.0</v>
      </c>
      <c r="E633" s="3" t="s">
        <v>1774</v>
      </c>
      <c r="F633" s="3" t="s">
        <v>974</v>
      </c>
      <c r="G633" s="3" t="s">
        <v>1776</v>
      </c>
      <c r="H633" s="3" t="s">
        <v>847</v>
      </c>
    </row>
    <row r="634" ht="15.75" customHeight="1">
      <c r="A634" s="2" t="s">
        <v>1773</v>
      </c>
      <c r="B634" s="2" t="s">
        <v>795</v>
      </c>
      <c r="C634" s="2">
        <v>8.0</v>
      </c>
      <c r="D634" s="2">
        <v>8.0</v>
      </c>
      <c r="E634" s="2" t="s">
        <v>1774</v>
      </c>
      <c r="F634" s="2"/>
      <c r="G634" s="2" t="s">
        <v>1777</v>
      </c>
      <c r="H634" s="2" t="s">
        <v>837</v>
      </c>
    </row>
    <row r="635" ht="15.75" customHeight="1">
      <c r="A635" s="3" t="s">
        <v>1773</v>
      </c>
      <c r="B635" s="3" t="s">
        <v>914</v>
      </c>
      <c r="C635" s="3">
        <v>9.0</v>
      </c>
      <c r="D635" s="3">
        <v>9.0</v>
      </c>
      <c r="E635" s="3" t="s">
        <v>1774</v>
      </c>
      <c r="F635" s="3"/>
      <c r="G635" s="3" t="s">
        <v>1778</v>
      </c>
      <c r="H635" s="3" t="s">
        <v>860</v>
      </c>
    </row>
    <row r="636" ht="15.75" customHeight="1">
      <c r="A636" s="2" t="s">
        <v>1773</v>
      </c>
      <c r="B636" s="2" t="s">
        <v>1779</v>
      </c>
      <c r="C636" s="2">
        <v>10.0</v>
      </c>
      <c r="D636" s="2">
        <v>10.0</v>
      </c>
      <c r="E636" s="2" t="s">
        <v>1774</v>
      </c>
      <c r="F636" s="2"/>
      <c r="G636" s="2" t="s">
        <v>1780</v>
      </c>
      <c r="H636" s="2" t="s">
        <v>841</v>
      </c>
    </row>
    <row r="637" ht="15.75" customHeight="1">
      <c r="A637" s="3" t="s">
        <v>1773</v>
      </c>
      <c r="B637" s="3" t="s">
        <v>1319</v>
      </c>
      <c r="C637" s="3">
        <v>11.0</v>
      </c>
      <c r="D637" s="3">
        <v>11.0</v>
      </c>
      <c r="E637" s="3" t="s">
        <v>1774</v>
      </c>
      <c r="F637" s="3" t="s">
        <v>1327</v>
      </c>
      <c r="G637" s="3" t="s">
        <v>1781</v>
      </c>
      <c r="H637" s="3" t="s">
        <v>847</v>
      </c>
    </row>
    <row r="638" ht="15.75" customHeight="1">
      <c r="A638" s="2" t="s">
        <v>1773</v>
      </c>
      <c r="B638" s="2" t="s">
        <v>424</v>
      </c>
      <c r="C638" s="2">
        <v>12.0</v>
      </c>
      <c r="D638" s="2">
        <v>12.0</v>
      </c>
      <c r="E638" s="2" t="s">
        <v>1774</v>
      </c>
      <c r="F638" s="2"/>
      <c r="G638" s="2" t="s">
        <v>1782</v>
      </c>
      <c r="H638" s="2" t="s">
        <v>847</v>
      </c>
    </row>
    <row r="639" ht="15.75" customHeight="1">
      <c r="A639" s="3" t="s">
        <v>1773</v>
      </c>
      <c r="B639" s="3" t="s">
        <v>426</v>
      </c>
      <c r="C639" s="3">
        <v>13.0</v>
      </c>
      <c r="D639" s="3">
        <v>13.0</v>
      </c>
      <c r="E639" s="3" t="s">
        <v>1774</v>
      </c>
      <c r="F639" s="3"/>
      <c r="G639" s="3" t="s">
        <v>1783</v>
      </c>
      <c r="H639" s="3" t="s">
        <v>847</v>
      </c>
    </row>
    <row r="640" ht="15.75" customHeight="1">
      <c r="A640" s="2" t="s">
        <v>1773</v>
      </c>
      <c r="B640" s="2" t="s">
        <v>428</v>
      </c>
      <c r="C640" s="2">
        <v>14.0</v>
      </c>
      <c r="D640" s="2">
        <v>14.0</v>
      </c>
      <c r="E640" s="2" t="s">
        <v>1774</v>
      </c>
      <c r="F640" s="2"/>
      <c r="G640" s="2" t="s">
        <v>1784</v>
      </c>
      <c r="H640" s="2" t="s">
        <v>847</v>
      </c>
    </row>
    <row r="641" ht="15.75" customHeight="1">
      <c r="A641" s="3" t="s">
        <v>1773</v>
      </c>
      <c r="B641" s="3" t="s">
        <v>10</v>
      </c>
      <c r="C641" s="3">
        <v>15.0</v>
      </c>
      <c r="D641" s="3">
        <v>15.0</v>
      </c>
      <c r="E641" s="3" t="s">
        <v>1774</v>
      </c>
      <c r="F641" s="3"/>
      <c r="G641" s="3" t="s">
        <v>1785</v>
      </c>
      <c r="H641" s="3" t="s">
        <v>847</v>
      </c>
    </row>
    <row r="642" ht="15.75" customHeight="1">
      <c r="A642" s="2" t="s">
        <v>1773</v>
      </c>
      <c r="B642" s="2" t="s">
        <v>447</v>
      </c>
      <c r="C642" s="2">
        <v>16.0</v>
      </c>
      <c r="D642" s="2">
        <v>16.0</v>
      </c>
      <c r="E642" s="2" t="s">
        <v>1774</v>
      </c>
      <c r="F642" s="2"/>
      <c r="G642" s="2" t="s">
        <v>1786</v>
      </c>
      <c r="H642" s="2" t="s">
        <v>847</v>
      </c>
    </row>
    <row r="643" ht="15.75" customHeight="1">
      <c r="A643" s="3" t="s">
        <v>1773</v>
      </c>
      <c r="B643" s="3" t="s">
        <v>432</v>
      </c>
      <c r="C643" s="3">
        <v>17.0</v>
      </c>
      <c r="D643" s="3">
        <v>17.0</v>
      </c>
      <c r="E643" s="3" t="s">
        <v>1774</v>
      </c>
      <c r="F643" s="3"/>
      <c r="G643" s="3" t="s">
        <v>1787</v>
      </c>
      <c r="H643" s="3" t="s">
        <v>847</v>
      </c>
    </row>
    <row r="644" ht="15.75" customHeight="1">
      <c r="A644" s="2" t="s">
        <v>1773</v>
      </c>
      <c r="B644" s="2" t="s">
        <v>435</v>
      </c>
      <c r="C644" s="2">
        <v>18.0</v>
      </c>
      <c r="D644" s="2">
        <v>18.0</v>
      </c>
      <c r="E644" s="2" t="s">
        <v>1774</v>
      </c>
      <c r="F644" s="2"/>
      <c r="G644" s="2" t="s">
        <v>1789</v>
      </c>
      <c r="H644" s="2" t="s">
        <v>847</v>
      </c>
    </row>
    <row r="645" ht="15.75" customHeight="1">
      <c r="A645" s="3" t="s">
        <v>1773</v>
      </c>
      <c r="B645" s="3" t="s">
        <v>437</v>
      </c>
      <c r="C645" s="3">
        <v>19.0</v>
      </c>
      <c r="D645" s="3">
        <v>19.0</v>
      </c>
      <c r="E645" s="3" t="s">
        <v>1774</v>
      </c>
      <c r="F645" s="3"/>
      <c r="G645" s="3" t="s">
        <v>1790</v>
      </c>
      <c r="H645" s="3" t="s">
        <v>847</v>
      </c>
    </row>
    <row r="646" ht="15.75" customHeight="1">
      <c r="A646" s="2" t="s">
        <v>1773</v>
      </c>
      <c r="B646" s="2" t="s">
        <v>445</v>
      </c>
      <c r="C646" s="2">
        <v>20.0</v>
      </c>
      <c r="D646" s="2">
        <v>20.0</v>
      </c>
      <c r="E646" s="2" t="s">
        <v>1774</v>
      </c>
      <c r="F646" s="2"/>
      <c r="G646" s="2" t="s">
        <v>1791</v>
      </c>
      <c r="H646" s="2" t="s">
        <v>847</v>
      </c>
    </row>
    <row r="647" ht="15.75" customHeight="1">
      <c r="A647" s="3" t="s">
        <v>1773</v>
      </c>
      <c r="B647" s="3" t="s">
        <v>452</v>
      </c>
      <c r="C647" s="3">
        <v>21.0</v>
      </c>
      <c r="D647" s="3">
        <v>21.0</v>
      </c>
      <c r="E647" s="3" t="s">
        <v>1774</v>
      </c>
      <c r="F647" s="3" t="s">
        <v>1329</v>
      </c>
      <c r="G647" s="3" t="s">
        <v>1792</v>
      </c>
      <c r="H647" s="3" t="s">
        <v>837</v>
      </c>
    </row>
    <row r="648" ht="15.75" customHeight="1">
      <c r="A648" s="2" t="s">
        <v>1773</v>
      </c>
      <c r="B648" s="2" t="s">
        <v>457</v>
      </c>
      <c r="C648" s="2">
        <v>22.0</v>
      </c>
      <c r="D648" s="2">
        <v>22.0</v>
      </c>
      <c r="E648" s="2" t="s">
        <v>1774</v>
      </c>
      <c r="F648" s="2" t="s">
        <v>1331</v>
      </c>
      <c r="G648" s="2" t="s">
        <v>1793</v>
      </c>
      <c r="H648" s="2" t="s">
        <v>860</v>
      </c>
    </row>
    <row r="649" ht="15.75" customHeight="1">
      <c r="A649" s="3" t="s">
        <v>1773</v>
      </c>
      <c r="B649" s="3" t="s">
        <v>463</v>
      </c>
      <c r="C649" s="3">
        <v>23.0</v>
      </c>
      <c r="D649" s="3">
        <v>23.0</v>
      </c>
      <c r="E649" s="3" t="s">
        <v>1774</v>
      </c>
      <c r="F649" s="3" t="s">
        <v>1331</v>
      </c>
      <c r="G649" s="3" t="s">
        <v>1794</v>
      </c>
      <c r="H649" s="3" t="s">
        <v>847</v>
      </c>
    </row>
    <row r="650" ht="15.75" customHeight="1">
      <c r="A650" s="2" t="s">
        <v>1773</v>
      </c>
      <c r="B650" s="2" t="s">
        <v>492</v>
      </c>
      <c r="C650" s="2">
        <v>24.0</v>
      </c>
      <c r="D650" s="2">
        <v>24.0</v>
      </c>
      <c r="E650" s="2" t="s">
        <v>1774</v>
      </c>
      <c r="F650" s="2" t="s">
        <v>865</v>
      </c>
      <c r="G650" s="2" t="s">
        <v>1795</v>
      </c>
      <c r="H650" s="2" t="s">
        <v>837</v>
      </c>
    </row>
    <row r="651" ht="15.75" customHeight="1">
      <c r="A651" s="3" t="s">
        <v>1773</v>
      </c>
      <c r="B651" s="3" t="s">
        <v>497</v>
      </c>
      <c r="C651" s="3">
        <v>25.0</v>
      </c>
      <c r="D651" s="3">
        <v>25.0</v>
      </c>
      <c r="E651" s="3" t="s">
        <v>1774</v>
      </c>
      <c r="F651" s="3" t="s">
        <v>865</v>
      </c>
      <c r="G651" s="3" t="s">
        <v>1796</v>
      </c>
      <c r="H651" s="3" t="s">
        <v>847</v>
      </c>
    </row>
    <row r="652" ht="15.75" customHeight="1">
      <c r="A652" s="2" t="s">
        <v>1773</v>
      </c>
      <c r="B652" s="2" t="s">
        <v>857</v>
      </c>
      <c r="C652" s="2">
        <v>26.0</v>
      </c>
      <c r="D652" s="2">
        <v>26.0</v>
      </c>
      <c r="E652" s="2" t="s">
        <v>1774</v>
      </c>
      <c r="F652" s="2" t="s">
        <v>865</v>
      </c>
      <c r="G652" s="2" t="s">
        <v>1107</v>
      </c>
      <c r="H652" s="2" t="s">
        <v>837</v>
      </c>
    </row>
    <row r="653" ht="15.75" customHeight="1">
      <c r="A653" s="3" t="s">
        <v>1773</v>
      </c>
      <c r="B653" s="3" t="s">
        <v>875</v>
      </c>
      <c r="C653" s="3">
        <v>27.0</v>
      </c>
      <c r="D653" s="3">
        <v>27.0</v>
      </c>
      <c r="E653" s="3" t="s">
        <v>1774</v>
      </c>
      <c r="F653" s="3"/>
      <c r="G653" s="3" t="s">
        <v>1797</v>
      </c>
      <c r="H653" s="3" t="s">
        <v>847</v>
      </c>
    </row>
    <row r="654" ht="15.75" customHeight="1">
      <c r="A654" s="2" t="s">
        <v>1773</v>
      </c>
      <c r="B654" s="2" t="s">
        <v>509</v>
      </c>
      <c r="C654" s="2">
        <v>28.0</v>
      </c>
      <c r="D654" s="2">
        <v>28.0</v>
      </c>
      <c r="E654" s="2" t="s">
        <v>1774</v>
      </c>
      <c r="F654" s="2" t="s">
        <v>867</v>
      </c>
      <c r="G654" s="2" t="s">
        <v>1798</v>
      </c>
      <c r="H654" s="2" t="s">
        <v>837</v>
      </c>
    </row>
    <row r="655" ht="15.75" customHeight="1">
      <c r="A655" s="3" t="s">
        <v>1773</v>
      </c>
      <c r="B655" s="3" t="s">
        <v>515</v>
      </c>
      <c r="C655" s="3">
        <v>29.0</v>
      </c>
      <c r="D655" s="3">
        <v>29.0</v>
      </c>
      <c r="E655" s="3" t="s">
        <v>1774</v>
      </c>
      <c r="F655" s="3" t="s">
        <v>867</v>
      </c>
      <c r="G655" s="3" t="s">
        <v>1112</v>
      </c>
      <c r="H655" s="3" t="s">
        <v>837</v>
      </c>
    </row>
    <row r="656" ht="15.75" customHeight="1">
      <c r="A656" s="2" t="s">
        <v>1773</v>
      </c>
      <c r="B656" s="2" t="s">
        <v>521</v>
      </c>
      <c r="C656" s="2">
        <v>30.0</v>
      </c>
      <c r="D656" s="2">
        <v>30.0</v>
      </c>
      <c r="E656" s="2" t="s">
        <v>1774</v>
      </c>
      <c r="F656" s="2" t="s">
        <v>867</v>
      </c>
      <c r="G656" s="2" t="s">
        <v>1114</v>
      </c>
      <c r="H656" s="2" t="s">
        <v>837</v>
      </c>
    </row>
    <row r="657" ht="15.75" customHeight="1">
      <c r="A657" s="3" t="s">
        <v>1773</v>
      </c>
      <c r="B657" s="3" t="s">
        <v>527</v>
      </c>
      <c r="C657" s="3">
        <v>31.0</v>
      </c>
      <c r="D657" s="3">
        <v>31.0</v>
      </c>
      <c r="E657" s="3" t="s">
        <v>1774</v>
      </c>
      <c r="F657" s="3" t="s">
        <v>867</v>
      </c>
      <c r="G657" s="3" t="s">
        <v>1116</v>
      </c>
      <c r="H657" s="3" t="s">
        <v>837</v>
      </c>
    </row>
    <row r="658" ht="15.75" customHeight="1">
      <c r="A658" s="2" t="s">
        <v>1773</v>
      </c>
      <c r="B658" s="2" t="s">
        <v>892</v>
      </c>
      <c r="C658" s="2">
        <v>32.0</v>
      </c>
      <c r="D658" s="2">
        <v>32.0</v>
      </c>
      <c r="E658" s="2" t="s">
        <v>1774</v>
      </c>
      <c r="F658" s="2" t="s">
        <v>870</v>
      </c>
      <c r="G658" s="2" t="s">
        <v>1800</v>
      </c>
      <c r="H658" s="2" t="s">
        <v>847</v>
      </c>
    </row>
    <row r="659" ht="15.75" customHeight="1">
      <c r="A659" s="3" t="s">
        <v>1773</v>
      </c>
      <c r="B659" s="3" t="s">
        <v>901</v>
      </c>
      <c r="C659" s="3">
        <v>33.0</v>
      </c>
      <c r="D659" s="3">
        <v>33.0</v>
      </c>
      <c r="E659" s="3" t="s">
        <v>1774</v>
      </c>
      <c r="F659" s="3" t="s">
        <v>870</v>
      </c>
      <c r="G659" s="3" t="s">
        <v>1119</v>
      </c>
      <c r="H659" s="3" t="s">
        <v>837</v>
      </c>
    </row>
    <row r="660" ht="15.75" customHeight="1">
      <c r="A660" s="2" t="s">
        <v>1773</v>
      </c>
      <c r="B660" s="2" t="s">
        <v>916</v>
      </c>
      <c r="C660" s="2">
        <v>34.0</v>
      </c>
      <c r="D660" s="2">
        <v>34.0</v>
      </c>
      <c r="E660" s="2" t="s">
        <v>1774</v>
      </c>
      <c r="F660" s="2" t="s">
        <v>870</v>
      </c>
      <c r="G660" s="2" t="s">
        <v>1122</v>
      </c>
      <c r="H660" s="2" t="s">
        <v>919</v>
      </c>
    </row>
    <row r="661" ht="15.75" customHeight="1">
      <c r="A661" s="3" t="s">
        <v>1773</v>
      </c>
      <c r="B661" s="3" t="s">
        <v>926</v>
      </c>
      <c r="C661" s="3">
        <v>35.0</v>
      </c>
      <c r="D661" s="3">
        <v>35.0</v>
      </c>
      <c r="E661" s="3" t="s">
        <v>1774</v>
      </c>
      <c r="F661" s="3" t="s">
        <v>870</v>
      </c>
      <c r="G661" s="3" t="s">
        <v>1125</v>
      </c>
      <c r="H661" s="3" t="s">
        <v>847</v>
      </c>
    </row>
    <row r="662" ht="15.75" customHeight="1">
      <c r="A662" s="2" t="s">
        <v>1773</v>
      </c>
      <c r="B662" s="2" t="s">
        <v>556</v>
      </c>
      <c r="C662" s="2">
        <v>36.0</v>
      </c>
      <c r="D662" s="2">
        <v>36.0</v>
      </c>
      <c r="E662" s="2" t="s">
        <v>1774</v>
      </c>
      <c r="F662" s="2" t="s">
        <v>973</v>
      </c>
      <c r="G662" s="2" t="s">
        <v>1801</v>
      </c>
      <c r="H662" s="2" t="s">
        <v>847</v>
      </c>
    </row>
    <row r="663" ht="15.75" customHeight="1">
      <c r="A663" s="3" t="s">
        <v>1773</v>
      </c>
      <c r="B663" s="3" t="s">
        <v>559</v>
      </c>
      <c r="C663" s="3">
        <v>37.0</v>
      </c>
      <c r="D663" s="3">
        <v>37.0</v>
      </c>
      <c r="E663" s="3" t="s">
        <v>1774</v>
      </c>
      <c r="F663" s="3" t="s">
        <v>1802</v>
      </c>
      <c r="G663" s="3" t="s">
        <v>1803</v>
      </c>
      <c r="H663" s="3" t="s">
        <v>837</v>
      </c>
    </row>
    <row r="664" ht="15.75" customHeight="1">
      <c r="A664" s="2" t="s">
        <v>1773</v>
      </c>
      <c r="B664" s="2" t="s">
        <v>565</v>
      </c>
      <c r="C664" s="2">
        <v>38.0</v>
      </c>
      <c r="D664" s="2">
        <v>38.0</v>
      </c>
      <c r="E664" s="2" t="s">
        <v>1774</v>
      </c>
      <c r="F664" s="2" t="s">
        <v>1804</v>
      </c>
      <c r="G664" s="2" t="s">
        <v>1805</v>
      </c>
      <c r="H664" s="2" t="s">
        <v>837</v>
      </c>
    </row>
    <row r="665" ht="15.75" customHeight="1">
      <c r="A665" s="3" t="s">
        <v>1773</v>
      </c>
      <c r="B665" s="3" t="s">
        <v>570</v>
      </c>
      <c r="C665" s="3">
        <v>39.0</v>
      </c>
      <c r="D665" s="3">
        <v>39.0</v>
      </c>
      <c r="E665" s="3" t="s">
        <v>1774</v>
      </c>
      <c r="F665" s="3" t="s">
        <v>1806</v>
      </c>
      <c r="G665" s="3" t="s">
        <v>1807</v>
      </c>
      <c r="H665" s="3" t="s">
        <v>837</v>
      </c>
    </row>
    <row r="666" ht="15.75" customHeight="1">
      <c r="A666" s="2" t="s">
        <v>1773</v>
      </c>
      <c r="B666" s="2" t="s">
        <v>575</v>
      </c>
      <c r="C666" s="2">
        <v>40.0</v>
      </c>
      <c r="D666" s="2">
        <v>40.0</v>
      </c>
      <c r="E666" s="2" t="s">
        <v>1774</v>
      </c>
      <c r="F666" s="2" t="s">
        <v>991</v>
      </c>
      <c r="G666" s="2" t="s">
        <v>1136</v>
      </c>
      <c r="H666" s="2" t="s">
        <v>837</v>
      </c>
    </row>
    <row r="667" ht="15.75" customHeight="1">
      <c r="A667" s="3" t="s">
        <v>1773</v>
      </c>
      <c r="B667" s="3" t="s">
        <v>581</v>
      </c>
      <c r="C667" s="3">
        <v>41.0</v>
      </c>
      <c r="D667" s="3">
        <v>41.0</v>
      </c>
      <c r="E667" s="3" t="s">
        <v>1774</v>
      </c>
      <c r="F667" s="3" t="s">
        <v>1327</v>
      </c>
      <c r="G667" s="3" t="s">
        <v>1808</v>
      </c>
      <c r="H667" s="3" t="s">
        <v>837</v>
      </c>
    </row>
    <row r="668" ht="15.75" customHeight="1">
      <c r="A668" s="2" t="s">
        <v>1773</v>
      </c>
      <c r="B668" s="2" t="s">
        <v>587</v>
      </c>
      <c r="C668" s="2">
        <v>42.0</v>
      </c>
      <c r="D668" s="2">
        <v>42.0</v>
      </c>
      <c r="E668" s="2" t="s">
        <v>1774</v>
      </c>
      <c r="F668" s="2" t="s">
        <v>1329</v>
      </c>
      <c r="G668" s="2" t="s">
        <v>1809</v>
      </c>
      <c r="H668" s="2" t="s">
        <v>847</v>
      </c>
    </row>
    <row r="669" ht="15.75" customHeight="1">
      <c r="A669" s="3" t="s">
        <v>1773</v>
      </c>
      <c r="B669" s="3" t="s">
        <v>589</v>
      </c>
      <c r="C669" s="3">
        <v>43.0</v>
      </c>
      <c r="D669" s="3">
        <v>43.0</v>
      </c>
      <c r="E669" s="3" t="s">
        <v>1774</v>
      </c>
      <c r="F669" s="3" t="s">
        <v>1331</v>
      </c>
      <c r="G669" s="3" t="s">
        <v>1810</v>
      </c>
      <c r="H669" s="3" t="s">
        <v>847</v>
      </c>
    </row>
    <row r="670" ht="15.75" customHeight="1">
      <c r="A670" s="2" t="s">
        <v>1773</v>
      </c>
      <c r="B670" s="2" t="s">
        <v>592</v>
      </c>
      <c r="C670" s="2">
        <v>44.0</v>
      </c>
      <c r="D670" s="2">
        <v>44.0</v>
      </c>
      <c r="E670" s="2" t="s">
        <v>1774</v>
      </c>
      <c r="F670" s="2" t="s">
        <v>1333</v>
      </c>
      <c r="G670" s="2" t="s">
        <v>1811</v>
      </c>
      <c r="H670" s="2" t="s">
        <v>847</v>
      </c>
    </row>
    <row r="671" ht="15.75" customHeight="1">
      <c r="A671" s="3" t="s">
        <v>1773</v>
      </c>
      <c r="B671" s="3" t="s">
        <v>595</v>
      </c>
      <c r="C671" s="3">
        <v>45.0</v>
      </c>
      <c r="D671" s="3">
        <v>45.0</v>
      </c>
      <c r="E671" s="3" t="s">
        <v>1774</v>
      </c>
      <c r="F671" s="3" t="s">
        <v>1367</v>
      </c>
      <c r="G671" s="3" t="s">
        <v>1812</v>
      </c>
      <c r="H671" s="3" t="s">
        <v>837</v>
      </c>
    </row>
    <row r="672" ht="15.75" customHeight="1">
      <c r="A672" s="2" t="s">
        <v>1773</v>
      </c>
      <c r="B672" s="2" t="s">
        <v>602</v>
      </c>
      <c r="C672" s="2">
        <v>46.0</v>
      </c>
      <c r="D672" s="2">
        <v>46.0</v>
      </c>
      <c r="E672" s="2" t="s">
        <v>1774</v>
      </c>
      <c r="F672" s="2"/>
      <c r="G672" s="2"/>
      <c r="H672" s="2" t="s">
        <v>860</v>
      </c>
    </row>
    <row r="673" ht="15.75" customHeight="1">
      <c r="A673" s="3" t="s">
        <v>1773</v>
      </c>
      <c r="B673" s="3" t="s">
        <v>611</v>
      </c>
      <c r="C673" s="3">
        <v>47.0</v>
      </c>
      <c r="D673" s="3">
        <v>47.0</v>
      </c>
      <c r="E673" s="3" t="s">
        <v>1774</v>
      </c>
      <c r="F673" s="3"/>
      <c r="G673" s="3" t="s">
        <v>1149</v>
      </c>
      <c r="H673" s="3" t="s">
        <v>1286</v>
      </c>
    </row>
    <row r="674" ht="15.75" customHeight="1">
      <c r="A674" s="2" t="s">
        <v>1773</v>
      </c>
      <c r="B674" s="2" t="s">
        <v>606</v>
      </c>
      <c r="C674" s="2">
        <v>48.0</v>
      </c>
      <c r="D674" s="2">
        <v>48.0</v>
      </c>
      <c r="E674" s="2" t="s">
        <v>1774</v>
      </c>
      <c r="F674" s="2" t="s">
        <v>1369</v>
      </c>
      <c r="G674" s="2" t="s">
        <v>1814</v>
      </c>
      <c r="H674" s="2" t="s">
        <v>885</v>
      </c>
    </row>
    <row r="675" ht="15.75" customHeight="1">
      <c r="A675" s="3" t="s">
        <v>1773</v>
      </c>
      <c r="B675" s="3" t="s">
        <v>617</v>
      </c>
      <c r="C675" s="3">
        <v>49.0</v>
      </c>
      <c r="D675" s="3">
        <v>49.0</v>
      </c>
      <c r="E675" s="3" t="s">
        <v>1774</v>
      </c>
      <c r="F675" s="3" t="s">
        <v>1374</v>
      </c>
      <c r="G675" s="3" t="s">
        <v>1815</v>
      </c>
      <c r="H675" s="3" t="s">
        <v>837</v>
      </c>
    </row>
    <row r="676" ht="15.75" customHeight="1">
      <c r="A676" s="2" t="s">
        <v>1773</v>
      </c>
      <c r="B676" s="2" t="s">
        <v>623</v>
      </c>
      <c r="C676" s="2">
        <v>50.0</v>
      </c>
      <c r="D676" s="2">
        <v>50.0</v>
      </c>
      <c r="E676" s="2" t="s">
        <v>1774</v>
      </c>
      <c r="F676" s="2" t="s">
        <v>876</v>
      </c>
      <c r="G676" s="2" t="s">
        <v>1816</v>
      </c>
      <c r="H676" s="2" t="s">
        <v>837</v>
      </c>
    </row>
    <row r="677" ht="15.75" customHeight="1">
      <c r="A677" s="3" t="s">
        <v>1773</v>
      </c>
      <c r="B677" s="3" t="s">
        <v>934</v>
      </c>
      <c r="C677" s="3">
        <v>51.0</v>
      </c>
      <c r="D677" s="3">
        <v>51.0</v>
      </c>
      <c r="E677" s="3" t="s">
        <v>1774</v>
      </c>
      <c r="F677" s="3" t="s">
        <v>876</v>
      </c>
      <c r="G677" s="3" t="s">
        <v>1155</v>
      </c>
      <c r="H677" s="3" t="s">
        <v>919</v>
      </c>
    </row>
    <row r="678" ht="15.75" customHeight="1">
      <c r="A678" s="2" t="s">
        <v>1773</v>
      </c>
      <c r="B678" s="2" t="s">
        <v>632</v>
      </c>
      <c r="C678" s="2">
        <v>52.0</v>
      </c>
      <c r="D678" s="2">
        <v>52.0</v>
      </c>
      <c r="E678" s="2" t="s">
        <v>1774</v>
      </c>
      <c r="F678" s="2" t="s">
        <v>973</v>
      </c>
      <c r="G678" s="2" t="s">
        <v>1817</v>
      </c>
      <c r="H678" s="2" t="s">
        <v>847</v>
      </c>
    </row>
    <row r="679" ht="15.75" customHeight="1">
      <c r="A679" s="3" t="s">
        <v>1773</v>
      </c>
      <c r="B679" s="3" t="s">
        <v>634</v>
      </c>
      <c r="C679" s="3">
        <v>53.0</v>
      </c>
      <c r="D679" s="3">
        <v>53.0</v>
      </c>
      <c r="E679" s="3" t="s">
        <v>1774</v>
      </c>
      <c r="F679" s="3" t="s">
        <v>974</v>
      </c>
      <c r="G679" s="3" t="s">
        <v>1818</v>
      </c>
      <c r="H679" s="3" t="s">
        <v>847</v>
      </c>
    </row>
    <row r="680" ht="15.75" customHeight="1">
      <c r="A680" s="2" t="s">
        <v>1773</v>
      </c>
      <c r="B680" s="2" t="s">
        <v>637</v>
      </c>
      <c r="C680" s="2">
        <v>54.0</v>
      </c>
      <c r="D680" s="2">
        <v>54.0</v>
      </c>
      <c r="E680" s="2" t="s">
        <v>1774</v>
      </c>
      <c r="F680" s="2" t="s">
        <v>1327</v>
      </c>
      <c r="G680" s="2" t="s">
        <v>1785</v>
      </c>
      <c r="H680" s="2" t="s">
        <v>847</v>
      </c>
    </row>
    <row r="681" ht="15.75" customHeight="1">
      <c r="A681" s="3" t="s">
        <v>1773</v>
      </c>
      <c r="B681" s="3" t="s">
        <v>640</v>
      </c>
      <c r="C681" s="3">
        <v>55.0</v>
      </c>
      <c r="D681" s="3">
        <v>55.0</v>
      </c>
      <c r="E681" s="3" t="s">
        <v>1774</v>
      </c>
      <c r="F681" s="3" t="s">
        <v>1329</v>
      </c>
      <c r="G681" s="3" t="s">
        <v>1819</v>
      </c>
      <c r="H681" s="3" t="s">
        <v>860</v>
      </c>
    </row>
    <row r="682" ht="15.75" customHeight="1">
      <c r="A682" s="2" t="s">
        <v>1773</v>
      </c>
      <c r="B682" s="2" t="s">
        <v>648</v>
      </c>
      <c r="C682" s="2">
        <v>56.0</v>
      </c>
      <c r="D682" s="2">
        <v>56.0</v>
      </c>
      <c r="E682" s="2" t="s">
        <v>1774</v>
      </c>
      <c r="F682" s="2" t="s">
        <v>1331</v>
      </c>
      <c r="G682" s="2" t="s">
        <v>846</v>
      </c>
      <c r="H682" s="2" t="s">
        <v>860</v>
      </c>
    </row>
    <row r="683" ht="15.75" customHeight="1">
      <c r="A683" s="3" t="s">
        <v>1773</v>
      </c>
      <c r="B683" s="3" t="s">
        <v>653</v>
      </c>
      <c r="C683" s="3">
        <v>57.0</v>
      </c>
      <c r="D683" s="3">
        <v>57.0</v>
      </c>
      <c r="E683" s="3" t="s">
        <v>1774</v>
      </c>
      <c r="F683" s="3" t="s">
        <v>1333</v>
      </c>
      <c r="G683" s="3" t="s">
        <v>849</v>
      </c>
      <c r="H683" s="3" t="s">
        <v>860</v>
      </c>
    </row>
    <row r="684" ht="15.75" customHeight="1">
      <c r="A684" s="2" t="s">
        <v>1773</v>
      </c>
      <c r="B684" s="2" t="s">
        <v>658</v>
      </c>
      <c r="C684" s="2">
        <v>58.0</v>
      </c>
      <c r="D684" s="2">
        <v>58.0</v>
      </c>
      <c r="E684" s="2" t="s">
        <v>1774</v>
      </c>
      <c r="F684" s="2" t="s">
        <v>983</v>
      </c>
      <c r="G684" s="2" t="s">
        <v>1820</v>
      </c>
      <c r="H684" s="2" t="s">
        <v>837</v>
      </c>
    </row>
    <row r="685" ht="15.75" customHeight="1">
      <c r="A685" s="3" t="s">
        <v>1773</v>
      </c>
      <c r="B685" s="3" t="s">
        <v>668</v>
      </c>
      <c r="C685" s="3">
        <v>59.0</v>
      </c>
      <c r="D685" s="3">
        <v>59.0</v>
      </c>
      <c r="E685" s="3" t="s">
        <v>1774</v>
      </c>
      <c r="F685" s="3" t="s">
        <v>1802</v>
      </c>
      <c r="G685" s="3" t="s">
        <v>1822</v>
      </c>
      <c r="H685" s="3" t="s">
        <v>837</v>
      </c>
    </row>
    <row r="686" ht="15.75" customHeight="1">
      <c r="A686" s="2" t="s">
        <v>1773</v>
      </c>
      <c r="B686" s="2" t="s">
        <v>663</v>
      </c>
      <c r="C686" s="2">
        <v>60.0</v>
      </c>
      <c r="D686" s="2">
        <v>60.0</v>
      </c>
      <c r="E686" s="2" t="s">
        <v>1774</v>
      </c>
      <c r="F686" s="2" t="s">
        <v>1804</v>
      </c>
      <c r="G686" s="2" t="s">
        <v>1823</v>
      </c>
      <c r="H686" s="2" t="s">
        <v>837</v>
      </c>
    </row>
    <row r="687" ht="15.75" customHeight="1">
      <c r="A687" s="3" t="s">
        <v>1773</v>
      </c>
      <c r="B687" s="3" t="s">
        <v>673</v>
      </c>
      <c r="C687" s="3">
        <v>61.0</v>
      </c>
      <c r="D687" s="3">
        <v>61.0</v>
      </c>
      <c r="E687" s="3" t="s">
        <v>1774</v>
      </c>
      <c r="F687" s="3" t="s">
        <v>1806</v>
      </c>
      <c r="G687" s="3" t="s">
        <v>1824</v>
      </c>
      <c r="H687" s="3" t="s">
        <v>837</v>
      </c>
    </row>
    <row r="688" ht="15.75" customHeight="1">
      <c r="A688" s="2" t="s">
        <v>1773</v>
      </c>
      <c r="B688" s="2" t="s">
        <v>678</v>
      </c>
      <c r="C688" s="2">
        <v>62.0</v>
      </c>
      <c r="D688" s="2">
        <v>62.0</v>
      </c>
      <c r="E688" s="2" t="s">
        <v>1774</v>
      </c>
      <c r="F688" s="2" t="s">
        <v>1825</v>
      </c>
      <c r="G688" s="2" t="s">
        <v>1826</v>
      </c>
      <c r="H688" s="2" t="s">
        <v>837</v>
      </c>
    </row>
    <row r="689" ht="15.75" customHeight="1">
      <c r="A689" s="3" t="s">
        <v>1773</v>
      </c>
      <c r="B689" s="3" t="s">
        <v>683</v>
      </c>
      <c r="C689" s="3">
        <v>63.0</v>
      </c>
      <c r="D689" s="3">
        <v>63.0</v>
      </c>
      <c r="E689" s="3" t="s">
        <v>1774</v>
      </c>
      <c r="F689" s="3" t="s">
        <v>1827</v>
      </c>
      <c r="G689" s="3" t="s">
        <v>1828</v>
      </c>
      <c r="H689" s="3" t="s">
        <v>837</v>
      </c>
    </row>
    <row r="690" ht="15.75" customHeight="1">
      <c r="A690" s="2" t="s">
        <v>1773</v>
      </c>
      <c r="B690" s="2" t="s">
        <v>691</v>
      </c>
      <c r="C690" s="2">
        <v>64.0</v>
      </c>
      <c r="D690" s="2">
        <v>64.0</v>
      </c>
      <c r="E690" s="2" t="s">
        <v>1774</v>
      </c>
      <c r="F690" s="2" t="s">
        <v>1829</v>
      </c>
      <c r="G690" s="2" t="s">
        <v>1335</v>
      </c>
      <c r="H690" s="2" t="s">
        <v>837</v>
      </c>
    </row>
    <row r="691" ht="15.75" customHeight="1">
      <c r="A691" s="3" t="s">
        <v>1773</v>
      </c>
      <c r="B691" s="3" t="s">
        <v>698</v>
      </c>
      <c r="C691" s="3">
        <v>65.0</v>
      </c>
      <c r="D691" s="3">
        <v>65.0</v>
      </c>
      <c r="E691" s="3" t="s">
        <v>1774</v>
      </c>
      <c r="F691" s="3" t="s">
        <v>983</v>
      </c>
      <c r="G691" s="3" t="s">
        <v>1830</v>
      </c>
      <c r="H691" s="3" t="s">
        <v>837</v>
      </c>
    </row>
    <row r="692" ht="15.75" customHeight="1">
      <c r="A692" s="2" t="s">
        <v>1773</v>
      </c>
      <c r="B692" s="2" t="s">
        <v>707</v>
      </c>
      <c r="C692" s="2">
        <v>66.0</v>
      </c>
      <c r="D692" s="2">
        <v>66.0</v>
      </c>
      <c r="E692" s="2" t="s">
        <v>1774</v>
      </c>
      <c r="F692" s="2" t="s">
        <v>991</v>
      </c>
      <c r="G692" s="2" t="s">
        <v>1831</v>
      </c>
      <c r="H692" s="2" t="s">
        <v>837</v>
      </c>
    </row>
    <row r="693" ht="15.75" customHeight="1">
      <c r="A693" s="3" t="s">
        <v>1773</v>
      </c>
      <c r="B693" s="3" t="s">
        <v>714</v>
      </c>
      <c r="C693" s="3">
        <v>67.0</v>
      </c>
      <c r="D693" s="3">
        <v>67.0</v>
      </c>
      <c r="E693" s="3" t="s">
        <v>1774</v>
      </c>
      <c r="F693" s="3" t="s">
        <v>991</v>
      </c>
      <c r="G693" s="3" t="s">
        <v>1833</v>
      </c>
      <c r="H693" s="3" t="s">
        <v>837</v>
      </c>
    </row>
    <row r="694" ht="15.75" customHeight="1">
      <c r="A694" s="2" t="s">
        <v>1773</v>
      </c>
      <c r="B694" s="2" t="s">
        <v>721</v>
      </c>
      <c r="C694" s="2">
        <v>68.0</v>
      </c>
      <c r="D694" s="2">
        <v>68.0</v>
      </c>
      <c r="E694" s="2" t="s">
        <v>1774</v>
      </c>
      <c r="F694" s="2" t="s">
        <v>1153</v>
      </c>
      <c r="G694" s="2" t="s">
        <v>1834</v>
      </c>
      <c r="H694" s="2" t="s">
        <v>837</v>
      </c>
    </row>
    <row r="695" ht="15.75" customHeight="1">
      <c r="A695" s="3" t="s">
        <v>1773</v>
      </c>
      <c r="B695" s="3" t="s">
        <v>943</v>
      </c>
      <c r="C695" s="3">
        <v>69.0</v>
      </c>
      <c r="D695" s="3">
        <v>69.0</v>
      </c>
      <c r="E695" s="3" t="s">
        <v>1774</v>
      </c>
      <c r="F695" s="3" t="s">
        <v>1835</v>
      </c>
      <c r="G695" s="3" t="s">
        <v>1836</v>
      </c>
      <c r="H695" s="3" t="s">
        <v>837</v>
      </c>
    </row>
    <row r="696" ht="15.75" customHeight="1">
      <c r="A696" s="2" t="s">
        <v>1773</v>
      </c>
      <c r="B696" s="2" t="s">
        <v>730</v>
      </c>
      <c r="C696" s="2">
        <v>70.0</v>
      </c>
      <c r="D696" s="2">
        <v>70.0</v>
      </c>
      <c r="E696" s="2" t="s">
        <v>1774</v>
      </c>
      <c r="F696" s="2" t="s">
        <v>1158</v>
      </c>
      <c r="G696" s="2" t="s">
        <v>1192</v>
      </c>
      <c r="H696" s="2" t="s">
        <v>919</v>
      </c>
    </row>
    <row r="697" ht="15.75" customHeight="1">
      <c r="A697" s="3" t="s">
        <v>1773</v>
      </c>
      <c r="B697" s="3" t="s">
        <v>732</v>
      </c>
      <c r="C697" s="3">
        <v>71.0</v>
      </c>
      <c r="D697" s="3">
        <v>71.0</v>
      </c>
      <c r="E697" s="3" t="s">
        <v>1774</v>
      </c>
      <c r="F697" s="3" t="s">
        <v>1158</v>
      </c>
      <c r="G697" s="3" t="s">
        <v>1194</v>
      </c>
      <c r="H697" s="3" t="s">
        <v>919</v>
      </c>
    </row>
    <row r="698" ht="15.75" customHeight="1">
      <c r="A698" s="2" t="s">
        <v>1773</v>
      </c>
      <c r="B698" s="2" t="s">
        <v>735</v>
      </c>
      <c r="C698" s="2">
        <v>72.0</v>
      </c>
      <c r="D698" s="2">
        <v>72.0</v>
      </c>
      <c r="E698" s="2" t="s">
        <v>1774</v>
      </c>
      <c r="F698" s="2" t="s">
        <v>1168</v>
      </c>
      <c r="G698" s="2" t="s">
        <v>1838</v>
      </c>
      <c r="H698" s="2" t="s">
        <v>837</v>
      </c>
    </row>
    <row r="699" ht="15.75" customHeight="1">
      <c r="A699" s="3" t="s">
        <v>1773</v>
      </c>
      <c r="B699" s="3" t="s">
        <v>739</v>
      </c>
      <c r="C699" s="3">
        <v>73.0</v>
      </c>
      <c r="D699" s="3">
        <v>73.0</v>
      </c>
      <c r="E699" s="3" t="s">
        <v>1774</v>
      </c>
      <c r="F699" s="3" t="s">
        <v>1168</v>
      </c>
      <c r="G699" s="3" t="s">
        <v>1199</v>
      </c>
      <c r="H699" s="3" t="s">
        <v>919</v>
      </c>
    </row>
    <row r="700" ht="15.75" customHeight="1">
      <c r="A700" s="2" t="s">
        <v>1773</v>
      </c>
      <c r="B700" s="2" t="s">
        <v>741</v>
      </c>
      <c r="C700" s="2">
        <v>74.0</v>
      </c>
      <c r="D700" s="2">
        <v>74.0</v>
      </c>
      <c r="E700" s="2" t="s">
        <v>1774</v>
      </c>
      <c r="F700" s="2" t="s">
        <v>1168</v>
      </c>
      <c r="G700" s="2" t="s">
        <v>1201</v>
      </c>
      <c r="H700" s="2" t="s">
        <v>919</v>
      </c>
    </row>
    <row r="701" ht="15.75" customHeight="1">
      <c r="A701" s="3" t="s">
        <v>1773</v>
      </c>
      <c r="B701" s="3" t="s">
        <v>744</v>
      </c>
      <c r="C701" s="3">
        <v>75.0</v>
      </c>
      <c r="D701" s="3">
        <v>75.0</v>
      </c>
      <c r="E701" s="3" t="s">
        <v>1774</v>
      </c>
      <c r="F701" s="3" t="s">
        <v>1182</v>
      </c>
      <c r="G701" s="3" t="s">
        <v>1839</v>
      </c>
      <c r="H701" s="3" t="s">
        <v>837</v>
      </c>
    </row>
    <row r="702" ht="15.75" customHeight="1">
      <c r="A702" s="2" t="s">
        <v>1773</v>
      </c>
      <c r="B702" s="2" t="s">
        <v>749</v>
      </c>
      <c r="C702" s="2">
        <v>76.0</v>
      </c>
      <c r="D702" s="2">
        <v>76.0</v>
      </c>
      <c r="E702" s="2" t="s">
        <v>1774</v>
      </c>
      <c r="F702" s="2" t="s">
        <v>1186</v>
      </c>
      <c r="G702" s="2" t="s">
        <v>1841</v>
      </c>
      <c r="H702" s="2" t="s">
        <v>837</v>
      </c>
    </row>
    <row r="703" ht="15.75" customHeight="1">
      <c r="A703" s="3" t="s">
        <v>1773</v>
      </c>
      <c r="B703" s="3" t="s">
        <v>962</v>
      </c>
      <c r="C703" s="3">
        <v>77.0</v>
      </c>
      <c r="D703" s="3">
        <v>77.0</v>
      </c>
      <c r="E703" s="3" t="s">
        <v>1774</v>
      </c>
      <c r="F703" s="3" t="s">
        <v>973</v>
      </c>
      <c r="G703" s="3" t="s">
        <v>1842</v>
      </c>
      <c r="H703" s="3" t="s">
        <v>837</v>
      </c>
    </row>
    <row r="704" ht="15.75" customHeight="1">
      <c r="A704" s="2" t="s">
        <v>1773</v>
      </c>
      <c r="B704" s="2" t="s">
        <v>978</v>
      </c>
      <c r="C704" s="2">
        <v>78.0</v>
      </c>
      <c r="D704" s="2">
        <v>78.0</v>
      </c>
      <c r="E704" s="2" t="s">
        <v>1774</v>
      </c>
      <c r="F704" s="2" t="s">
        <v>974</v>
      </c>
      <c r="G704" s="2" t="s">
        <v>1843</v>
      </c>
      <c r="H704" s="2" t="s">
        <v>837</v>
      </c>
    </row>
    <row r="705" ht="15.75" customHeight="1">
      <c r="A705" s="3" t="s">
        <v>1773</v>
      </c>
      <c r="B705" s="3" t="s">
        <v>765</v>
      </c>
      <c r="C705" s="3">
        <v>79.0</v>
      </c>
      <c r="D705" s="3">
        <v>79.0</v>
      </c>
      <c r="E705" s="3" t="s">
        <v>1774</v>
      </c>
      <c r="F705" s="3" t="s">
        <v>1327</v>
      </c>
      <c r="G705" s="3" t="s">
        <v>1844</v>
      </c>
      <c r="H705" s="3" t="s">
        <v>837</v>
      </c>
    </row>
    <row r="706" ht="15.75" customHeight="1">
      <c r="A706" s="2" t="s">
        <v>1773</v>
      </c>
      <c r="B706" s="2" t="s">
        <v>769</v>
      </c>
      <c r="C706" s="2">
        <v>80.0</v>
      </c>
      <c r="D706" s="2">
        <v>80.0</v>
      </c>
      <c r="E706" s="2" t="s">
        <v>1774</v>
      </c>
      <c r="F706" s="2" t="s">
        <v>973</v>
      </c>
      <c r="G706" s="2" t="s">
        <v>1845</v>
      </c>
      <c r="H706" s="2" t="s">
        <v>919</v>
      </c>
    </row>
    <row r="707" ht="15.75" customHeight="1">
      <c r="A707" s="3" t="s">
        <v>1773</v>
      </c>
      <c r="B707" s="3" t="s">
        <v>998</v>
      </c>
      <c r="C707" s="3">
        <v>81.0</v>
      </c>
      <c r="D707" s="3">
        <v>81.0</v>
      </c>
      <c r="E707" s="3" t="s">
        <v>1774</v>
      </c>
      <c r="F707" s="3" t="s">
        <v>974</v>
      </c>
      <c r="G707" s="3" t="s">
        <v>1846</v>
      </c>
      <c r="H707" s="3" t="s">
        <v>919</v>
      </c>
    </row>
    <row r="708" ht="15.75" customHeight="1">
      <c r="A708" s="2" t="s">
        <v>1773</v>
      </c>
      <c r="B708" s="2" t="s">
        <v>1009</v>
      </c>
      <c r="C708" s="2">
        <v>82.0</v>
      </c>
      <c r="D708" s="2">
        <v>82.0</v>
      </c>
      <c r="E708" s="2" t="s">
        <v>1774</v>
      </c>
      <c r="F708" s="2" t="s">
        <v>1327</v>
      </c>
      <c r="G708" s="2" t="s">
        <v>1847</v>
      </c>
      <c r="H708" s="2" t="s">
        <v>885</v>
      </c>
    </row>
    <row r="709" ht="15.75" customHeight="1">
      <c r="A709" s="3" t="s">
        <v>1773</v>
      </c>
      <c r="B709" s="3" t="s">
        <v>1020</v>
      </c>
      <c r="C709" s="3">
        <v>83.0</v>
      </c>
      <c r="D709" s="3">
        <v>83.0</v>
      </c>
      <c r="E709" s="3" t="s">
        <v>1774</v>
      </c>
      <c r="F709" s="3"/>
      <c r="G709" s="3" t="s">
        <v>1848</v>
      </c>
      <c r="H709" s="3" t="s">
        <v>1286</v>
      </c>
    </row>
    <row r="710" ht="15.75" customHeight="1">
      <c r="A710" s="2" t="s">
        <v>1773</v>
      </c>
      <c r="B710" s="2" t="s">
        <v>792</v>
      </c>
      <c r="C710" s="2">
        <v>84.0</v>
      </c>
      <c r="D710" s="2">
        <v>84.0</v>
      </c>
      <c r="E710" s="2" t="s">
        <v>1774</v>
      </c>
      <c r="F710" s="2" t="s">
        <v>1202</v>
      </c>
      <c r="G710" s="2" t="s">
        <v>1849</v>
      </c>
      <c r="H710" s="2" t="s">
        <v>990</v>
      </c>
    </row>
    <row r="711" ht="15.75" customHeight="1">
      <c r="A711" s="3" t="s">
        <v>1773</v>
      </c>
      <c r="B711" s="3" t="s">
        <v>796</v>
      </c>
      <c r="C711" s="3">
        <v>85.0</v>
      </c>
      <c r="D711" s="3">
        <v>85.0</v>
      </c>
      <c r="E711" s="3" t="s">
        <v>1774</v>
      </c>
      <c r="F711" s="3" t="s">
        <v>973</v>
      </c>
      <c r="G711" s="3" t="s">
        <v>1850</v>
      </c>
      <c r="H711" s="3" t="s">
        <v>1052</v>
      </c>
    </row>
    <row r="712" ht="15.75" customHeight="1">
      <c r="A712" s="2" t="s">
        <v>1773</v>
      </c>
      <c r="B712" s="2" t="s">
        <v>800</v>
      </c>
      <c r="C712" s="2">
        <v>86.0</v>
      </c>
      <c r="D712" s="2">
        <v>86.0</v>
      </c>
      <c r="E712" s="2" t="s">
        <v>1774</v>
      </c>
      <c r="F712" s="2" t="s">
        <v>974</v>
      </c>
      <c r="G712" s="2" t="s">
        <v>1851</v>
      </c>
      <c r="H712" s="2" t="s">
        <v>1052</v>
      </c>
    </row>
    <row r="713" ht="15.75" customHeight="1">
      <c r="A713" s="3" t="s">
        <v>1773</v>
      </c>
      <c r="B713" s="3" t="s">
        <v>801</v>
      </c>
      <c r="C713" s="3">
        <v>87.0</v>
      </c>
      <c r="D713" s="3">
        <v>87.0</v>
      </c>
      <c r="E713" s="3" t="s">
        <v>1774</v>
      </c>
      <c r="F713" s="3" t="s">
        <v>1327</v>
      </c>
      <c r="G713" s="3" t="s">
        <v>1852</v>
      </c>
      <c r="H713" s="3" t="s">
        <v>1052</v>
      </c>
    </row>
    <row r="714" ht="15.75" customHeight="1">
      <c r="A714" s="2" t="s">
        <v>1773</v>
      </c>
      <c r="B714" s="2" t="s">
        <v>803</v>
      </c>
      <c r="C714" s="2">
        <v>88.0</v>
      </c>
      <c r="D714" s="2">
        <v>88.0</v>
      </c>
      <c r="E714" s="2" t="s">
        <v>1774</v>
      </c>
      <c r="F714" s="2" t="s">
        <v>1329</v>
      </c>
      <c r="G714" s="2" t="s">
        <v>1853</v>
      </c>
      <c r="H714" s="2" t="s">
        <v>1052</v>
      </c>
    </row>
    <row r="715" ht="15.75" customHeight="1">
      <c r="A715" s="3" t="s">
        <v>1773</v>
      </c>
      <c r="B715" s="3" t="s">
        <v>805</v>
      </c>
      <c r="C715" s="3">
        <v>89.0</v>
      </c>
      <c r="D715" s="3">
        <v>89.0</v>
      </c>
      <c r="E715" s="3" t="s">
        <v>1774</v>
      </c>
      <c r="F715" s="3" t="s">
        <v>1331</v>
      </c>
      <c r="G715" s="3" t="s">
        <v>1854</v>
      </c>
      <c r="H715" s="3" t="s">
        <v>1052</v>
      </c>
    </row>
    <row r="716" ht="15.75" customHeight="1">
      <c r="A716" s="2" t="s">
        <v>1773</v>
      </c>
      <c r="B716" s="2" t="s">
        <v>807</v>
      </c>
      <c r="C716" s="2">
        <v>90.0</v>
      </c>
      <c r="D716" s="2">
        <v>90.0</v>
      </c>
      <c r="E716" s="2" t="s">
        <v>1774</v>
      </c>
      <c r="F716" s="2" t="s">
        <v>1333</v>
      </c>
      <c r="G716" s="2" t="s">
        <v>1855</v>
      </c>
      <c r="H716" s="2" t="s">
        <v>1052</v>
      </c>
    </row>
    <row r="717" ht="15.75" customHeight="1">
      <c r="A717" s="3" t="s">
        <v>1773</v>
      </c>
      <c r="B717" s="3" t="s">
        <v>1031</v>
      </c>
      <c r="C717" s="3">
        <v>91.0</v>
      </c>
      <c r="D717" s="3">
        <v>91.0</v>
      </c>
      <c r="E717" s="3" t="s">
        <v>1774</v>
      </c>
      <c r="F717" s="3"/>
      <c r="G717" s="3" t="s">
        <v>1240</v>
      </c>
      <c r="H717" s="3" t="s">
        <v>1286</v>
      </c>
    </row>
    <row r="718" ht="15.75" customHeight="1">
      <c r="A718" s="2" t="s">
        <v>1773</v>
      </c>
      <c r="B718" s="2" t="s">
        <v>814</v>
      </c>
      <c r="C718" s="2">
        <v>92.0</v>
      </c>
      <c r="D718" s="2">
        <v>92.0</v>
      </c>
      <c r="E718" s="2" t="s">
        <v>1774</v>
      </c>
      <c r="F718" s="2" t="s">
        <v>973</v>
      </c>
      <c r="G718" s="2" t="s">
        <v>1856</v>
      </c>
      <c r="H718" s="2" t="s">
        <v>1052</v>
      </c>
    </row>
    <row r="719" ht="15.75" customHeight="1">
      <c r="A719" s="3" t="s">
        <v>1773</v>
      </c>
      <c r="B719" s="3" t="s">
        <v>828</v>
      </c>
      <c r="C719" s="3">
        <v>93.0</v>
      </c>
      <c r="D719" s="3">
        <v>93.0</v>
      </c>
      <c r="E719" s="3" t="s">
        <v>1774</v>
      </c>
      <c r="F719" s="3" t="s">
        <v>974</v>
      </c>
      <c r="G719" s="3" t="s">
        <v>1857</v>
      </c>
      <c r="H719" s="3" t="s">
        <v>1052</v>
      </c>
    </row>
    <row r="720" ht="15.75" customHeight="1">
      <c r="A720" s="2" t="s">
        <v>1773</v>
      </c>
      <c r="B720" s="2" t="s">
        <v>835</v>
      </c>
      <c r="C720" s="2">
        <v>94.0</v>
      </c>
      <c r="D720" s="2">
        <v>94.0</v>
      </c>
      <c r="E720" s="2" t="s">
        <v>1774</v>
      </c>
      <c r="F720" s="2" t="s">
        <v>1327</v>
      </c>
      <c r="G720" s="2" t="s">
        <v>1858</v>
      </c>
      <c r="H720" s="2" t="s">
        <v>1052</v>
      </c>
    </row>
    <row r="721" ht="15.75" customHeight="1">
      <c r="A721" s="3" t="s">
        <v>1773</v>
      </c>
      <c r="B721" s="3" t="s">
        <v>1037</v>
      </c>
      <c r="C721" s="3">
        <v>95.0</v>
      </c>
      <c r="D721" s="3">
        <v>95.0</v>
      </c>
      <c r="E721" s="3" t="s">
        <v>1774</v>
      </c>
      <c r="F721" s="3" t="s">
        <v>1329</v>
      </c>
      <c r="G721" s="3" t="s">
        <v>1859</v>
      </c>
      <c r="H721" s="3" t="s">
        <v>1265</v>
      </c>
    </row>
    <row r="722" ht="15.75" customHeight="1">
      <c r="A722" s="2" t="s">
        <v>1773</v>
      </c>
      <c r="B722" s="2" t="s">
        <v>1042</v>
      </c>
      <c r="C722" s="2">
        <v>96.0</v>
      </c>
      <c r="D722" s="2">
        <v>96.0</v>
      </c>
      <c r="E722" s="2" t="s">
        <v>1774</v>
      </c>
      <c r="F722" s="2"/>
      <c r="G722" s="2" t="s">
        <v>1283</v>
      </c>
      <c r="H722" s="2" t="s">
        <v>1286</v>
      </c>
    </row>
    <row r="723" ht="15.75" customHeight="1">
      <c r="A723" s="3" t="s">
        <v>1773</v>
      </c>
      <c r="B723" s="3" t="s">
        <v>1048</v>
      </c>
      <c r="C723" s="3">
        <v>97.0</v>
      </c>
      <c r="D723" s="3">
        <v>97.0</v>
      </c>
      <c r="E723" s="3" t="s">
        <v>1774</v>
      </c>
      <c r="F723" s="3" t="s">
        <v>973</v>
      </c>
      <c r="G723" s="3" t="s">
        <v>1860</v>
      </c>
      <c r="H723" s="3" t="s">
        <v>1052</v>
      </c>
    </row>
    <row r="724" ht="15.75" customHeight="1">
      <c r="A724" s="2" t="s">
        <v>1773</v>
      </c>
      <c r="B724" s="2" t="s">
        <v>1058</v>
      </c>
      <c r="C724" s="2">
        <v>98.0</v>
      </c>
      <c r="D724" s="2">
        <v>98.0</v>
      </c>
      <c r="E724" s="2" t="s">
        <v>1774</v>
      </c>
      <c r="F724" s="2" t="s">
        <v>974</v>
      </c>
      <c r="G724" s="2" t="s">
        <v>1861</v>
      </c>
      <c r="H724" s="2" t="s">
        <v>1052</v>
      </c>
    </row>
    <row r="725" ht="15.75" customHeight="1">
      <c r="A725" s="3" t="s">
        <v>1773</v>
      </c>
      <c r="B725" s="3" t="s">
        <v>1063</v>
      </c>
      <c r="C725" s="3">
        <v>99.0</v>
      </c>
      <c r="D725" s="3">
        <v>99.0</v>
      </c>
      <c r="E725" s="3" t="s">
        <v>1774</v>
      </c>
      <c r="F725" s="3" t="s">
        <v>1327</v>
      </c>
      <c r="G725" s="3" t="s">
        <v>1862</v>
      </c>
      <c r="H725" s="3" t="s">
        <v>1052</v>
      </c>
    </row>
    <row r="726" ht="15.75" customHeight="1">
      <c r="A726" s="2" t="s">
        <v>1773</v>
      </c>
      <c r="B726" s="2" t="s">
        <v>1074</v>
      </c>
      <c r="C726" s="2">
        <v>100.0</v>
      </c>
      <c r="D726" s="2">
        <v>100.0</v>
      </c>
      <c r="E726" s="2" t="s">
        <v>1774</v>
      </c>
      <c r="F726" s="2" t="s">
        <v>1863</v>
      </c>
      <c r="G726" s="2" t="s">
        <v>1864</v>
      </c>
      <c r="H726" s="2" t="s">
        <v>837</v>
      </c>
    </row>
    <row r="727" ht="15.75" customHeight="1">
      <c r="A727" s="3" t="s">
        <v>1773</v>
      </c>
      <c r="B727" s="3" t="s">
        <v>1091</v>
      </c>
      <c r="C727" s="3">
        <v>101.0</v>
      </c>
      <c r="D727" s="3">
        <v>101.0</v>
      </c>
      <c r="E727" s="3" t="s">
        <v>1774</v>
      </c>
      <c r="F727" s="3" t="s">
        <v>1329</v>
      </c>
      <c r="G727" s="3" t="s">
        <v>1865</v>
      </c>
      <c r="H727" s="3" t="s">
        <v>919</v>
      </c>
    </row>
    <row r="728" ht="15.75" customHeight="1">
      <c r="A728" s="2" t="s">
        <v>1773</v>
      </c>
      <c r="B728" s="2" t="s">
        <v>1100</v>
      </c>
      <c r="C728" s="2">
        <v>102.0</v>
      </c>
      <c r="D728" s="2">
        <v>102.0</v>
      </c>
      <c r="E728" s="2" t="s">
        <v>1774</v>
      </c>
      <c r="F728" s="2"/>
      <c r="G728" s="2" t="s">
        <v>1295</v>
      </c>
      <c r="H728" s="2" t="s">
        <v>1286</v>
      </c>
    </row>
    <row r="729" ht="15.75" customHeight="1">
      <c r="A729" s="3" t="s">
        <v>1773</v>
      </c>
      <c r="B729" s="3" t="s">
        <v>1108</v>
      </c>
      <c r="C729" s="3">
        <v>103.0</v>
      </c>
      <c r="D729" s="3">
        <v>103.0</v>
      </c>
      <c r="E729" s="3" t="s">
        <v>1774</v>
      </c>
      <c r="F729" s="3" t="s">
        <v>973</v>
      </c>
      <c r="G729" s="3" t="s">
        <v>1866</v>
      </c>
      <c r="H729" s="3" t="s">
        <v>1265</v>
      </c>
    </row>
    <row r="730" ht="15.75" customHeight="1">
      <c r="A730" s="2" t="s">
        <v>1773</v>
      </c>
      <c r="B730" s="2" t="s">
        <v>963</v>
      </c>
      <c r="C730" s="2">
        <v>104.0</v>
      </c>
      <c r="D730" s="2">
        <v>104.0</v>
      </c>
      <c r="E730" s="2" t="s">
        <v>1774</v>
      </c>
      <c r="F730" s="2" t="s">
        <v>974</v>
      </c>
      <c r="G730" s="2" t="s">
        <v>1867</v>
      </c>
      <c r="H730" s="2" t="s">
        <v>1265</v>
      </c>
    </row>
    <row r="731" ht="15.75" customHeight="1">
      <c r="A731" s="3" t="s">
        <v>1773</v>
      </c>
      <c r="B731" s="3" t="s">
        <v>971</v>
      </c>
      <c r="C731" s="3">
        <v>105.0</v>
      </c>
      <c r="D731" s="3">
        <v>105.0</v>
      </c>
      <c r="E731" s="3" t="s">
        <v>1774</v>
      </c>
      <c r="F731" s="3" t="s">
        <v>1327</v>
      </c>
      <c r="G731" s="3" t="s">
        <v>1868</v>
      </c>
      <c r="H731" s="3" t="s">
        <v>1265</v>
      </c>
    </row>
    <row r="732" ht="15.75" customHeight="1">
      <c r="A732" s="2" t="s">
        <v>1773</v>
      </c>
      <c r="B732" s="2" t="s">
        <v>980</v>
      </c>
      <c r="C732" s="2">
        <v>106.0</v>
      </c>
      <c r="D732" s="2">
        <v>106.0</v>
      </c>
      <c r="E732" s="2" t="s">
        <v>1774</v>
      </c>
      <c r="F732" s="2" t="s">
        <v>1329</v>
      </c>
      <c r="G732" s="2" t="s">
        <v>1869</v>
      </c>
      <c r="H732" s="2" t="s">
        <v>1265</v>
      </c>
    </row>
    <row r="733" ht="15.75" customHeight="1">
      <c r="A733" s="3" t="s">
        <v>1773</v>
      </c>
      <c r="B733" s="3" t="s">
        <v>993</v>
      </c>
      <c r="C733" s="3">
        <v>107.0</v>
      </c>
      <c r="D733" s="3">
        <v>107.0</v>
      </c>
      <c r="E733" s="3" t="s">
        <v>1774</v>
      </c>
      <c r="F733" s="3" t="s">
        <v>1331</v>
      </c>
      <c r="G733" s="3" t="s">
        <v>1870</v>
      </c>
      <c r="H733" s="3" t="s">
        <v>1265</v>
      </c>
    </row>
    <row r="734" ht="15.75" customHeight="1">
      <c r="A734" s="2" t="s">
        <v>1773</v>
      </c>
      <c r="B734" s="2" t="s">
        <v>1005</v>
      </c>
      <c r="C734" s="2">
        <v>108.0</v>
      </c>
      <c r="D734" s="2">
        <v>108.0</v>
      </c>
      <c r="E734" s="2" t="s">
        <v>1774</v>
      </c>
      <c r="F734" s="2" t="s">
        <v>1333</v>
      </c>
      <c r="G734" s="2" t="s">
        <v>1871</v>
      </c>
      <c r="H734" s="2" t="s">
        <v>1265</v>
      </c>
    </row>
    <row r="735" ht="15.75" customHeight="1">
      <c r="A735" s="3" t="s">
        <v>1773</v>
      </c>
      <c r="B735" s="3" t="s">
        <v>1141</v>
      </c>
      <c r="C735" s="3">
        <v>109.0</v>
      </c>
      <c r="D735" s="3">
        <v>109.0</v>
      </c>
      <c r="E735" s="3" t="s">
        <v>1774</v>
      </c>
      <c r="F735" s="3" t="s">
        <v>1367</v>
      </c>
      <c r="G735" s="3" t="s">
        <v>1872</v>
      </c>
      <c r="H735" s="3" t="s">
        <v>1265</v>
      </c>
    </row>
    <row r="736" ht="15.75" customHeight="1">
      <c r="A736" s="2" t="s">
        <v>1773</v>
      </c>
      <c r="B736" s="2" t="s">
        <v>1300</v>
      </c>
      <c r="C736" s="2">
        <v>110.0</v>
      </c>
      <c r="D736" s="2">
        <v>110.0</v>
      </c>
      <c r="E736" s="2" t="s">
        <v>1774</v>
      </c>
      <c r="F736" s="2"/>
      <c r="G736" s="2" t="s">
        <v>1301</v>
      </c>
      <c r="H736" s="2" t="s">
        <v>837</v>
      </c>
    </row>
    <row r="737" ht="15.75" customHeight="1">
      <c r="A737" s="3" t="s">
        <v>1773</v>
      </c>
      <c r="B737" s="3" t="s">
        <v>1302</v>
      </c>
      <c r="C737" s="3">
        <v>111.0</v>
      </c>
      <c r="D737" s="3">
        <v>111.0</v>
      </c>
      <c r="E737" s="3" t="s">
        <v>1774</v>
      </c>
      <c r="F737" s="3"/>
      <c r="G737" s="3" t="s">
        <v>1303</v>
      </c>
      <c r="H737" s="3" t="s">
        <v>1304</v>
      </c>
    </row>
    <row r="738" ht="15.75" customHeight="1">
      <c r="A738" s="2" t="s">
        <v>1773</v>
      </c>
      <c r="B738" s="2" t="s">
        <v>1769</v>
      </c>
      <c r="C738" s="2">
        <v>112.0</v>
      </c>
      <c r="D738" s="2">
        <v>112.0</v>
      </c>
      <c r="E738" s="2" t="s">
        <v>1774</v>
      </c>
      <c r="F738" s="2"/>
      <c r="G738" s="2" t="s">
        <v>1770</v>
      </c>
      <c r="H738" s="2" t="s">
        <v>885</v>
      </c>
    </row>
    <row r="739" ht="15.75" customHeight="1">
      <c r="A739" s="3" t="s">
        <v>1773</v>
      </c>
      <c r="B739" s="3" t="s">
        <v>696</v>
      </c>
      <c r="C739" s="3">
        <v>113.0</v>
      </c>
      <c r="D739" s="3">
        <v>113.0</v>
      </c>
      <c r="E739" s="3" t="s">
        <v>1774</v>
      </c>
      <c r="F739" s="3"/>
      <c r="G739" s="3" t="s">
        <v>1033</v>
      </c>
      <c r="H739" s="3" t="s">
        <v>847</v>
      </c>
    </row>
    <row r="740" ht="15.75" customHeight="1">
      <c r="A740" s="2" t="s">
        <v>1773</v>
      </c>
      <c r="B740" s="2" t="s">
        <v>83</v>
      </c>
      <c r="C740" s="2">
        <v>114.0</v>
      </c>
      <c r="D740" s="2">
        <v>114.0</v>
      </c>
      <c r="E740" s="2" t="s">
        <v>1774</v>
      </c>
      <c r="F740" s="2"/>
      <c r="G740" s="2" t="s">
        <v>1034</v>
      </c>
      <c r="H740" s="2" t="s">
        <v>837</v>
      </c>
    </row>
    <row r="741" ht="15.75" customHeight="1">
      <c r="A741" s="3" t="s">
        <v>1773</v>
      </c>
      <c r="B741" s="3" t="s">
        <v>89</v>
      </c>
      <c r="C741" s="3">
        <v>115.0</v>
      </c>
      <c r="D741" s="3">
        <v>115.0</v>
      </c>
      <c r="E741" s="3" t="s">
        <v>1774</v>
      </c>
      <c r="F741" s="3"/>
      <c r="G741" s="3" t="s">
        <v>846</v>
      </c>
      <c r="H741" s="3" t="s">
        <v>860</v>
      </c>
    </row>
    <row r="742" ht="15.75" customHeight="1">
      <c r="A742" s="2" t="s">
        <v>1773</v>
      </c>
      <c r="B742" s="2" t="s">
        <v>95</v>
      </c>
      <c r="C742" s="2">
        <v>116.0</v>
      </c>
      <c r="D742" s="2">
        <v>116.0</v>
      </c>
      <c r="E742" s="2" t="s">
        <v>1774</v>
      </c>
      <c r="F742" s="2"/>
      <c r="G742" s="2" t="s">
        <v>849</v>
      </c>
      <c r="H742" s="2" t="s">
        <v>860</v>
      </c>
    </row>
    <row r="743" ht="15.75" customHeight="1">
      <c r="A743" s="3" t="s">
        <v>1773</v>
      </c>
      <c r="B743" s="3" t="s">
        <v>118</v>
      </c>
      <c r="C743" s="3">
        <v>117.0</v>
      </c>
      <c r="D743" s="3">
        <v>117.0</v>
      </c>
      <c r="E743" s="3" t="s">
        <v>1774</v>
      </c>
      <c r="F743" s="3"/>
      <c r="G743" s="3" t="s">
        <v>1045</v>
      </c>
      <c r="H743" s="3" t="s">
        <v>919</v>
      </c>
    </row>
    <row r="744" ht="15.75" customHeight="1">
      <c r="A744" s="2" t="s">
        <v>1773</v>
      </c>
      <c r="B744" s="2" t="s">
        <v>688</v>
      </c>
      <c r="C744" s="2">
        <v>118.0</v>
      </c>
      <c r="D744" s="2">
        <v>118.0</v>
      </c>
      <c r="E744" s="2" t="s">
        <v>1774</v>
      </c>
      <c r="F744" s="2"/>
      <c r="G744" s="2" t="s">
        <v>1047</v>
      </c>
      <c r="H744" s="2" t="s">
        <v>860</v>
      </c>
    </row>
    <row r="745" ht="15.75" customHeight="1">
      <c r="A745" s="3" t="s">
        <v>1773</v>
      </c>
      <c r="B745" s="3" t="s">
        <v>703</v>
      </c>
      <c r="C745" s="3">
        <v>119.0</v>
      </c>
      <c r="D745" s="3">
        <v>119.0</v>
      </c>
      <c r="E745" s="3" t="s">
        <v>1774</v>
      </c>
      <c r="F745" s="3"/>
      <c r="G745" s="3" t="s">
        <v>1873</v>
      </c>
      <c r="H745" s="3" t="s">
        <v>1052</v>
      </c>
    </row>
    <row r="746" ht="15.75" customHeight="1">
      <c r="A746" s="2" t="s">
        <v>1773</v>
      </c>
      <c r="B746" s="2" t="s">
        <v>708</v>
      </c>
      <c r="C746" s="2">
        <v>120.0</v>
      </c>
      <c r="D746" s="2">
        <v>120.0</v>
      </c>
      <c r="E746" s="2" t="s">
        <v>1774</v>
      </c>
      <c r="F746" s="2"/>
      <c r="G746" s="2" t="s">
        <v>1874</v>
      </c>
      <c r="H746" s="2" t="s">
        <v>1052</v>
      </c>
    </row>
    <row r="747" ht="15.75" customHeight="1">
      <c r="A747" s="3" t="s">
        <v>1773</v>
      </c>
      <c r="B747" s="3" t="s">
        <v>128</v>
      </c>
      <c r="C747" s="3">
        <v>121.0</v>
      </c>
      <c r="D747" s="3">
        <v>121.0</v>
      </c>
      <c r="E747" s="3" t="s">
        <v>1774</v>
      </c>
      <c r="F747" s="3"/>
      <c r="G747" s="3" t="s">
        <v>1875</v>
      </c>
      <c r="H747" s="3" t="s">
        <v>1052</v>
      </c>
    </row>
    <row r="748" ht="15.75" customHeight="1">
      <c r="A748" s="2" t="s">
        <v>1773</v>
      </c>
      <c r="B748" s="2" t="s">
        <v>700</v>
      </c>
      <c r="C748" s="2">
        <v>122.0</v>
      </c>
      <c r="D748" s="2">
        <v>122.0</v>
      </c>
      <c r="E748" s="2" t="s">
        <v>1774</v>
      </c>
      <c r="F748" s="2"/>
      <c r="G748" s="2" t="s">
        <v>1060</v>
      </c>
      <c r="H748" s="2" t="s">
        <v>830</v>
      </c>
    </row>
    <row r="749" ht="15.75" customHeight="1">
      <c r="A749" s="3" t="s">
        <v>1773</v>
      </c>
      <c r="B749" s="3" t="s">
        <v>727</v>
      </c>
      <c r="C749" s="3">
        <v>123.0</v>
      </c>
      <c r="D749" s="3">
        <v>123.0</v>
      </c>
      <c r="E749" s="3" t="s">
        <v>1876</v>
      </c>
      <c r="F749" s="3"/>
      <c r="G749" s="3" t="s">
        <v>1060</v>
      </c>
      <c r="H749" s="3" t="s">
        <v>830</v>
      </c>
    </row>
    <row r="750" ht="15.75" customHeight="1">
      <c r="A750" s="2" t="s">
        <v>1773</v>
      </c>
      <c r="B750" s="2" t="s">
        <v>1195</v>
      </c>
      <c r="C750" s="2">
        <v>124.0</v>
      </c>
      <c r="D750" s="2">
        <v>124.0</v>
      </c>
      <c r="E750" s="2" t="s">
        <v>1877</v>
      </c>
      <c r="F750" s="2"/>
      <c r="G750" s="2" t="s">
        <v>1878</v>
      </c>
      <c r="H750" s="2" t="s">
        <v>847</v>
      </c>
    </row>
    <row r="751" ht="15.75" customHeight="1">
      <c r="A751" s="3" t="s">
        <v>1773</v>
      </c>
      <c r="B751" s="3" t="s">
        <v>1204</v>
      </c>
      <c r="C751" s="3">
        <v>125.0</v>
      </c>
      <c r="D751" s="3">
        <v>125.0</v>
      </c>
      <c r="E751" s="3" t="s">
        <v>1877</v>
      </c>
      <c r="F751" s="3"/>
      <c r="G751" s="3" t="s">
        <v>1472</v>
      </c>
      <c r="H751" s="3" t="s">
        <v>847</v>
      </c>
    </row>
    <row r="752" ht="15.75" customHeight="1">
      <c r="A752" s="2" t="s">
        <v>1773</v>
      </c>
      <c r="B752" s="2" t="s">
        <v>1219</v>
      </c>
      <c r="C752" s="2">
        <v>126.0</v>
      </c>
      <c r="D752" s="2">
        <v>126.0</v>
      </c>
      <c r="E752" s="2" t="s">
        <v>1877</v>
      </c>
      <c r="F752" s="2"/>
      <c r="G752" s="2" t="s">
        <v>1785</v>
      </c>
      <c r="H752" s="2" t="s">
        <v>847</v>
      </c>
    </row>
    <row r="753" ht="15.75" customHeight="1">
      <c r="A753" s="3" t="s">
        <v>1773</v>
      </c>
      <c r="B753" s="3" t="s">
        <v>1244</v>
      </c>
      <c r="C753" s="3">
        <v>127.0</v>
      </c>
      <c r="D753" s="3">
        <v>127.0</v>
      </c>
      <c r="E753" s="3" t="s">
        <v>1877</v>
      </c>
      <c r="F753" s="3"/>
      <c r="G753" s="3" t="s">
        <v>1879</v>
      </c>
      <c r="H753" s="3" t="s">
        <v>1880</v>
      </c>
    </row>
    <row r="754" ht="15.75" customHeight="1">
      <c r="A754" s="2" t="s">
        <v>1773</v>
      </c>
      <c r="B754" s="2" t="s">
        <v>1257</v>
      </c>
      <c r="C754" s="2">
        <v>128.0</v>
      </c>
      <c r="D754" s="2">
        <v>128.0</v>
      </c>
      <c r="E754" s="2" t="s">
        <v>1877</v>
      </c>
      <c r="F754" s="2"/>
      <c r="G754" s="2" t="s">
        <v>1611</v>
      </c>
      <c r="H754" s="2" t="s">
        <v>1881</v>
      </c>
    </row>
    <row r="755" ht="15.75" customHeight="1">
      <c r="A755" s="3" t="s">
        <v>1773</v>
      </c>
      <c r="B755" s="3" t="s">
        <v>334</v>
      </c>
      <c r="C755" s="3">
        <v>129.0</v>
      </c>
      <c r="D755" s="3">
        <v>129.0</v>
      </c>
      <c r="E755" s="3" t="s">
        <v>1882</v>
      </c>
      <c r="F755" s="3"/>
      <c r="G755" s="3" t="s">
        <v>827</v>
      </c>
      <c r="H755" s="3" t="s">
        <v>825</v>
      </c>
    </row>
    <row r="756" ht="15.75" customHeight="1">
      <c r="A756" s="2" t="s">
        <v>1773</v>
      </c>
      <c r="B756" s="2" t="s">
        <v>335</v>
      </c>
      <c r="C756" s="2">
        <v>130.0</v>
      </c>
      <c r="D756" s="2">
        <v>130.0</v>
      </c>
      <c r="E756" s="2" t="s">
        <v>1882</v>
      </c>
      <c r="F756" s="2"/>
      <c r="G756" s="2" t="s">
        <v>829</v>
      </c>
      <c r="H756" s="2" t="s">
        <v>830</v>
      </c>
    </row>
    <row r="757" ht="15.75" customHeight="1">
      <c r="A757" s="3" t="s">
        <v>1773</v>
      </c>
      <c r="B757" s="3" t="s">
        <v>336</v>
      </c>
      <c r="C757" s="3">
        <v>131.0</v>
      </c>
      <c r="D757" s="3">
        <v>131.0</v>
      </c>
      <c r="E757" s="3" t="s">
        <v>1882</v>
      </c>
      <c r="F757" s="3"/>
      <c r="G757" s="3" t="s">
        <v>1883</v>
      </c>
      <c r="H757" s="3" t="s">
        <v>825</v>
      </c>
    </row>
    <row r="758" ht="15.75" customHeight="1">
      <c r="A758" s="2" t="s">
        <v>1773</v>
      </c>
      <c r="B758" s="2" t="s">
        <v>337</v>
      </c>
      <c r="C758" s="2">
        <v>132.0</v>
      </c>
      <c r="D758" s="2">
        <v>132.0</v>
      </c>
      <c r="E758" s="2" t="s">
        <v>1882</v>
      </c>
      <c r="F758" s="2"/>
      <c r="G758" s="2" t="s">
        <v>832</v>
      </c>
      <c r="H758" s="2" t="s">
        <v>830</v>
      </c>
    </row>
    <row r="759" ht="15.75" customHeight="1">
      <c r="A759" s="3" t="s">
        <v>1773</v>
      </c>
      <c r="B759" s="3" t="s">
        <v>338</v>
      </c>
      <c r="C759" s="3">
        <v>133.0</v>
      </c>
      <c r="D759" s="3">
        <v>133.0</v>
      </c>
      <c r="E759" s="3" t="s">
        <v>1882</v>
      </c>
      <c r="F759" s="3"/>
      <c r="G759" s="3" t="s">
        <v>1884</v>
      </c>
      <c r="H759" s="3" t="s">
        <v>825</v>
      </c>
    </row>
    <row r="760" ht="15.75" customHeight="1">
      <c r="A760" s="2" t="s">
        <v>1773</v>
      </c>
      <c r="B760" s="2" t="s">
        <v>340</v>
      </c>
      <c r="C760" s="2">
        <v>134.0</v>
      </c>
      <c r="D760" s="2">
        <v>134.0</v>
      </c>
      <c r="E760" s="2" t="s">
        <v>1882</v>
      </c>
      <c r="F760" s="2"/>
      <c r="G760" s="2" t="s">
        <v>836</v>
      </c>
      <c r="H760" s="2" t="s">
        <v>837</v>
      </c>
    </row>
    <row r="761" ht="15.75" customHeight="1">
      <c r="A761" s="3" t="s">
        <v>1773</v>
      </c>
      <c r="B761" s="3" t="s">
        <v>342</v>
      </c>
      <c r="C761" s="3">
        <v>135.0</v>
      </c>
      <c r="D761" s="3">
        <v>135.0</v>
      </c>
      <c r="E761" s="3" t="s">
        <v>1882</v>
      </c>
      <c r="F761" s="3"/>
      <c r="G761" s="3" t="s">
        <v>838</v>
      </c>
      <c r="H761" s="3" t="s">
        <v>830</v>
      </c>
    </row>
    <row r="762" ht="15.75" customHeight="1">
      <c r="A762" s="2" t="s">
        <v>1773</v>
      </c>
      <c r="B762" s="2" t="s">
        <v>343</v>
      </c>
      <c r="C762" s="2">
        <v>136.0</v>
      </c>
      <c r="D762" s="2">
        <v>136.0</v>
      </c>
      <c r="E762" s="2" t="s">
        <v>1882</v>
      </c>
      <c r="F762" s="2"/>
      <c r="G762" s="2" t="s">
        <v>839</v>
      </c>
      <c r="H762" s="2" t="s">
        <v>825</v>
      </c>
    </row>
    <row r="763" ht="15.75" customHeight="1">
      <c r="A763" s="3" t="s">
        <v>1773</v>
      </c>
      <c r="B763" s="3" t="s">
        <v>345</v>
      </c>
      <c r="C763" s="3">
        <v>137.0</v>
      </c>
      <c r="D763" s="3">
        <v>137.0</v>
      </c>
      <c r="E763" s="3" t="s">
        <v>1882</v>
      </c>
      <c r="F763" s="3"/>
      <c r="G763" s="3" t="s">
        <v>840</v>
      </c>
      <c r="H763" s="3" t="s">
        <v>841</v>
      </c>
    </row>
    <row r="764" ht="15.75" customHeight="1">
      <c r="A764" s="2" t="s">
        <v>1773</v>
      </c>
      <c r="B764" s="2" t="s">
        <v>348</v>
      </c>
      <c r="C764" s="2">
        <v>138.0</v>
      </c>
      <c r="D764" s="2">
        <v>138.0</v>
      </c>
      <c r="E764" s="2" t="s">
        <v>1882</v>
      </c>
      <c r="F764" s="2"/>
      <c r="G764" s="2" t="s">
        <v>843</v>
      </c>
      <c r="H764" s="2" t="s">
        <v>830</v>
      </c>
    </row>
    <row r="765" ht="15.75" customHeight="1">
      <c r="A765" s="3" t="s">
        <v>1773</v>
      </c>
      <c r="B765" s="3" t="s">
        <v>731</v>
      </c>
      <c r="C765" s="3">
        <v>139.0</v>
      </c>
      <c r="D765" s="3">
        <v>139.0</v>
      </c>
      <c r="E765" s="3" t="s">
        <v>1882</v>
      </c>
      <c r="F765" s="3"/>
      <c r="G765" s="3" t="s">
        <v>1481</v>
      </c>
      <c r="H765" s="3" t="s">
        <v>1482</v>
      </c>
    </row>
    <row r="766" ht="15.75" customHeight="1">
      <c r="A766" s="2" t="s">
        <v>1773</v>
      </c>
      <c r="B766" s="2" t="s">
        <v>733</v>
      </c>
      <c r="C766" s="2">
        <v>140.0</v>
      </c>
      <c r="D766" s="2">
        <v>140.0</v>
      </c>
      <c r="E766" s="2" t="s">
        <v>1882</v>
      </c>
      <c r="F766" s="2"/>
      <c r="G766" s="2" t="s">
        <v>1483</v>
      </c>
      <c r="H766" s="2" t="s">
        <v>1482</v>
      </c>
    </row>
    <row r="767" ht="15.75" customHeight="1">
      <c r="A767" s="3" t="s">
        <v>1773</v>
      </c>
      <c r="B767" s="3" t="s">
        <v>736</v>
      </c>
      <c r="C767" s="3">
        <v>141.0</v>
      </c>
      <c r="D767" s="3">
        <v>141.0</v>
      </c>
      <c r="E767" s="3" t="s">
        <v>1882</v>
      </c>
      <c r="F767" s="3"/>
      <c r="G767" s="3" t="s">
        <v>1484</v>
      </c>
      <c r="H767" s="3" t="s">
        <v>830</v>
      </c>
    </row>
    <row r="768" ht="15.75" customHeight="1">
      <c r="A768" s="2" t="s">
        <v>1773</v>
      </c>
      <c r="B768" s="2" t="s">
        <v>1485</v>
      </c>
      <c r="C768" s="2">
        <v>142.0</v>
      </c>
      <c r="D768" s="2">
        <v>142.0</v>
      </c>
      <c r="E768" s="2" t="s">
        <v>1886</v>
      </c>
      <c r="F768" s="2"/>
      <c r="G768" s="2" t="s">
        <v>1487</v>
      </c>
      <c r="H768" s="2" t="s">
        <v>1286</v>
      </c>
    </row>
    <row r="769" ht="15.75" customHeight="1">
      <c r="A769" s="3" t="s">
        <v>1773</v>
      </c>
      <c r="B769" s="3" t="s">
        <v>738</v>
      </c>
      <c r="C769" s="3">
        <v>143.0</v>
      </c>
      <c r="D769" s="3">
        <v>143.0</v>
      </c>
      <c r="E769" s="3" t="s">
        <v>1886</v>
      </c>
      <c r="F769" s="3"/>
      <c r="G769" s="3" t="s">
        <v>1488</v>
      </c>
      <c r="H769" s="3" t="s">
        <v>830</v>
      </c>
    </row>
    <row r="770" ht="15.75" customHeight="1">
      <c r="A770" s="2" t="s">
        <v>1773</v>
      </c>
      <c r="B770" s="2" t="s">
        <v>1489</v>
      </c>
      <c r="C770" s="2">
        <v>144.0</v>
      </c>
      <c r="D770" s="2">
        <v>144.0</v>
      </c>
      <c r="E770" s="2" t="s">
        <v>1886</v>
      </c>
      <c r="F770" s="2"/>
      <c r="G770" s="2" t="s">
        <v>1487</v>
      </c>
      <c r="H770" s="2" t="s">
        <v>1286</v>
      </c>
    </row>
    <row r="771" ht="15.75" customHeight="1">
      <c r="A771" s="3" t="s">
        <v>1773</v>
      </c>
      <c r="B771" s="3" t="s">
        <v>740</v>
      </c>
      <c r="C771" s="3">
        <v>145.0</v>
      </c>
      <c r="D771" s="3">
        <v>145.0</v>
      </c>
      <c r="E771" s="3" t="s">
        <v>1886</v>
      </c>
      <c r="F771" s="3"/>
      <c r="G771" s="3" t="s">
        <v>1490</v>
      </c>
      <c r="H771" s="3" t="s">
        <v>830</v>
      </c>
    </row>
    <row r="772" ht="15.75" customHeight="1">
      <c r="A772" s="2" t="s">
        <v>1773</v>
      </c>
      <c r="B772" s="2" t="s">
        <v>1491</v>
      </c>
      <c r="C772" s="2">
        <v>146.0</v>
      </c>
      <c r="D772" s="2">
        <v>146.0</v>
      </c>
      <c r="E772" s="2" t="s">
        <v>1886</v>
      </c>
      <c r="F772" s="2"/>
      <c r="G772" s="2" t="s">
        <v>1487</v>
      </c>
      <c r="H772" s="2" t="s">
        <v>1286</v>
      </c>
    </row>
    <row r="773" ht="15.75" customHeight="1">
      <c r="A773" s="3" t="s">
        <v>1773</v>
      </c>
      <c r="B773" s="3" t="s">
        <v>742</v>
      </c>
      <c r="C773" s="3">
        <v>147.0</v>
      </c>
      <c r="D773" s="3">
        <v>147.0</v>
      </c>
      <c r="E773" s="3" t="s">
        <v>1886</v>
      </c>
      <c r="F773" s="3"/>
      <c r="G773" s="3" t="s">
        <v>1492</v>
      </c>
      <c r="H773" s="3" t="s">
        <v>830</v>
      </c>
    </row>
    <row r="774" ht="15.75" customHeight="1">
      <c r="A774" s="2" t="s">
        <v>1773</v>
      </c>
      <c r="B774" s="2" t="s">
        <v>1493</v>
      </c>
      <c r="C774" s="2">
        <v>148.0</v>
      </c>
      <c r="D774" s="2">
        <v>148.0</v>
      </c>
      <c r="E774" s="2" t="s">
        <v>1886</v>
      </c>
      <c r="F774" s="2"/>
      <c r="G774" s="2" t="s">
        <v>1487</v>
      </c>
      <c r="H774" s="2" t="s">
        <v>1286</v>
      </c>
    </row>
    <row r="775" ht="15.75" customHeight="1">
      <c r="A775" s="3" t="s">
        <v>1773</v>
      </c>
      <c r="B775" s="3" t="s">
        <v>745</v>
      </c>
      <c r="C775" s="3">
        <v>149.0</v>
      </c>
      <c r="D775" s="3">
        <v>149.0</v>
      </c>
      <c r="E775" s="3" t="s">
        <v>1886</v>
      </c>
      <c r="F775" s="3"/>
      <c r="G775" s="3" t="s">
        <v>1494</v>
      </c>
      <c r="H775" s="3" t="s">
        <v>830</v>
      </c>
    </row>
    <row r="776" ht="15.75" customHeight="1">
      <c r="A776" s="2" t="s">
        <v>1773</v>
      </c>
      <c r="B776" s="2" t="s">
        <v>1495</v>
      </c>
      <c r="C776" s="2">
        <v>150.0</v>
      </c>
      <c r="D776" s="2">
        <v>150.0</v>
      </c>
      <c r="E776" s="2" t="s">
        <v>1886</v>
      </c>
      <c r="F776" s="2"/>
      <c r="G776" s="2" t="s">
        <v>1487</v>
      </c>
      <c r="H776" s="2" t="s">
        <v>1286</v>
      </c>
    </row>
    <row r="777" ht="15.75" customHeight="1">
      <c r="A777" s="3" t="s">
        <v>1773</v>
      </c>
      <c r="B777" s="3" t="s">
        <v>747</v>
      </c>
      <c r="C777" s="3">
        <v>151.0</v>
      </c>
      <c r="D777" s="3">
        <v>151.0</v>
      </c>
      <c r="E777" s="3" t="s">
        <v>1886</v>
      </c>
      <c r="F777" s="3"/>
      <c r="G777" s="3" t="s">
        <v>1496</v>
      </c>
      <c r="H777" s="3" t="s">
        <v>830</v>
      </c>
    </row>
    <row r="778" ht="15.75" customHeight="1">
      <c r="A778" s="2" t="s">
        <v>1773</v>
      </c>
      <c r="B778" s="2" t="s">
        <v>1497</v>
      </c>
      <c r="C778" s="2">
        <v>152.0</v>
      </c>
      <c r="D778" s="2">
        <v>152.0</v>
      </c>
      <c r="E778" s="2" t="s">
        <v>1886</v>
      </c>
      <c r="F778" s="2"/>
      <c r="G778" s="2" t="s">
        <v>1487</v>
      </c>
      <c r="H778" s="2" t="s">
        <v>1286</v>
      </c>
    </row>
    <row r="779" ht="15.75" customHeight="1">
      <c r="A779" s="3" t="s">
        <v>1773</v>
      </c>
      <c r="B779" s="3" t="s">
        <v>750</v>
      </c>
      <c r="C779" s="3">
        <v>153.0</v>
      </c>
      <c r="D779" s="3">
        <v>153.0</v>
      </c>
      <c r="E779" s="3" t="s">
        <v>1886</v>
      </c>
      <c r="F779" s="3"/>
      <c r="G779" s="3" t="s">
        <v>1498</v>
      </c>
      <c r="H779" s="3" t="s">
        <v>830</v>
      </c>
    </row>
    <row r="780" ht="15.75" customHeight="1">
      <c r="A780" s="2" t="s">
        <v>1773</v>
      </c>
      <c r="B780" s="2" t="s">
        <v>1500</v>
      </c>
      <c r="C780" s="2">
        <v>154.0</v>
      </c>
      <c r="D780" s="2">
        <v>154.0</v>
      </c>
      <c r="E780" s="2" t="s">
        <v>1886</v>
      </c>
      <c r="F780" s="2"/>
      <c r="G780" s="2" t="s">
        <v>1487</v>
      </c>
      <c r="H780" s="2" t="s">
        <v>1286</v>
      </c>
    </row>
    <row r="781" ht="15.75" customHeight="1">
      <c r="A781" s="3" t="s">
        <v>1773</v>
      </c>
      <c r="B781" s="3" t="s">
        <v>751</v>
      </c>
      <c r="C781" s="3">
        <v>155.0</v>
      </c>
      <c r="D781" s="3">
        <v>155.0</v>
      </c>
      <c r="E781" s="3" t="s">
        <v>1886</v>
      </c>
      <c r="F781" s="3"/>
      <c r="G781" s="3" t="s">
        <v>1501</v>
      </c>
      <c r="H781" s="3" t="s">
        <v>830</v>
      </c>
    </row>
    <row r="782" ht="15.75" customHeight="1">
      <c r="A782" s="2" t="s">
        <v>1773</v>
      </c>
      <c r="B782" s="2" t="s">
        <v>1502</v>
      </c>
      <c r="C782" s="2">
        <v>156.0</v>
      </c>
      <c r="D782" s="2">
        <v>156.0</v>
      </c>
      <c r="E782" s="2" t="s">
        <v>1886</v>
      </c>
      <c r="F782" s="2"/>
      <c r="G782" s="2" t="s">
        <v>1487</v>
      </c>
      <c r="H782" s="2" t="s">
        <v>1286</v>
      </c>
    </row>
    <row r="783" ht="15.75" customHeight="1">
      <c r="A783" s="3" t="s">
        <v>1773</v>
      </c>
      <c r="B783" s="3" t="s">
        <v>753</v>
      </c>
      <c r="C783" s="3">
        <v>157.0</v>
      </c>
      <c r="D783" s="3">
        <v>157.0</v>
      </c>
      <c r="E783" s="3" t="s">
        <v>1886</v>
      </c>
      <c r="F783" s="3"/>
      <c r="G783" s="3" t="s">
        <v>1504</v>
      </c>
      <c r="H783" s="3" t="s">
        <v>830</v>
      </c>
    </row>
    <row r="784" ht="15.75" customHeight="1">
      <c r="A784" s="2" t="s">
        <v>1773</v>
      </c>
      <c r="B784" s="2" t="s">
        <v>15</v>
      </c>
      <c r="C784" s="2">
        <v>158.0</v>
      </c>
      <c r="D784" s="2">
        <v>158.0</v>
      </c>
      <c r="E784" s="2"/>
      <c r="F784" s="2"/>
      <c r="G784" s="2" t="s">
        <v>15</v>
      </c>
      <c r="H784" s="2" t="s">
        <v>885</v>
      </c>
    </row>
    <row r="785" ht="15.75" customHeight="1">
      <c r="A785" s="3" t="s">
        <v>1773</v>
      </c>
      <c r="B785" s="3" t="s">
        <v>782</v>
      </c>
      <c r="C785" s="3">
        <v>159.0</v>
      </c>
      <c r="D785" s="3">
        <v>159.0</v>
      </c>
      <c r="E785" s="3"/>
      <c r="F785" s="3"/>
      <c r="G785" s="3" t="s">
        <v>1559</v>
      </c>
      <c r="H785" s="3" t="s">
        <v>885</v>
      </c>
    </row>
    <row r="786" ht="15.75" customHeight="1">
      <c r="A786" s="2" t="s">
        <v>1773</v>
      </c>
      <c r="B786" s="2" t="s">
        <v>1594</v>
      </c>
      <c r="C786" s="2">
        <v>160.0</v>
      </c>
      <c r="D786" s="2">
        <v>160.0</v>
      </c>
      <c r="E786" s="2"/>
      <c r="F786" s="2"/>
      <c r="G786" s="2" t="s">
        <v>1594</v>
      </c>
      <c r="H786" s="2" t="s">
        <v>885</v>
      </c>
    </row>
    <row r="787" ht="15.75" customHeight="1">
      <c r="A787" s="3" t="s">
        <v>1773</v>
      </c>
      <c r="B787" s="3" t="s">
        <v>834</v>
      </c>
      <c r="C787" s="3">
        <v>161.0</v>
      </c>
      <c r="D787" s="3">
        <v>161.0</v>
      </c>
      <c r="E787" s="3"/>
      <c r="F787" s="3"/>
      <c r="G787" s="3" t="s">
        <v>834</v>
      </c>
      <c r="H787" s="3" t="s">
        <v>885</v>
      </c>
    </row>
    <row r="788" ht="15.75" customHeight="1">
      <c r="A788" s="2" t="s">
        <v>1773</v>
      </c>
      <c r="B788" s="2" t="s">
        <v>350</v>
      </c>
      <c r="C788" s="2">
        <v>162.0</v>
      </c>
      <c r="D788" s="2">
        <v>162.0</v>
      </c>
      <c r="E788" s="2"/>
      <c r="F788" s="2" t="s">
        <v>848</v>
      </c>
      <c r="G788" s="2" t="s">
        <v>849</v>
      </c>
      <c r="H788" s="2" t="s">
        <v>885</v>
      </c>
    </row>
    <row r="789" ht="15.75" customHeight="1">
      <c r="A789" s="3" t="s">
        <v>1773</v>
      </c>
      <c r="B789" s="3" t="s">
        <v>1441</v>
      </c>
      <c r="C789" s="3">
        <v>163.0</v>
      </c>
      <c r="D789" s="3">
        <v>163.0</v>
      </c>
      <c r="E789" s="3"/>
      <c r="F789" s="3"/>
      <c r="G789" s="3" t="s">
        <v>1441</v>
      </c>
      <c r="H789" s="3" t="s">
        <v>885</v>
      </c>
    </row>
    <row r="790" ht="15.75" customHeight="1">
      <c r="A790" s="2" t="s">
        <v>1773</v>
      </c>
      <c r="B790" s="2" t="s">
        <v>1455</v>
      </c>
      <c r="C790" s="2">
        <v>164.0</v>
      </c>
      <c r="D790" s="2">
        <v>164.0</v>
      </c>
      <c r="E790" s="2"/>
      <c r="F790" s="2"/>
      <c r="G790" s="2" t="s">
        <v>1455</v>
      </c>
      <c r="H790" s="2" t="s">
        <v>885</v>
      </c>
    </row>
    <row r="791" ht="15.75" customHeight="1">
      <c r="A791" s="3" t="s">
        <v>1773</v>
      </c>
      <c r="B791" s="3" t="s">
        <v>772</v>
      </c>
      <c r="C791" s="3">
        <v>165.0</v>
      </c>
      <c r="D791" s="3">
        <v>165.0</v>
      </c>
      <c r="E791" s="3"/>
      <c r="F791" s="3"/>
      <c r="G791" s="3" t="s">
        <v>772</v>
      </c>
      <c r="H791" s="3" t="s">
        <v>885</v>
      </c>
    </row>
    <row r="792" ht="15.75" customHeight="1">
      <c r="A792" s="2" t="s">
        <v>1773</v>
      </c>
      <c r="B792" s="2" t="s">
        <v>1630</v>
      </c>
      <c r="C792" s="2">
        <v>166.0</v>
      </c>
      <c r="D792" s="2">
        <v>166.0</v>
      </c>
      <c r="E792" s="2"/>
      <c r="F792" s="2"/>
      <c r="G792" s="2" t="s">
        <v>1630</v>
      </c>
      <c r="H792" s="2" t="s">
        <v>885</v>
      </c>
    </row>
    <row r="793" ht="15.75" customHeight="1">
      <c r="A793" s="3" t="s">
        <v>1773</v>
      </c>
      <c r="B793" s="3" t="s">
        <v>1478</v>
      </c>
      <c r="C793" s="3">
        <v>167.0</v>
      </c>
      <c r="D793" s="3">
        <v>167.0</v>
      </c>
      <c r="E793" s="3"/>
      <c r="F793" s="3"/>
      <c r="G793" s="3" t="s">
        <v>1478</v>
      </c>
      <c r="H793" s="3" t="s">
        <v>885</v>
      </c>
    </row>
    <row r="794" ht="15.75" customHeight="1">
      <c r="A794" s="2" t="s">
        <v>1773</v>
      </c>
      <c r="B794" s="2" t="s">
        <v>1634</v>
      </c>
      <c r="C794" s="2">
        <v>168.0</v>
      </c>
      <c r="D794" s="2">
        <v>168.0</v>
      </c>
      <c r="E794" s="2"/>
      <c r="F794" s="2"/>
      <c r="G794" s="2" t="s">
        <v>1634</v>
      </c>
      <c r="H794" s="2" t="s">
        <v>885</v>
      </c>
    </row>
    <row r="795" ht="15.75" customHeight="1">
      <c r="A795" s="3" t="s">
        <v>1773</v>
      </c>
      <c r="B795" s="3" t="s">
        <v>1507</v>
      </c>
      <c r="C795" s="3">
        <v>169.0</v>
      </c>
      <c r="D795" s="3">
        <v>169.0</v>
      </c>
      <c r="E795" s="3"/>
      <c r="F795" s="3"/>
      <c r="G795" s="3" t="s">
        <v>1507</v>
      </c>
      <c r="H795" s="3" t="s">
        <v>885</v>
      </c>
    </row>
    <row r="796" ht="15.75" customHeight="1">
      <c r="A796" s="2" t="s">
        <v>1773</v>
      </c>
      <c r="B796" s="2" t="s">
        <v>1512</v>
      </c>
      <c r="C796" s="2">
        <v>170.0</v>
      </c>
      <c r="D796" s="2">
        <v>170.0</v>
      </c>
      <c r="E796" s="2"/>
      <c r="F796" s="2"/>
      <c r="G796" s="2" t="s">
        <v>1512</v>
      </c>
      <c r="H796" s="2" t="s">
        <v>885</v>
      </c>
    </row>
    <row r="797" ht="15.75" customHeight="1">
      <c r="A797" s="3" t="s">
        <v>1773</v>
      </c>
      <c r="B797" s="3" t="s">
        <v>351</v>
      </c>
      <c r="C797" s="3">
        <v>171.0</v>
      </c>
      <c r="D797" s="3">
        <v>171.0</v>
      </c>
      <c r="E797" s="3"/>
      <c r="F797" s="3"/>
      <c r="G797" s="3" t="s">
        <v>351</v>
      </c>
      <c r="H797" s="3" t="s">
        <v>885</v>
      </c>
    </row>
    <row r="798" ht="15.75" customHeight="1">
      <c r="A798" s="2" t="s">
        <v>1773</v>
      </c>
      <c r="B798" s="2" t="s">
        <v>1584</v>
      </c>
      <c r="C798" s="2">
        <v>172.0</v>
      </c>
      <c r="D798" s="2">
        <v>172.0</v>
      </c>
      <c r="E798" s="2"/>
      <c r="F798" s="2"/>
      <c r="G798" s="2" t="s">
        <v>1584</v>
      </c>
      <c r="H798" s="2" t="s">
        <v>885</v>
      </c>
    </row>
    <row r="799" ht="15.75" customHeight="1">
      <c r="A799" s="3" t="s">
        <v>1773</v>
      </c>
      <c r="B799" s="3" t="s">
        <v>1604</v>
      </c>
      <c r="C799" s="3">
        <v>173.0</v>
      </c>
      <c r="D799" s="3">
        <v>173.0</v>
      </c>
      <c r="E799" s="3"/>
      <c r="F799" s="3"/>
      <c r="G799" s="3" t="s">
        <v>1604</v>
      </c>
      <c r="H799" s="3" t="s">
        <v>885</v>
      </c>
    </row>
    <row r="800" ht="15.75" customHeight="1">
      <c r="A800" s="2" t="s">
        <v>1773</v>
      </c>
      <c r="B800" s="2" t="s">
        <v>1610</v>
      </c>
      <c r="C800" s="2">
        <v>174.0</v>
      </c>
      <c r="D800" s="2">
        <v>174.0</v>
      </c>
      <c r="E800" s="2"/>
      <c r="F800" s="2"/>
      <c r="G800" s="2" t="s">
        <v>1610</v>
      </c>
      <c r="H800" s="2" t="s">
        <v>885</v>
      </c>
    </row>
    <row r="801" ht="15.75" customHeight="1">
      <c r="A801" s="3" t="s">
        <v>1773</v>
      </c>
      <c r="B801" s="3" t="s">
        <v>1614</v>
      </c>
      <c r="C801" s="3">
        <v>175.0</v>
      </c>
      <c r="D801" s="3">
        <v>175.0</v>
      </c>
      <c r="E801" s="3"/>
      <c r="F801" s="3"/>
      <c r="G801" s="3" t="s">
        <v>1049</v>
      </c>
      <c r="H801" s="3" t="s">
        <v>885</v>
      </c>
    </row>
    <row r="802" ht="15.75" customHeight="1">
      <c r="A802" s="2" t="s">
        <v>1773</v>
      </c>
      <c r="B802" s="2" t="s">
        <v>1624</v>
      </c>
      <c r="C802" s="2">
        <v>176.0</v>
      </c>
      <c r="D802" s="2">
        <v>176.0</v>
      </c>
      <c r="E802" s="2"/>
      <c r="F802" s="2"/>
      <c r="G802" s="2" t="s">
        <v>1624</v>
      </c>
      <c r="H802" s="2" t="s">
        <v>885</v>
      </c>
    </row>
    <row r="803" ht="15.75" customHeight="1">
      <c r="A803" s="3" t="s">
        <v>1773</v>
      </c>
      <c r="B803" s="3" t="s">
        <v>366</v>
      </c>
      <c r="C803" s="3">
        <v>177.0</v>
      </c>
      <c r="D803" s="3">
        <v>177.0</v>
      </c>
      <c r="E803" s="3"/>
      <c r="F803" s="3"/>
      <c r="G803" s="3" t="s">
        <v>1888</v>
      </c>
      <c r="H803" s="3" t="s">
        <v>885</v>
      </c>
    </row>
    <row r="804" ht="15.75" customHeight="1">
      <c r="A804" s="2" t="s">
        <v>1773</v>
      </c>
      <c r="B804" s="2" t="s">
        <v>1641</v>
      </c>
      <c r="C804" s="2">
        <v>178.0</v>
      </c>
      <c r="D804" s="2">
        <v>178.0</v>
      </c>
      <c r="E804" s="2"/>
      <c r="F804" s="2"/>
      <c r="G804" s="2" t="s">
        <v>1641</v>
      </c>
      <c r="H804" s="2" t="s">
        <v>885</v>
      </c>
    </row>
    <row r="805" ht="15.75" customHeight="1">
      <c r="A805" s="3" t="s">
        <v>1773</v>
      </c>
      <c r="B805" s="3" t="s">
        <v>1656</v>
      </c>
      <c r="C805" s="3">
        <v>179.0</v>
      </c>
      <c r="D805" s="3">
        <v>179.0</v>
      </c>
      <c r="E805" s="3"/>
      <c r="F805" s="3"/>
      <c r="G805" s="3" t="s">
        <v>1656</v>
      </c>
      <c r="H805" s="3" t="s">
        <v>885</v>
      </c>
    </row>
    <row r="806" ht="15.75" customHeight="1">
      <c r="A806" s="2" t="s">
        <v>1773</v>
      </c>
      <c r="B806" s="2" t="s">
        <v>1659</v>
      </c>
      <c r="C806" s="2">
        <v>180.0</v>
      </c>
      <c r="D806" s="2">
        <v>180.0</v>
      </c>
      <c r="E806" s="2"/>
      <c r="F806" s="2"/>
      <c r="G806" s="2" t="s">
        <v>1889</v>
      </c>
      <c r="H806" s="2" t="s">
        <v>885</v>
      </c>
    </row>
    <row r="807" ht="15.75" customHeight="1">
      <c r="A807" s="3" t="s">
        <v>1773</v>
      </c>
      <c r="B807" s="3" t="s">
        <v>1308</v>
      </c>
      <c r="C807" s="3">
        <v>181.0</v>
      </c>
      <c r="D807" s="3">
        <v>181.0</v>
      </c>
      <c r="E807" s="3"/>
      <c r="F807" s="3"/>
      <c r="G807" s="3" t="s">
        <v>1737</v>
      </c>
      <c r="H807" s="3" t="s">
        <v>885</v>
      </c>
    </row>
    <row r="808" ht="15.75" customHeight="1">
      <c r="A808" s="2" t="s">
        <v>1773</v>
      </c>
      <c r="B808" s="2" t="s">
        <v>1676</v>
      </c>
      <c r="C808" s="2">
        <v>182.0</v>
      </c>
      <c r="D808" s="2">
        <v>182.0</v>
      </c>
      <c r="E808" s="2"/>
      <c r="F808" s="2"/>
      <c r="G808" s="2" t="s">
        <v>1890</v>
      </c>
      <c r="H808" s="2" t="s">
        <v>885</v>
      </c>
    </row>
    <row r="809" ht="15.75" customHeight="1">
      <c r="A809" s="3" t="s">
        <v>1773</v>
      </c>
      <c r="B809" s="3" t="s">
        <v>1705</v>
      </c>
      <c r="C809" s="3">
        <v>183.0</v>
      </c>
      <c r="D809" s="3">
        <v>183.0</v>
      </c>
      <c r="E809" s="3"/>
      <c r="F809" s="3"/>
      <c r="G809" s="3" t="s">
        <v>1891</v>
      </c>
      <c r="H809" s="3" t="s">
        <v>885</v>
      </c>
    </row>
    <row r="810" ht="15.75" customHeight="1">
      <c r="A810" s="2" t="s">
        <v>1773</v>
      </c>
      <c r="B810" s="2" t="s">
        <v>1715</v>
      </c>
      <c r="C810" s="2">
        <v>184.0</v>
      </c>
      <c r="D810" s="2">
        <v>184.0</v>
      </c>
      <c r="E810" s="2"/>
      <c r="F810" s="2"/>
      <c r="G810" s="2" t="s">
        <v>1892</v>
      </c>
      <c r="H810" s="2" t="s">
        <v>885</v>
      </c>
    </row>
    <row r="811" ht="15.75" customHeight="1">
      <c r="A811" s="3" t="s">
        <v>1773</v>
      </c>
      <c r="B811" s="3" t="s">
        <v>1718</v>
      </c>
      <c r="C811" s="3">
        <v>185.0</v>
      </c>
      <c r="D811" s="3">
        <v>185.0</v>
      </c>
      <c r="E811" s="3"/>
      <c r="F811" s="3"/>
      <c r="G811" s="3" t="s">
        <v>1893</v>
      </c>
      <c r="H811" s="3" t="s">
        <v>885</v>
      </c>
    </row>
    <row r="812" ht="15.75" customHeight="1">
      <c r="A812" s="2" t="s">
        <v>1773</v>
      </c>
      <c r="B812" s="2" t="s">
        <v>1294</v>
      </c>
      <c r="C812" s="2">
        <v>186.0</v>
      </c>
      <c r="D812" s="2">
        <v>186.0</v>
      </c>
      <c r="E812" s="2"/>
      <c r="F812" s="2"/>
      <c r="G812" s="2" t="s">
        <v>1294</v>
      </c>
      <c r="H812" s="2" t="s">
        <v>885</v>
      </c>
    </row>
    <row r="813" ht="15.75" customHeight="1">
      <c r="A813" s="3" t="s">
        <v>1773</v>
      </c>
      <c r="B813" s="3" t="s">
        <v>389</v>
      </c>
      <c r="C813" s="3">
        <v>187.0</v>
      </c>
      <c r="D813" s="3">
        <v>187.0</v>
      </c>
      <c r="E813" s="3"/>
      <c r="F813" s="3"/>
      <c r="G813" s="3" t="s">
        <v>389</v>
      </c>
      <c r="H813" s="3" t="s">
        <v>885</v>
      </c>
    </row>
    <row r="814" ht="15.75" customHeight="1">
      <c r="A814" s="2" t="s">
        <v>1773</v>
      </c>
      <c r="B814" s="2" t="s">
        <v>1644</v>
      </c>
      <c r="C814" s="2">
        <v>188.0</v>
      </c>
      <c r="D814" s="2">
        <v>188.0</v>
      </c>
      <c r="E814" s="2"/>
      <c r="F814" s="2"/>
      <c r="G814" s="2" t="s">
        <v>1894</v>
      </c>
      <c r="H814" s="2" t="s">
        <v>885</v>
      </c>
    </row>
    <row r="815" ht="15.75" customHeight="1">
      <c r="A815" s="3" t="s">
        <v>1773</v>
      </c>
      <c r="B815" s="3" t="s">
        <v>1748</v>
      </c>
      <c r="C815" s="3">
        <v>189.0</v>
      </c>
      <c r="D815" s="3">
        <v>189.0</v>
      </c>
      <c r="E815" s="3"/>
      <c r="F815" s="3"/>
      <c r="G815" s="3" t="s">
        <v>1749</v>
      </c>
      <c r="H815" s="3" t="s">
        <v>885</v>
      </c>
    </row>
    <row r="816" ht="15.75" customHeight="1">
      <c r="A816" s="2" t="s">
        <v>1773</v>
      </c>
      <c r="B816" s="2" t="s">
        <v>1746</v>
      </c>
      <c r="C816" s="2">
        <v>190.0</v>
      </c>
      <c r="D816" s="2">
        <v>190.0</v>
      </c>
      <c r="E816" s="2"/>
      <c r="F816" s="2"/>
      <c r="G816" s="2" t="s">
        <v>1895</v>
      </c>
      <c r="H816" s="2" t="s">
        <v>885</v>
      </c>
    </row>
    <row r="817" ht="15.75" customHeight="1">
      <c r="A817" s="3" t="s">
        <v>1773</v>
      </c>
      <c r="B817" s="3" t="s">
        <v>1764</v>
      </c>
      <c r="C817" s="3">
        <v>191.0</v>
      </c>
      <c r="D817" s="3">
        <v>191.0</v>
      </c>
      <c r="E817" s="3"/>
      <c r="F817" s="3"/>
      <c r="G817" s="3" t="s">
        <v>1764</v>
      </c>
      <c r="H817" s="3" t="s">
        <v>885</v>
      </c>
    </row>
    <row r="818" ht="15.75" customHeight="1">
      <c r="A818" s="2" t="s">
        <v>1773</v>
      </c>
      <c r="B818" s="2" t="s">
        <v>1382</v>
      </c>
      <c r="C818" s="2">
        <v>192.0</v>
      </c>
      <c r="D818" s="2">
        <v>192.0</v>
      </c>
      <c r="E818" s="2"/>
      <c r="F818" s="2"/>
      <c r="G818" s="2" t="s">
        <v>1382</v>
      </c>
      <c r="H818" s="2" t="s">
        <v>885</v>
      </c>
    </row>
    <row r="819" ht="15.75" customHeight="1">
      <c r="A819" s="3" t="s">
        <v>1773</v>
      </c>
      <c r="B819" s="3" t="s">
        <v>1354</v>
      </c>
      <c r="C819" s="3">
        <v>193.0</v>
      </c>
      <c r="D819" s="3">
        <v>193.0</v>
      </c>
      <c r="E819" s="3"/>
      <c r="F819" s="3"/>
      <c r="G819" s="3" t="s">
        <v>1354</v>
      </c>
      <c r="H819" s="3" t="s">
        <v>885</v>
      </c>
    </row>
    <row r="820" ht="15.75" customHeight="1">
      <c r="A820" s="2" t="s">
        <v>1773</v>
      </c>
      <c r="B820" s="2" t="s">
        <v>1372</v>
      </c>
      <c r="C820" s="2">
        <v>194.0</v>
      </c>
      <c r="D820" s="2">
        <v>194.0</v>
      </c>
      <c r="E820" s="2"/>
      <c r="F820" s="2"/>
      <c r="G820" s="2" t="s">
        <v>1896</v>
      </c>
      <c r="H820" s="2" t="s">
        <v>885</v>
      </c>
    </row>
    <row r="821" ht="15.75" customHeight="1">
      <c r="A821" s="3" t="s">
        <v>1773</v>
      </c>
      <c r="B821" s="3" t="s">
        <v>1391</v>
      </c>
      <c r="C821" s="3">
        <v>195.0</v>
      </c>
      <c r="D821" s="3">
        <v>195.0</v>
      </c>
      <c r="E821" s="3"/>
      <c r="F821" s="3"/>
      <c r="G821" s="3"/>
      <c r="H821" s="3" t="s">
        <v>885</v>
      </c>
    </row>
    <row r="822" ht="15.75" customHeight="1">
      <c r="A822" s="2" t="s">
        <v>1773</v>
      </c>
      <c r="B822" s="2" t="s">
        <v>1788</v>
      </c>
      <c r="C822" s="2">
        <v>196.0</v>
      </c>
      <c r="D822" s="2">
        <v>196.0</v>
      </c>
      <c r="E822" s="2"/>
      <c r="F822" s="2"/>
      <c r="G822" s="2" t="s">
        <v>1788</v>
      </c>
      <c r="H822" s="2" t="s">
        <v>885</v>
      </c>
    </row>
    <row r="823" ht="15.75" customHeight="1">
      <c r="A823" s="3" t="s">
        <v>1773</v>
      </c>
      <c r="B823" s="3" t="s">
        <v>1758</v>
      </c>
      <c r="C823" s="3">
        <v>197.0</v>
      </c>
      <c r="D823" s="3">
        <v>197.0</v>
      </c>
      <c r="E823" s="3"/>
      <c r="F823" s="3"/>
      <c r="G823" s="3" t="s">
        <v>1758</v>
      </c>
      <c r="H823" s="3" t="s">
        <v>885</v>
      </c>
    </row>
    <row r="824" ht="15.75" customHeight="1">
      <c r="A824" s="2" t="s">
        <v>1773</v>
      </c>
      <c r="B824" s="2" t="s">
        <v>1799</v>
      </c>
      <c r="C824" s="2">
        <v>198.0</v>
      </c>
      <c r="D824" s="2">
        <v>198.0</v>
      </c>
      <c r="E824" s="2"/>
      <c r="F824" s="2"/>
      <c r="G824" s="2" t="s">
        <v>1799</v>
      </c>
      <c r="H824" s="2" t="s">
        <v>885</v>
      </c>
    </row>
    <row r="825" ht="15.75" customHeight="1">
      <c r="A825" s="3" t="s">
        <v>1773</v>
      </c>
      <c r="B825" s="3" t="s">
        <v>1759</v>
      </c>
      <c r="C825" s="3">
        <v>199.0</v>
      </c>
      <c r="D825" s="3">
        <v>199.0</v>
      </c>
      <c r="E825" s="3"/>
      <c r="F825" s="3"/>
      <c r="G825" s="3" t="s">
        <v>1759</v>
      </c>
      <c r="H825" s="3" t="s">
        <v>885</v>
      </c>
    </row>
    <row r="826" ht="15.75" customHeight="1">
      <c r="A826" s="2" t="s">
        <v>1773</v>
      </c>
      <c r="B826" s="2" t="s">
        <v>1411</v>
      </c>
      <c r="C826" s="2">
        <v>200.0</v>
      </c>
      <c r="D826" s="2">
        <v>200.0</v>
      </c>
      <c r="E826" s="2"/>
      <c r="F826" s="2"/>
      <c r="G826" s="2" t="s">
        <v>1411</v>
      </c>
      <c r="H826" s="2" t="s">
        <v>885</v>
      </c>
    </row>
    <row r="827" ht="15.75" customHeight="1">
      <c r="A827" s="3" t="s">
        <v>1773</v>
      </c>
      <c r="B827" s="3" t="s">
        <v>1813</v>
      </c>
      <c r="C827" s="3">
        <v>201.0</v>
      </c>
      <c r="D827" s="3">
        <v>201.0</v>
      </c>
      <c r="E827" s="3"/>
      <c r="F827" s="3"/>
      <c r="G827" s="3" t="s">
        <v>1897</v>
      </c>
      <c r="H827" s="3" t="s">
        <v>885</v>
      </c>
    </row>
    <row r="828" ht="15.75" customHeight="1">
      <c r="A828" s="2" t="s">
        <v>1773</v>
      </c>
      <c r="B828" s="2" t="s">
        <v>1417</v>
      </c>
      <c r="C828" s="2">
        <v>202.0</v>
      </c>
      <c r="D828" s="2">
        <v>202.0</v>
      </c>
      <c r="E828" s="2"/>
      <c r="F828" s="2"/>
      <c r="G828" s="2" t="s">
        <v>1417</v>
      </c>
      <c r="H828" s="2" t="s">
        <v>885</v>
      </c>
    </row>
    <row r="829" ht="15.75" customHeight="1">
      <c r="A829" s="3" t="s">
        <v>1773</v>
      </c>
      <c r="B829" s="3" t="s">
        <v>1821</v>
      </c>
      <c r="C829" s="3">
        <v>203.0</v>
      </c>
      <c r="D829" s="3">
        <v>203.0</v>
      </c>
      <c r="E829" s="3"/>
      <c r="F829" s="3"/>
      <c r="G829" s="3" t="s">
        <v>1821</v>
      </c>
      <c r="H829" s="3" t="s">
        <v>885</v>
      </c>
    </row>
    <row r="830" ht="15.75" customHeight="1">
      <c r="A830" s="2" t="s">
        <v>1773</v>
      </c>
      <c r="B830" s="2" t="s">
        <v>1832</v>
      </c>
      <c r="C830" s="2">
        <v>204.0</v>
      </c>
      <c r="D830" s="2">
        <v>204.0</v>
      </c>
      <c r="E830" s="2"/>
      <c r="F830" s="2"/>
      <c r="G830" s="2" t="s">
        <v>1832</v>
      </c>
      <c r="H830" s="2" t="s">
        <v>885</v>
      </c>
    </row>
    <row r="831" ht="15.75" customHeight="1">
      <c r="A831" s="3" t="s">
        <v>1773</v>
      </c>
      <c r="B831" s="3" t="s">
        <v>1837</v>
      </c>
      <c r="C831" s="3">
        <v>205.0</v>
      </c>
      <c r="D831" s="3">
        <v>205.0</v>
      </c>
      <c r="E831" s="3"/>
      <c r="F831" s="3"/>
      <c r="G831" s="3" t="s">
        <v>1837</v>
      </c>
      <c r="H831" s="3" t="s">
        <v>885</v>
      </c>
    </row>
    <row r="832" ht="15.75" customHeight="1">
      <c r="A832" s="2" t="s">
        <v>1773</v>
      </c>
      <c r="B832" s="2" t="s">
        <v>1840</v>
      </c>
      <c r="C832" s="2">
        <v>206.0</v>
      </c>
      <c r="D832" s="2">
        <v>206.0</v>
      </c>
      <c r="E832" s="2"/>
      <c r="F832" s="2"/>
      <c r="G832" s="2" t="s">
        <v>1898</v>
      </c>
      <c r="H832" s="2" t="s">
        <v>885</v>
      </c>
    </row>
    <row r="833" ht="15.75" customHeight="1">
      <c r="A833" s="3" t="s">
        <v>1773</v>
      </c>
      <c r="B833" s="3" t="s">
        <v>1767</v>
      </c>
      <c r="C833" s="3">
        <v>207.0</v>
      </c>
      <c r="D833" s="3">
        <v>207.0</v>
      </c>
      <c r="E833" s="3"/>
      <c r="F833" s="3"/>
      <c r="G833" s="3" t="s">
        <v>1768</v>
      </c>
      <c r="H833" s="3" t="s">
        <v>885</v>
      </c>
    </row>
    <row r="834" ht="15.75" customHeight="1">
      <c r="A834" s="2" t="s">
        <v>1773</v>
      </c>
      <c r="B834" s="2" t="s">
        <v>1771</v>
      </c>
      <c r="C834" s="2">
        <v>208.0</v>
      </c>
      <c r="D834" s="2">
        <v>208.0</v>
      </c>
      <c r="E834" s="2"/>
      <c r="F834" s="2"/>
      <c r="G834" s="2" t="s">
        <v>1772</v>
      </c>
      <c r="H834" s="2" t="s">
        <v>885</v>
      </c>
    </row>
    <row r="835" ht="15.75" customHeight="1">
      <c r="A835" s="3" t="s">
        <v>1773</v>
      </c>
      <c r="B835" s="3" t="s">
        <v>712</v>
      </c>
      <c r="C835" s="3">
        <v>209.0</v>
      </c>
      <c r="D835" s="3">
        <v>209.0</v>
      </c>
      <c r="E835" s="3"/>
      <c r="F835" s="3"/>
      <c r="G835" s="3" t="s">
        <v>1033</v>
      </c>
      <c r="H835" s="3" t="s">
        <v>885</v>
      </c>
    </row>
    <row r="836" ht="15.75" customHeight="1">
      <c r="A836" s="2" t="s">
        <v>1773</v>
      </c>
      <c r="B836" s="2" t="s">
        <v>715</v>
      </c>
      <c r="C836" s="2">
        <v>210.0</v>
      </c>
      <c r="D836" s="2">
        <v>210.0</v>
      </c>
      <c r="E836" s="2"/>
      <c r="F836" s="2"/>
      <c r="G836" s="2" t="s">
        <v>715</v>
      </c>
      <c r="H836" s="2" t="s">
        <v>885</v>
      </c>
    </row>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55.0"/>
    <col customWidth="1" min="3" max="26" width="8.71"/>
  </cols>
  <sheetData>
    <row r="1" ht="30.0" customHeight="1">
      <c r="A1" s="5" t="s">
        <v>1514</v>
      </c>
      <c r="B1" s="5" t="s">
        <v>1517</v>
      </c>
    </row>
    <row r="2">
      <c r="A2" s="2" t="s">
        <v>1518</v>
      </c>
      <c r="B2" s="2" t="s">
        <v>1519</v>
      </c>
    </row>
    <row r="3">
      <c r="A3" s="3" t="s">
        <v>43</v>
      </c>
      <c r="B3" s="3" t="s">
        <v>1520</v>
      </c>
    </row>
    <row r="4">
      <c r="A4" s="2" t="s">
        <v>12</v>
      </c>
      <c r="B4" s="2" t="s">
        <v>1521</v>
      </c>
    </row>
    <row r="5">
      <c r="A5" s="3" t="s">
        <v>21</v>
      </c>
      <c r="B5" s="3" t="s">
        <v>1522</v>
      </c>
    </row>
    <row r="6">
      <c r="A6" s="2" t="s">
        <v>153</v>
      </c>
      <c r="B6" s="2" t="s">
        <v>1523</v>
      </c>
    </row>
    <row r="7">
      <c r="A7" s="3" t="s">
        <v>42</v>
      </c>
      <c r="B7" s="3" t="s">
        <v>1524</v>
      </c>
    </row>
    <row r="8">
      <c r="A8" s="2" t="s">
        <v>47</v>
      </c>
      <c r="B8" s="2" t="s">
        <v>1525</v>
      </c>
    </row>
    <row r="9">
      <c r="A9" s="3" t="s">
        <v>132</v>
      </c>
      <c r="B9" s="3" t="s">
        <v>1527</v>
      </c>
    </row>
    <row r="10">
      <c r="A10" s="2" t="s">
        <v>26</v>
      </c>
      <c r="B10" s="2" t="s">
        <v>1528</v>
      </c>
    </row>
    <row r="11">
      <c r="A11" s="3" t="s">
        <v>15</v>
      </c>
      <c r="B11" s="3" t="s">
        <v>1529</v>
      </c>
    </row>
    <row r="12">
      <c r="A12" s="2" t="s">
        <v>49</v>
      </c>
      <c r="B12" s="2" t="s">
        <v>1531</v>
      </c>
    </row>
    <row r="13">
      <c r="A13" s="3" t="s">
        <v>246</v>
      </c>
      <c r="B13" s="3" t="s">
        <v>1532</v>
      </c>
    </row>
    <row r="14">
      <c r="A14" s="2" t="s">
        <v>1534</v>
      </c>
      <c r="B14" s="2" t="s">
        <v>1535</v>
      </c>
    </row>
    <row r="15">
      <c r="A15" s="3" t="s">
        <v>69</v>
      </c>
      <c r="B15" s="3" t="s">
        <v>1536</v>
      </c>
    </row>
    <row r="16">
      <c r="A16" s="2" t="s">
        <v>74</v>
      </c>
      <c r="B16" s="2" t="s">
        <v>1538</v>
      </c>
    </row>
    <row r="17">
      <c r="A17" s="3" t="s">
        <v>77</v>
      </c>
      <c r="B17" s="3" t="s">
        <v>1539</v>
      </c>
    </row>
    <row r="18">
      <c r="A18" s="2" t="s">
        <v>81</v>
      </c>
      <c r="B18" s="2" t="s">
        <v>1540</v>
      </c>
    </row>
    <row r="19">
      <c r="A19" s="3" t="s">
        <v>85</v>
      </c>
      <c r="B19" s="3" t="s">
        <v>1541</v>
      </c>
    </row>
    <row r="20">
      <c r="A20" s="2" t="s">
        <v>87</v>
      </c>
      <c r="B20" s="2" t="s">
        <v>1543</v>
      </c>
    </row>
    <row r="21" ht="15.75" customHeight="1">
      <c r="A21" s="3" t="s">
        <v>91</v>
      </c>
      <c r="B21" s="3" t="s">
        <v>1545</v>
      </c>
    </row>
    <row r="22" ht="15.75" customHeight="1">
      <c r="A22" s="2" t="s">
        <v>98</v>
      </c>
      <c r="B22" s="2" t="s">
        <v>1546</v>
      </c>
    </row>
    <row r="23" ht="15.75" customHeight="1">
      <c r="A23" s="3" t="s">
        <v>100</v>
      </c>
      <c r="B23" s="3" t="s">
        <v>1548</v>
      </c>
    </row>
    <row r="24" ht="15.75" customHeight="1">
      <c r="A24" s="2" t="s">
        <v>72</v>
      </c>
      <c r="B24" s="2" t="s">
        <v>1549</v>
      </c>
    </row>
    <row r="25" ht="15.75" customHeight="1">
      <c r="A25" s="3" t="s">
        <v>137</v>
      </c>
      <c r="B25" s="3" t="s">
        <v>1550</v>
      </c>
    </row>
    <row r="26" ht="15.75" customHeight="1">
      <c r="A26" s="2" t="s">
        <v>18</v>
      </c>
      <c r="B26" s="2" t="s">
        <v>1551</v>
      </c>
    </row>
    <row r="27" ht="15.75" customHeight="1">
      <c r="A27" s="3" t="s">
        <v>141</v>
      </c>
      <c r="B27" s="3" t="s">
        <v>846</v>
      </c>
    </row>
    <row r="28" ht="15.75" customHeight="1">
      <c r="A28" s="2" t="s">
        <v>161</v>
      </c>
      <c r="B28" s="2" t="s">
        <v>1554</v>
      </c>
    </row>
    <row r="29" ht="15.75" customHeight="1">
      <c r="A29" s="3" t="s">
        <v>20</v>
      </c>
      <c r="B29" s="3" t="s">
        <v>1555</v>
      </c>
    </row>
    <row r="30" ht="15.75" customHeight="1">
      <c r="A30" s="2" t="s">
        <v>165</v>
      </c>
      <c r="B30" s="2" t="s">
        <v>849</v>
      </c>
    </row>
    <row r="31" ht="15.75" customHeight="1">
      <c r="A31" s="3" t="s">
        <v>168</v>
      </c>
      <c r="B31" s="3" t="s">
        <v>1557</v>
      </c>
    </row>
    <row r="32" ht="15.75" customHeight="1">
      <c r="A32" s="2" t="s">
        <v>172</v>
      </c>
      <c r="B32" s="2" t="s">
        <v>1558</v>
      </c>
    </row>
    <row r="33" ht="15.75" customHeight="1">
      <c r="A33" s="3" t="s">
        <v>176</v>
      </c>
      <c r="B33" s="3" t="s">
        <v>853</v>
      </c>
    </row>
    <row r="34" ht="15.75" customHeight="1">
      <c r="A34" s="2" t="s">
        <v>181</v>
      </c>
      <c r="B34" s="2" t="s">
        <v>1560</v>
      </c>
    </row>
    <row r="35" ht="15.75" customHeight="1">
      <c r="A35" s="3" t="s">
        <v>184</v>
      </c>
      <c r="B35" s="3" t="s">
        <v>1561</v>
      </c>
    </row>
    <row r="36" ht="15.75" customHeight="1">
      <c r="A36" s="2" t="s">
        <v>188</v>
      </c>
      <c r="B36" s="2" t="s">
        <v>1562</v>
      </c>
    </row>
    <row r="37" ht="15.75" customHeight="1">
      <c r="A37" s="3" t="s">
        <v>191</v>
      </c>
      <c r="B37" s="3" t="s">
        <v>1563</v>
      </c>
    </row>
    <row r="38" ht="15.75" customHeight="1">
      <c r="A38" s="2" t="s">
        <v>194</v>
      </c>
      <c r="B38" s="2" t="s">
        <v>1565</v>
      </c>
    </row>
    <row r="39" ht="15.75" customHeight="1">
      <c r="A39" s="3" t="s">
        <v>197</v>
      </c>
      <c r="B39" s="3" t="s">
        <v>1566</v>
      </c>
    </row>
    <row r="40" ht="15.75" customHeight="1">
      <c r="A40" s="2" t="s">
        <v>202</v>
      </c>
      <c r="B40" s="2" t="s">
        <v>1567</v>
      </c>
    </row>
    <row r="41" ht="15.75" customHeight="1">
      <c r="A41" s="3" t="s">
        <v>206</v>
      </c>
      <c r="B41" s="3" t="s">
        <v>1568</v>
      </c>
    </row>
    <row r="42" ht="15.75" customHeight="1">
      <c r="A42" s="2" t="s">
        <v>209</v>
      </c>
      <c r="B42" s="2" t="s">
        <v>1569</v>
      </c>
    </row>
    <row r="43" ht="15.75" customHeight="1">
      <c r="A43" s="3" t="s">
        <v>75</v>
      </c>
      <c r="B43" s="3" t="s">
        <v>1570</v>
      </c>
    </row>
    <row r="44" ht="15.75" customHeight="1">
      <c r="A44" s="2" t="s">
        <v>1571</v>
      </c>
      <c r="B44" s="2" t="s">
        <v>1573</v>
      </c>
    </row>
    <row r="45" ht="15.75" customHeight="1">
      <c r="A45" s="3" t="s">
        <v>1574</v>
      </c>
      <c r="B45" s="3" t="s">
        <v>1575</v>
      </c>
    </row>
    <row r="46" ht="15.75" customHeight="1">
      <c r="A46" s="2" t="s">
        <v>1577</v>
      </c>
      <c r="B46" s="2" t="s">
        <v>1578</v>
      </c>
    </row>
    <row r="47" ht="15.75" customHeight="1">
      <c r="A47" s="3" t="s">
        <v>1579</v>
      </c>
      <c r="B47" s="3" t="s">
        <v>1580</v>
      </c>
    </row>
    <row r="48" ht="15.75" customHeight="1">
      <c r="A48" s="2" t="s">
        <v>1581</v>
      </c>
      <c r="B48" s="2" t="s">
        <v>1582</v>
      </c>
    </row>
    <row r="49" ht="15.75" customHeight="1">
      <c r="A49" s="3" t="s">
        <v>1583</v>
      </c>
      <c r="B49" s="3" t="s">
        <v>1585</v>
      </c>
    </row>
    <row r="50" ht="15.75" customHeight="1">
      <c r="A50" s="2" t="s">
        <v>1586</v>
      </c>
      <c r="B50" s="2" t="s">
        <v>1587</v>
      </c>
    </row>
    <row r="51" ht="15.75" customHeight="1">
      <c r="A51" s="3" t="s">
        <v>1588</v>
      </c>
      <c r="B51" s="3" t="s">
        <v>1589</v>
      </c>
    </row>
    <row r="52" ht="15.75" customHeight="1">
      <c r="A52" s="2" t="s">
        <v>1590</v>
      </c>
      <c r="B52" s="2" t="s">
        <v>1591</v>
      </c>
    </row>
    <row r="53" ht="15.75" customHeight="1">
      <c r="A53" s="3" t="s">
        <v>136</v>
      </c>
      <c r="B53" s="3" t="s">
        <v>1593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